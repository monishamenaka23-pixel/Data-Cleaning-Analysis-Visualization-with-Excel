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nis\Desktop\Data Analyst\Project\"/>
    </mc:Choice>
  </mc:AlternateContent>
  <xr:revisionPtr revIDLastSave="0" documentId="8_{C4364F45-2533-40E7-9F37-B1BBCC491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Table" sheetId="1" r:id="rId1"/>
    <sheet name="Product_Dim" sheetId="2" r:id="rId2"/>
    <sheet name="Store_Dim" sheetId="3" r:id="rId3"/>
    <sheet name="Sales_Fact" sheetId="4" r:id="rId4"/>
    <sheet name="Descriptive StatisticsStatistic" sheetId="5" r:id="rId5"/>
  </sheets>
  <calcPr calcId="191028"/>
  <pivotCaches>
    <pivotCache cacheId="5" r:id="rId6"/>
    <pivotCache cacheId="9" r:id="rId7"/>
    <pivotCache cacheId="13" r:id="rId8"/>
    <pivotCache cacheId="25" r:id="rId9"/>
    <pivotCache cacheId="2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4" i="5"/>
  <c r="B8" i="5"/>
  <c r="B7" i="5"/>
  <c r="B6" i="5"/>
  <c r="B5" i="5"/>
  <c r="B3" i="5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</calcChain>
</file>

<file path=xl/sharedStrings.xml><?xml version="1.0" encoding="utf-8"?>
<sst xmlns="http://schemas.openxmlformats.org/spreadsheetml/2006/main" count="21785" uniqueCount="3992">
  <si>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</si>
  <si>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</si>
  <si>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</si>
  <si>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</si>
  <si>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</si>
  <si>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</si>
  <si>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</si>
  <si>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</si>
  <si>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</si>
  <si>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</si>
  <si>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</si>
  <si>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</si>
  <si>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</si>
  <si>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</si>
  <si>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</si>
  <si>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</si>
  <si>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</si>
  <si>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</si>
  <si>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</si>
  <si>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</si>
  <si>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</si>
  <si>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</si>
  <si>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</si>
  <si>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</si>
  <si>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</si>
  <si>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</si>
  <si>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</si>
  <si>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</si>
  <si>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</si>
  <si>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</si>
  <si>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</si>
  <si>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</si>
  <si>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</si>
  <si>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</si>
  <si>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</si>
  <si>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</si>
  <si>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</si>
  <si>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</si>
  <si>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</si>
  <si>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</si>
  <si>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</si>
  <si>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</si>
  <si>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</si>
  <si>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</si>
  <si>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</si>
  <si>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</si>
  <si>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</si>
  <si>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</si>
  <si>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</si>
  <si>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</si>
  <si>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</si>
  <si>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</si>
  <si>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</si>
  <si>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</si>
  <si>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</si>
  <si>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</si>
  <si>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</si>
  <si>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</si>
  <si>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</si>
  <si>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</si>
  <si>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</si>
  <si>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</si>
  <si>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</si>
  <si>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</si>
  <si>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</si>
  <si>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</si>
  <si>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</si>
  <si>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</si>
  <si>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</si>
  <si>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</si>
  <si>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</si>
  <si>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</si>
  <si>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</si>
  <si>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</si>
  <si>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</si>
  <si>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</si>
  <si>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</si>
  <si>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</si>
  <si>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</si>
  <si>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</si>
  <si>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</si>
  <si>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</si>
  <si>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</si>
  <si>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</si>
  <si>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</si>
  <si>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</si>
  <si>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</si>
  <si>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</si>
  <si>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</si>
  <si>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</si>
  <si>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</si>
  <si>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</si>
  <si>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</si>
  <si>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</si>
  <si>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</si>
  <si>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</si>
  <si>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</si>
  <si>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</si>
  <si>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</si>
  <si>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</si>
  <si>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</si>
  <si>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</si>
  <si>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</si>
  <si>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</si>
  <si>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</si>
  <si>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</si>
  <si>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</si>
  <si>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</si>
  <si>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</si>
  <si>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</si>
  <si>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</si>
  <si>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</si>
  <si>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</si>
  <si>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</si>
  <si>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</si>
  <si>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</si>
  <si>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</si>
  <si>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</si>
  <si>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</si>
  <si>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</si>
  <si>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</si>
  <si>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</si>
  <si>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</si>
  <si>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</si>
  <si>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</si>
  <si>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</si>
  <si>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</si>
  <si>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</si>
  <si>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</si>
  <si>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</si>
  <si>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</si>
  <si>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</si>
  <si>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</si>
  <si>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</si>
  <si>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</si>
  <si>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</si>
  <si>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</si>
  <si>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</si>
  <si>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</si>
  <si>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</si>
  <si>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</si>
  <si>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</si>
  <si>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</si>
  <si>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</si>
  <si>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</si>
  <si>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</si>
  <si>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</si>
  <si>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</si>
  <si>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</si>
  <si>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</si>
  <si>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</si>
  <si>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</si>
  <si>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</si>
  <si>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</si>
  <si>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</si>
  <si>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</si>
  <si>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</si>
  <si>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</si>
  <si>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</si>
  <si>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</si>
  <si>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</si>
  <si>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</si>
  <si>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</si>
  <si>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</si>
  <si>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</si>
  <si>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</si>
  <si>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</si>
  <si>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</si>
  <si>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</si>
  <si>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</si>
  <si>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</si>
  <si>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</si>
  <si>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</si>
  <si>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</si>
  <si>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</si>
  <si>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</si>
  <si>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</si>
  <si>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</si>
  <si>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</si>
  <si>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</si>
  <si>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</si>
  <si>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</si>
  <si>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</si>
  <si>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</si>
  <si>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</si>
  <si>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</si>
  <si>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</si>
  <si>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</si>
  <si>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</si>
  <si>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</si>
  <si>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</si>
  <si>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</si>
  <si>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</si>
  <si>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</si>
  <si>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</si>
  <si>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</si>
  <si>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</si>
  <si>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</si>
  <si>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</si>
  <si>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</si>
  <si>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</si>
  <si>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</si>
  <si>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</si>
  <si>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</si>
  <si>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</si>
  <si>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</si>
  <si>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</si>
  <si>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</si>
  <si>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</si>
  <si>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</si>
  <si>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</si>
  <si>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</si>
  <si>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</si>
  <si>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</si>
  <si>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</si>
  <si>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</si>
  <si>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</si>
  <si>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</si>
  <si>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</si>
  <si>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</si>
  <si>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</si>
  <si>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</si>
  <si>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</si>
  <si>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</si>
  <si>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</si>
  <si>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</si>
  <si>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</si>
  <si>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</si>
  <si>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</si>
  <si>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</si>
  <si>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</si>
  <si>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</si>
  <si>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</si>
  <si>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</si>
  <si>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</si>
  <si>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</si>
  <si>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</si>
  <si>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</si>
  <si>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</si>
  <si>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</si>
  <si>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</si>
  <si>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</si>
  <si>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</si>
  <si>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</si>
  <si>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</si>
  <si>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</si>
  <si>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</si>
  <si>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</si>
  <si>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</si>
  <si>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</si>
  <si>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</si>
  <si>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</si>
  <si>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</si>
  <si>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</si>
  <si>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</si>
  <si>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</si>
  <si>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</si>
  <si>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</si>
  <si>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</si>
  <si>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</si>
  <si>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</si>
  <si>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</si>
  <si>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</si>
  <si>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</si>
  <si>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</si>
  <si>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</si>
  <si>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</si>
  <si>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</si>
  <si>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</si>
  <si>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</si>
  <si>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</si>
  <si>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</si>
  <si>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</si>
  <si>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</si>
  <si>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</si>
  <si>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</si>
  <si>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</si>
  <si>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</si>
  <si>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</si>
  <si>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</si>
  <si>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</si>
  <si>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</si>
  <si>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</si>
  <si>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</si>
  <si>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</si>
  <si>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</si>
  <si>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</si>
  <si>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</si>
  <si>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</si>
  <si>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</si>
  <si>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</si>
  <si>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</si>
  <si>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</si>
  <si>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</si>
  <si>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</si>
  <si>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</si>
  <si>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</si>
  <si>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</si>
  <si>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</si>
  <si>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</si>
  <si>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</si>
  <si>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</si>
  <si>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</si>
  <si>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</si>
  <si>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</si>
  <si>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</si>
  <si>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</si>
  <si>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</si>
  <si>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</si>
  <si>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</si>
  <si>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</si>
  <si>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</si>
  <si>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</si>
  <si>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</si>
  <si>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</si>
  <si>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</si>
  <si>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</si>
  <si>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</si>
  <si>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</si>
  <si>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</si>
  <si>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</si>
  <si>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</si>
  <si>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</si>
  <si>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</si>
  <si>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</si>
  <si>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</si>
  <si>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</si>
  <si>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</si>
  <si>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</si>
  <si>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</si>
  <si>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</si>
  <si>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</si>
  <si>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</si>
  <si>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</si>
  <si>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</si>
  <si>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</si>
  <si>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</si>
  <si>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</si>
  <si>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</si>
  <si>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</si>
  <si>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</si>
  <si>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</si>
  <si>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</si>
  <si>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</si>
  <si>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</si>
  <si>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</si>
  <si>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</si>
  <si>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</si>
  <si>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</si>
  <si>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</si>
  <si>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</si>
  <si>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</si>
  <si>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</si>
  <si>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</si>
  <si>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</si>
  <si>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</si>
  <si>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</si>
  <si>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</si>
  <si>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</si>
  <si>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</si>
  <si>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</si>
  <si>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</si>
  <si>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</si>
  <si>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</si>
  <si>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</si>
  <si>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</si>
  <si>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</si>
  <si>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</si>
  <si>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</si>
  <si>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</si>
  <si>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</si>
  <si>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</si>
  <si>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</si>
  <si>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</si>
  <si>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</si>
  <si>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</si>
  <si>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</si>
  <si>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</si>
  <si>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</si>
  <si>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</si>
  <si>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</si>
  <si>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</si>
  <si>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</si>
  <si>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</si>
  <si>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</si>
  <si>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</si>
  <si>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</si>
  <si>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</si>
  <si>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</si>
  <si>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</si>
  <si>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</si>
  <si>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</si>
  <si>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</si>
  <si>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</si>
  <si>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</si>
  <si>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</si>
  <si>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</si>
  <si>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</si>
  <si>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</si>
  <si>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</si>
  <si>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</si>
  <si>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</si>
  <si>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</si>
  <si>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</si>
  <si>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</si>
  <si>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</si>
  <si>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</si>
  <si>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</si>
  <si>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</si>
  <si>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</si>
  <si>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</si>
  <si>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</si>
  <si>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</si>
  <si>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</si>
  <si>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</si>
  <si>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</si>
  <si>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</si>
  <si>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</si>
  <si>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</si>
  <si>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</si>
  <si>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</si>
  <si>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</si>
  <si>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</si>
  <si>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</si>
  <si>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</si>
  <si>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</si>
  <si>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</si>
  <si>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</si>
  <si>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</si>
  <si>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</si>
  <si>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</si>
  <si>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</si>
  <si>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</si>
  <si>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</si>
  <si>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</si>
  <si>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</si>
  <si>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</si>
  <si>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</si>
  <si>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</si>
  <si>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</si>
  <si>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</si>
  <si>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</si>
  <si>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</si>
  <si>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</si>
  <si>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</si>
  <si>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</si>
  <si>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</si>
  <si>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</si>
  <si>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</si>
  <si>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</si>
  <si>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</si>
  <si>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</si>
  <si>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</si>
  <si>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</si>
  <si>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</si>
  <si>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</si>
  <si>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</si>
  <si>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</si>
  <si>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</si>
  <si>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</si>
  <si>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</si>
  <si>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</si>
  <si>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</si>
  <si>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</si>
  <si>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</si>
  <si>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</si>
  <si>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</si>
  <si>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</si>
  <si>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</si>
  <si>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</si>
  <si>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</si>
  <si>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</si>
  <si>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</si>
  <si>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</si>
  <si>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</si>
  <si>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</si>
  <si>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</si>
  <si>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</si>
  <si>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</si>
  <si>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</si>
  <si>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</si>
  <si>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</si>
  <si>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</si>
  <si>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</si>
  <si>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</si>
  <si>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</si>
  <si>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</si>
  <si>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</si>
  <si>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</si>
  <si>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</si>
  <si>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</si>
  <si>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</si>
  <si>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</si>
  <si>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</si>
  <si>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</si>
  <si>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</si>
  <si>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</si>
  <si>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</si>
  <si>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</si>
  <si>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</si>
  <si>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</si>
  <si>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</si>
  <si>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</si>
  <si>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</si>
  <si>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</si>
  <si>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</si>
  <si>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</si>
  <si>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</si>
  <si>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</si>
  <si>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</si>
  <si>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</si>
  <si>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</si>
  <si>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</si>
  <si>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</si>
  <si>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</si>
  <si>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</si>
  <si>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</si>
  <si>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</si>
  <si>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</si>
  <si>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</si>
  <si>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</si>
  <si>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</si>
  <si>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</si>
  <si>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</si>
  <si>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</si>
  <si>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</si>
  <si>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</si>
  <si>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</si>
  <si>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</si>
  <si>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</si>
  <si>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</si>
  <si>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</si>
  <si>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</si>
  <si>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</si>
  <si>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</si>
  <si>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</si>
  <si>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</si>
  <si>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</si>
  <si>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</si>
  <si>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</si>
  <si>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</si>
  <si>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</si>
  <si>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</si>
  <si>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</si>
  <si>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</si>
  <si>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</si>
  <si>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</si>
  <si>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</si>
  <si>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</si>
  <si>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</si>
  <si>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</si>
  <si>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</si>
  <si>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</si>
  <si>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</si>
  <si>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</si>
  <si>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</si>
  <si>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</si>
  <si>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</si>
  <si>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</si>
  <si>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</si>
  <si>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</si>
  <si>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</si>
  <si>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</si>
  <si>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</si>
  <si>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</si>
  <si>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</si>
  <si>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</si>
  <si>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</si>
  <si>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</si>
  <si>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</si>
  <si>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</si>
  <si>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</si>
  <si>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</si>
  <si>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</si>
  <si>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</si>
  <si>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</si>
  <si>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</si>
  <si>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</si>
  <si>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</si>
  <si>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</si>
  <si>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</si>
  <si>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</si>
  <si>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</si>
  <si>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</si>
  <si>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</si>
  <si>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</si>
  <si>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</si>
  <si>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</si>
  <si>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</si>
  <si>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</si>
  <si>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</si>
  <si>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</si>
  <si>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</si>
  <si>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</si>
  <si>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</si>
  <si>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</si>
  <si>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</si>
  <si>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</si>
  <si>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</si>
  <si>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</si>
  <si>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</si>
  <si>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</si>
  <si>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</si>
  <si>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</si>
  <si>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</si>
  <si>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</si>
  <si>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</si>
  <si>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</si>
  <si>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</si>
  <si>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</si>
  <si>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</si>
  <si>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</si>
  <si>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</si>
  <si>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</si>
  <si>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</si>
  <si>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</si>
  <si>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</si>
  <si>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</si>
  <si>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</si>
  <si>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</si>
  <si>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</si>
  <si>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</si>
  <si>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</si>
  <si>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</si>
  <si>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</si>
  <si>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</si>
  <si>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</si>
  <si>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</si>
  <si>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</si>
  <si>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</si>
  <si>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</si>
  <si>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</si>
  <si>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</si>
  <si>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</si>
  <si>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</si>
  <si>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</si>
  <si>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</si>
  <si>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</si>
  <si>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</si>
  <si>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</si>
  <si>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</si>
  <si>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</si>
  <si>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</si>
  <si>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</si>
  <si>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</si>
  <si>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</si>
  <si>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</si>
  <si>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</si>
  <si>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</si>
  <si>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</si>
  <si>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</si>
  <si>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</si>
  <si>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</si>
  <si>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</si>
  <si>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</si>
  <si>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</si>
  <si>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</si>
  <si>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</si>
  <si>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</si>
  <si>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</si>
  <si>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</si>
  <si>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</si>
  <si>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</si>
  <si>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</si>
  <si>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</si>
  <si>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</si>
  <si>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</si>
  <si>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</si>
  <si>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</si>
  <si>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</si>
  <si>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</si>
  <si>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</si>
  <si>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</si>
  <si>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</si>
  <si>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</si>
  <si>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</si>
  <si>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</si>
  <si>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</si>
  <si>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</si>
  <si>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</si>
  <si>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</si>
  <si>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</si>
  <si>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</si>
  <si>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</si>
  <si>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</si>
  <si>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</si>
  <si>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</si>
  <si>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</si>
  <si>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</si>
  <si>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</si>
  <si>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</si>
  <si>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</si>
  <si>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</si>
  <si>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</si>
  <si>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</si>
  <si>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</si>
  <si>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</si>
  <si>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</si>
  <si>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</si>
  <si>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</si>
  <si>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</si>
  <si>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</si>
  <si>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</si>
  <si>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</si>
  <si>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</si>
  <si>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</si>
  <si>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</si>
  <si>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</si>
  <si>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</si>
  <si>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</si>
  <si>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</si>
  <si>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</si>
  <si>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</si>
  <si>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</si>
  <si>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</si>
  <si>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</si>
  <si>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</si>
  <si>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</si>
  <si>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</si>
  <si>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</si>
  <si>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</si>
  <si>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</si>
  <si>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</si>
  <si>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</si>
  <si>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</si>
  <si>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</si>
  <si>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</si>
  <si>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</si>
  <si>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</si>
  <si>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</si>
  <si>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</si>
  <si>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</si>
  <si>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</si>
  <si>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</si>
  <si>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</si>
  <si>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</si>
  <si>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</si>
  <si>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</si>
  <si>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</si>
  <si>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</si>
  <si>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</si>
  <si>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</si>
  <si>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</si>
  <si>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</si>
  <si>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</si>
  <si>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</si>
  <si>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</si>
  <si>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</si>
  <si>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</si>
  <si>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</si>
  <si>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</si>
  <si>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</si>
  <si>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</si>
  <si>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</si>
  <si>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</si>
  <si>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</si>
  <si>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</si>
  <si>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</si>
  <si>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</si>
  <si>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</si>
  <si>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</si>
  <si>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</si>
  <si>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</si>
  <si>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</si>
  <si>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</si>
  <si>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</si>
  <si>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</si>
  <si>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</si>
  <si>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</si>
  <si>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</si>
  <si>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</si>
  <si>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</si>
  <si>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</si>
  <si>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</si>
  <si>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</si>
  <si>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</si>
  <si>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</si>
  <si>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</si>
  <si>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</si>
  <si>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</si>
  <si>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</si>
  <si>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</si>
  <si>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</si>
  <si>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</si>
  <si>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</si>
  <si>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</si>
  <si>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</si>
  <si>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</si>
  <si>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</si>
  <si>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</si>
  <si>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</si>
  <si>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</si>
  <si>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</si>
  <si>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</si>
  <si>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</si>
  <si>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</si>
  <si>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</si>
  <si>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</si>
  <si>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</si>
  <si>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</si>
  <si>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</si>
  <si>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</si>
  <si>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</si>
  <si>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</si>
  <si>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</si>
  <si>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</si>
  <si>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</si>
  <si>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</si>
  <si>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</si>
  <si>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</si>
  <si>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</si>
  <si>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</si>
  <si>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</si>
  <si>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</si>
  <si>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</si>
  <si>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</si>
  <si>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</si>
  <si>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</si>
  <si>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</si>
  <si>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</si>
  <si>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</si>
  <si>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</si>
  <si>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</si>
  <si>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</si>
  <si>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</si>
  <si>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</si>
  <si>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</si>
  <si>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</si>
  <si>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</si>
  <si>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</si>
  <si>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</si>
  <si>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</si>
  <si>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</si>
  <si>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</si>
  <si>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</si>
  <si>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</si>
  <si>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</si>
  <si>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</si>
  <si>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</si>
  <si>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</si>
  <si>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</si>
  <si>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</si>
  <si>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</si>
  <si>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</si>
  <si>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</si>
  <si>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</si>
  <si>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</si>
  <si>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</si>
  <si>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</si>
  <si>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</si>
  <si>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</si>
  <si>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</si>
  <si>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</si>
  <si>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</si>
  <si>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</si>
  <si>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</si>
  <si>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</si>
  <si>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</si>
  <si>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</si>
  <si>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</si>
  <si>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</si>
  <si>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</si>
  <si>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</si>
  <si>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</si>
  <si>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</si>
  <si>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</si>
  <si>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</si>
  <si>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</si>
  <si>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</si>
  <si>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</si>
  <si>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</si>
  <si>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</si>
  <si>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</si>
  <si>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</si>
  <si>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</si>
  <si>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</si>
  <si>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</si>
  <si>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</si>
  <si>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</si>
  <si>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</si>
  <si>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</si>
  <si>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</si>
  <si>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</si>
  <si>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</si>
  <si>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</si>
  <si>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</si>
  <si>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</si>
  <si>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</si>
  <si>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</si>
  <si>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</si>
  <si>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</si>
  <si>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</si>
  <si>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</si>
  <si>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</si>
  <si>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</si>
  <si>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</si>
  <si>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</si>
  <si>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</si>
  <si>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</si>
  <si>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</si>
  <si>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</si>
  <si>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</si>
  <si>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</si>
  <si>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</si>
  <si>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</si>
  <si>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</si>
  <si>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</si>
  <si>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</si>
  <si>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</si>
  <si>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</si>
  <si>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</si>
  <si>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</si>
  <si>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</si>
  <si>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</si>
  <si>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</si>
  <si>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</si>
  <si>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</si>
  <si>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</si>
  <si>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</si>
  <si>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</si>
  <si>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</si>
  <si>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</si>
  <si>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</si>
  <si>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</si>
  <si>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</si>
  <si>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</si>
  <si>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</si>
  <si>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</si>
  <si>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</si>
  <si>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</si>
  <si>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</si>
  <si>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</si>
  <si>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</si>
  <si>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</si>
  <si>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</si>
  <si>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</si>
  <si>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</si>
  <si>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</si>
  <si>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</si>
  <si>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</si>
  <si>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</si>
  <si>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</si>
  <si>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</si>
  <si>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</si>
  <si>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</si>
  <si>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</si>
  <si>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</si>
  <si>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</si>
  <si>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</si>
  <si>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</si>
  <si>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</si>
  <si>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</si>
  <si>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</si>
  <si>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</si>
  <si>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</si>
  <si>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</si>
  <si>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</si>
  <si>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</si>
  <si>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</si>
  <si>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</si>
  <si>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</si>
  <si>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</si>
  <si>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</si>
  <si>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</si>
  <si>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</si>
  <si>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</si>
  <si>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</si>
  <si>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</si>
  <si>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</si>
  <si>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</si>
  <si>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</si>
  <si>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</si>
  <si>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</si>
  <si>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</si>
  <si>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</si>
  <si>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</si>
  <si>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</si>
  <si>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</si>
  <si>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</si>
  <si>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</si>
  <si>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</si>
  <si>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</si>
  <si>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</si>
  <si>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</si>
  <si>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</si>
  <si>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</si>
  <si>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</si>
  <si>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</si>
  <si>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</si>
  <si>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</si>
  <si>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</si>
  <si>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</si>
  <si>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</si>
  <si>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</si>
  <si>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</si>
  <si>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</si>
  <si>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</si>
  <si>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</si>
  <si>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</si>
  <si>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</si>
  <si>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</si>
  <si>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</si>
  <si>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</si>
  <si>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</si>
  <si>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</si>
  <si>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</si>
  <si>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</si>
  <si>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</si>
  <si>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</si>
  <si>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</si>
  <si>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</si>
  <si>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</si>
  <si>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</si>
  <si>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</si>
  <si>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</si>
  <si>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</si>
  <si>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</si>
  <si>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</si>
  <si>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</si>
  <si>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</si>
  <si>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</si>
  <si>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</si>
  <si>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</si>
  <si>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</si>
  <si>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</si>
  <si>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</si>
  <si>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</si>
  <si>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</si>
  <si>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</si>
  <si>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</si>
  <si>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</si>
  <si>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</si>
  <si>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</si>
  <si>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</si>
  <si>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</si>
  <si>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</si>
  <si>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</si>
  <si>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</si>
  <si>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</si>
  <si>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</si>
  <si>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</si>
  <si>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</si>
  <si>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</si>
  <si>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</si>
  <si>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</si>
  <si>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</si>
  <si>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</si>
  <si>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</si>
  <si>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</si>
  <si>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</si>
  <si>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</si>
  <si>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</si>
  <si>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</si>
  <si>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</si>
  <si>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</si>
  <si>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</si>
  <si>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</si>
  <si>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</si>
  <si>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</si>
  <si>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</si>
  <si>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</si>
  <si>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</si>
  <si>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</si>
  <si>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</si>
  <si>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</si>
  <si>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</si>
  <si>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</si>
  <si>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</si>
  <si>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</si>
  <si>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</si>
  <si>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</si>
  <si>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</si>
  <si>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</si>
  <si>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</si>
  <si>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</si>
  <si>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</si>
  <si>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</si>
  <si>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</si>
  <si>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</si>
  <si>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</si>
  <si>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</si>
  <si>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</si>
  <si>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</si>
  <si>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</si>
  <si>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</si>
  <si>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</si>
  <si>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</si>
  <si>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</si>
  <si>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</si>
  <si>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</si>
  <si>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</si>
  <si>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</si>
  <si>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</si>
  <si>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</si>
  <si>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</si>
  <si>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</si>
  <si>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</si>
  <si>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</si>
  <si>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</si>
  <si>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</si>
  <si>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</si>
  <si>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</si>
  <si>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</si>
  <si>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</si>
  <si>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</si>
  <si>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</si>
  <si>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</si>
  <si>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</si>
  <si>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</si>
  <si>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</si>
  <si>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</si>
  <si>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</si>
  <si>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</si>
  <si>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</si>
  <si>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</si>
  <si>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</si>
  <si>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</si>
  <si>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</si>
  <si>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</si>
  <si>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</si>
  <si>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</si>
  <si>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</si>
  <si>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</si>
  <si>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</si>
  <si>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</si>
  <si>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</si>
  <si>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</si>
  <si>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</si>
  <si>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</si>
  <si>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</si>
  <si>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</si>
  <si>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</si>
  <si>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</si>
  <si>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</si>
  <si>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</si>
  <si>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</si>
  <si>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</si>
  <si>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</si>
  <si>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</si>
  <si>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</si>
  <si>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</si>
  <si>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</si>
  <si>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</si>
  <si>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</si>
  <si>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</si>
  <si>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</si>
  <si>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</si>
  <si>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</si>
  <si>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</si>
  <si>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</si>
  <si>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</si>
  <si>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</si>
  <si>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</si>
  <si>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</si>
  <si>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</si>
  <si>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</si>
  <si>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</si>
  <si>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</si>
  <si>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</si>
  <si>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</si>
  <si>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</si>
  <si>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</si>
  <si>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</si>
  <si>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</si>
  <si>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</si>
  <si>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</si>
  <si>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</si>
  <si>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</si>
  <si>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</si>
  <si>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</si>
  <si>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</si>
  <si>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</si>
  <si>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</si>
  <si>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</si>
  <si>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</si>
  <si>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</si>
  <si>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</si>
  <si>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</si>
  <si>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</si>
  <si>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</si>
  <si>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</si>
  <si>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</si>
  <si>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</si>
  <si>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</si>
  <si>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</si>
  <si>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</si>
  <si>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</si>
  <si>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</si>
  <si>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</si>
  <si>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</si>
  <si>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</si>
  <si>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</si>
  <si>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</si>
  <si>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</si>
  <si>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</si>
  <si>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</si>
  <si>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</si>
  <si>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</si>
  <si>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</si>
  <si>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</si>
  <si>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</si>
  <si>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</si>
  <si>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</si>
  <si>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</si>
  <si>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</si>
  <si>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</si>
  <si>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</si>
  <si>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</si>
  <si>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</si>
  <si>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</si>
  <si>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</si>
  <si>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</si>
  <si>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</si>
  <si>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</si>
  <si>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</si>
  <si>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</si>
  <si>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</si>
  <si>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</si>
  <si>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</si>
  <si>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</si>
  <si>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</si>
  <si>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</si>
  <si>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</si>
  <si>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</si>
  <si>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</si>
  <si>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</si>
  <si>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</si>
  <si>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</si>
  <si>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</si>
  <si>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</si>
  <si>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</si>
  <si>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</si>
  <si>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</si>
  <si>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</si>
  <si>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</si>
  <si>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</si>
  <si>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</si>
  <si>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</si>
  <si>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</si>
  <si>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</si>
  <si>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</si>
  <si>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</si>
  <si>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</si>
  <si>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</si>
  <si>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</si>
  <si>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</si>
  <si>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</si>
  <si>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</si>
  <si>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</si>
  <si>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</si>
  <si>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</si>
  <si>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</si>
  <si>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</si>
  <si>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</si>
  <si>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</si>
  <si>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</si>
  <si>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</si>
  <si>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</si>
  <si>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</si>
  <si>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</si>
  <si>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</si>
  <si>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</si>
  <si>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</si>
  <si>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</si>
  <si>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</si>
  <si>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</si>
  <si>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</si>
  <si>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</si>
  <si>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</si>
  <si>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</si>
  <si>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</si>
  <si>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</si>
  <si>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</si>
  <si>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</si>
  <si>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</si>
  <si>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</si>
  <si>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</si>
  <si>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</si>
  <si>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</si>
  <si>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</si>
  <si>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</si>
  <si>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</si>
  <si>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</si>
  <si>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</si>
  <si>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</si>
  <si>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</si>
  <si>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</si>
  <si>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</si>
  <si>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</si>
  <si>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</si>
  <si>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</si>
  <si>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</si>
  <si>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</si>
  <si>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</si>
  <si>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</si>
  <si>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</si>
  <si>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</si>
  <si>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</si>
  <si>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</si>
  <si>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</si>
  <si>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</si>
  <si>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</si>
  <si>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</si>
  <si>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</si>
  <si>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</si>
  <si>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</si>
  <si>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</si>
  <si>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</si>
  <si>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</si>
  <si>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</si>
  <si>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</si>
  <si>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</si>
  <si>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</si>
  <si>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</si>
  <si>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</si>
  <si>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</si>
  <si>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</si>
  <si>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</si>
  <si>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</si>
  <si>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</si>
  <si>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</si>
  <si>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</si>
  <si>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</si>
  <si>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</si>
  <si>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</si>
  <si>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</si>
  <si>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</si>
  <si>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</si>
  <si>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</si>
  <si>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</si>
  <si>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</si>
  <si>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</si>
  <si>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</si>
  <si>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</si>
  <si>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</si>
  <si>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</si>
  <si>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</si>
  <si>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</si>
  <si>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</si>
  <si>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</si>
  <si>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</si>
  <si>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</si>
  <si>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</si>
  <si>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</si>
  <si>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</si>
  <si>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</si>
  <si>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</si>
  <si>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</si>
  <si>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</si>
  <si>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</si>
  <si>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</si>
  <si>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</si>
  <si>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</si>
  <si>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</si>
  <si>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</si>
  <si>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</si>
  <si>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</si>
  <si>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</si>
  <si>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</si>
  <si>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</si>
  <si>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</si>
  <si>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</si>
  <si>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</si>
  <si>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</si>
  <si>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</si>
  <si>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</si>
  <si>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</si>
  <si>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</si>
  <si>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</si>
  <si>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</si>
  <si>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</si>
  <si>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</si>
  <si>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</si>
  <si>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</si>
  <si>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</si>
  <si>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</si>
  <si>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</si>
  <si>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</si>
  <si>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</si>
  <si>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</si>
  <si>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</si>
  <si>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</si>
  <si>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</si>
  <si>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</si>
  <si>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</si>
  <si>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</si>
  <si>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</si>
  <si>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</si>
  <si>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</si>
  <si>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</si>
  <si>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</si>
  <si>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</si>
  <si>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</si>
  <si>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</si>
  <si>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</si>
  <si>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</si>
  <si>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</si>
  <si>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</si>
  <si>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</si>
  <si>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</si>
  <si>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</si>
  <si>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</si>
  <si>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</si>
  <si>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</si>
  <si>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</si>
  <si>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</si>
  <si>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</si>
  <si>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</si>
  <si>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</si>
  <si>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</si>
  <si>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</si>
  <si>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</si>
  <si>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</si>
  <si>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</si>
  <si>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</si>
  <si>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</si>
  <si>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</si>
  <si>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</si>
  <si>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</si>
  <si>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</si>
  <si>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</si>
  <si>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</si>
  <si>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</si>
  <si>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</si>
  <si>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</si>
  <si>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</si>
  <si>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</si>
  <si>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</si>
  <si>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</si>
  <si>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</si>
  <si>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</si>
  <si>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</si>
  <si>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</si>
  <si>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</si>
  <si>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</si>
  <si>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</si>
  <si>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</si>
  <si>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</si>
  <si>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</si>
  <si>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</si>
  <si>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</si>
  <si>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</si>
  <si>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</si>
  <si>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</si>
  <si>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</si>
  <si>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</si>
  <si>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</si>
  <si>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</si>
  <si>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</si>
  <si>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</si>
  <si>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</si>
  <si>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</si>
  <si>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</si>
  <si>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</si>
  <si>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</si>
  <si>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</si>
  <si>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</si>
  <si>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</si>
  <si>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</si>
  <si>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</si>
  <si>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</si>
  <si>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</si>
  <si>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</si>
  <si>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</si>
  <si>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</si>
  <si>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</si>
  <si>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</si>
  <si>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</si>
  <si>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</si>
  <si>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</si>
  <si>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</si>
  <si>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</si>
  <si>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</si>
  <si>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</si>
  <si>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</si>
  <si>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</si>
  <si>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</si>
  <si>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</si>
  <si>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</si>
  <si>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</si>
  <si>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</si>
  <si>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</si>
  <si>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</si>
  <si>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</si>
  <si>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</si>
  <si>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</si>
  <si>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</si>
  <si>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</si>
  <si>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</si>
  <si>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</si>
  <si>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</si>
  <si>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</si>
  <si>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</si>
  <si>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</si>
  <si>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</si>
  <si>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</si>
  <si>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</si>
  <si>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</si>
  <si>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</si>
  <si>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</si>
  <si>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</si>
  <si>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</si>
  <si>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</si>
  <si>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</si>
  <si>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</si>
  <si>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</si>
  <si>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</si>
  <si>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</si>
  <si>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</si>
  <si>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</si>
  <si>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</si>
  <si>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</si>
  <si>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</si>
  <si>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</si>
  <si>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</si>
  <si>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</si>
  <si>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</si>
  <si>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</si>
  <si>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</si>
  <si>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</si>
  <si>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</si>
  <si>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</si>
  <si>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</si>
  <si>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</si>
  <si>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</si>
  <si>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</si>
  <si>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</si>
  <si>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</si>
  <si>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</si>
  <si>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</si>
  <si>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</si>
  <si>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</si>
  <si>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</si>
  <si>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</si>
  <si>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</si>
  <si>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</si>
  <si>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</si>
  <si>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</si>
  <si>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</si>
  <si>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</si>
  <si>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</si>
  <si>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</si>
  <si>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</si>
  <si>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</si>
  <si>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</si>
  <si>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</si>
  <si>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</si>
  <si>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</si>
  <si>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</si>
  <si>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</si>
  <si>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</si>
  <si>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</si>
  <si>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</si>
  <si>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</si>
  <si>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</si>
  <si>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</si>
  <si>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</si>
  <si>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</si>
  <si>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</si>
  <si>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</si>
  <si>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</si>
  <si>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</si>
  <si>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</si>
  <si>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</si>
  <si>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</si>
  <si>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</si>
  <si>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</si>
  <si>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</si>
  <si>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</si>
  <si>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</si>
  <si>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</si>
  <si>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</si>
  <si>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</si>
  <si>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</si>
  <si>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</si>
  <si>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</si>
  <si>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</si>
  <si>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</si>
  <si>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</si>
  <si>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</si>
  <si>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</si>
  <si>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</si>
  <si>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</si>
  <si>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</si>
  <si>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</si>
  <si>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</si>
  <si>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</si>
  <si>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</si>
  <si>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</si>
  <si>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</si>
  <si>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</si>
  <si>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</si>
  <si>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</si>
  <si>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</si>
  <si>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</si>
  <si>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</si>
  <si>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</si>
  <si>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</si>
  <si>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</si>
  <si>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</si>
  <si>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</si>
  <si>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</si>
  <si>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</si>
  <si>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</si>
  <si>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</si>
  <si>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</si>
  <si>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</si>
  <si>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</si>
  <si>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</si>
  <si>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</si>
  <si>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</si>
  <si>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</si>
  <si>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</si>
  <si>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</si>
  <si>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</si>
  <si>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</si>
  <si>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</si>
  <si>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</si>
  <si>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</si>
  <si>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</si>
  <si>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</si>
  <si>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</si>
  <si>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</si>
  <si>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</si>
  <si>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</si>
  <si>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</si>
  <si>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</si>
  <si>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</si>
  <si>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</si>
  <si>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</si>
  <si>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</si>
  <si>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</si>
  <si>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</si>
  <si>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</si>
  <si>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</si>
  <si>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</si>
  <si>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</si>
  <si>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</si>
  <si>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</si>
  <si>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</si>
  <si>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</si>
  <si>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</si>
  <si>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</si>
  <si>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</si>
  <si>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</si>
  <si>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</si>
  <si>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</si>
  <si>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</si>
  <si>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</si>
  <si>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</si>
  <si>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</si>
  <si>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</si>
  <si>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</si>
  <si>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</si>
  <si>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</si>
  <si>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</si>
  <si>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</si>
  <si>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</si>
  <si>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</si>
  <si>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</si>
  <si>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</si>
  <si>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</si>
  <si>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</si>
  <si>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</si>
  <si>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</si>
  <si>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</si>
  <si>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</si>
  <si>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</si>
  <si>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</si>
  <si>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</si>
  <si>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</si>
  <si>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</si>
  <si>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</si>
  <si>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</si>
  <si>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</si>
  <si>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</si>
  <si>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</si>
  <si>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</si>
  <si>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</si>
  <si>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</si>
  <si>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</si>
  <si>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</si>
  <si>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</si>
  <si>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</si>
  <si>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</si>
  <si>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</si>
  <si>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</si>
  <si>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</si>
  <si>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</si>
  <si>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</si>
  <si>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</si>
  <si>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</si>
  <si>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</si>
  <si>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</si>
  <si>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</si>
  <si>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</si>
  <si>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</si>
  <si>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</si>
  <si>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</si>
  <si>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</si>
  <si>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</si>
  <si>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</si>
  <si>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</si>
  <si>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</si>
  <si>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</si>
  <si>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</si>
  <si>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</si>
  <si>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</si>
  <si>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</si>
  <si>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</si>
  <si>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</si>
  <si>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</si>
  <si>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</si>
  <si>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</si>
  <si>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</si>
  <si>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</si>
  <si>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</si>
  <si>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</si>
  <si>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</si>
  <si>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</si>
  <si>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</si>
  <si>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</si>
  <si>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</si>
  <si>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</si>
  <si>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</si>
  <si>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</si>
  <si>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</si>
  <si>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</si>
  <si>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</si>
  <si>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</si>
  <si>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</si>
  <si>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</si>
  <si>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</si>
  <si>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</si>
  <si>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</si>
  <si>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</si>
  <si>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</si>
  <si>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</si>
  <si>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</si>
  <si>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</si>
  <si>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</si>
  <si>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</si>
  <si>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</si>
  <si>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</si>
  <si>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</si>
  <si>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</si>
  <si>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</si>
  <si>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</si>
  <si>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</si>
  <si>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</si>
  <si>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</si>
  <si>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</si>
  <si>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</si>
  <si>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</si>
  <si>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</si>
  <si>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</si>
  <si>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</si>
  <si>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</si>
  <si>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</si>
  <si>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</si>
  <si>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</si>
  <si>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</si>
  <si>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</si>
  <si>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</si>
  <si>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</si>
  <si>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</si>
  <si>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</si>
  <si>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</si>
  <si>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</si>
  <si>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</si>
  <si>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</si>
  <si>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</si>
  <si>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</si>
  <si>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</si>
  <si>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</si>
  <si>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</si>
  <si>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</si>
  <si>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</si>
  <si>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</si>
  <si>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</si>
  <si>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</si>
  <si>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</si>
  <si>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</si>
  <si>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</si>
  <si>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</si>
  <si>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</si>
  <si>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</si>
  <si>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</si>
  <si>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</si>
  <si>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</si>
  <si>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</si>
  <si>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</si>
  <si>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</si>
  <si>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</si>
  <si>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</si>
  <si>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</si>
  <si>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</si>
  <si>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</si>
  <si>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</si>
  <si>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</si>
  <si>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</si>
  <si>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</si>
  <si>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</si>
  <si>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</si>
  <si>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</si>
  <si>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</si>
  <si>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</si>
  <si>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</si>
  <si>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</si>
  <si>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</si>
  <si>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</si>
  <si>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</si>
  <si>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</si>
  <si>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</si>
  <si>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</si>
  <si>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</si>
  <si>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</si>
  <si>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</si>
  <si>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</si>
  <si>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</si>
  <si>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</si>
  <si>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</si>
  <si>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</si>
  <si>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</si>
  <si>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</si>
  <si>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</si>
  <si>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</si>
  <si>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</si>
  <si>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</si>
  <si>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</si>
  <si>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</si>
  <si>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</si>
  <si>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</si>
  <si>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</si>
  <si>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</si>
  <si>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</si>
  <si>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</si>
  <si>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</si>
  <si>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</si>
  <si>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</si>
  <si>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</si>
  <si>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</si>
  <si>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</si>
  <si>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</si>
  <si>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</si>
  <si>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</si>
  <si>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</si>
  <si>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</si>
  <si>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</si>
  <si>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</si>
  <si>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</si>
  <si>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</si>
  <si>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</si>
  <si>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</si>
  <si>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</si>
  <si>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</si>
  <si>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</si>
  <si>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</si>
  <si>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</si>
  <si>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</si>
  <si>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</si>
  <si>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</si>
  <si>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</si>
  <si>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</si>
  <si>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</si>
  <si>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</si>
  <si>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</si>
  <si>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</si>
  <si>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</si>
  <si>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</si>
  <si>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</si>
  <si>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</si>
  <si>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</si>
  <si>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</si>
  <si>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</si>
  <si>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</si>
  <si>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</si>
  <si>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</si>
  <si>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</si>
  <si>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</si>
  <si>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</si>
  <si>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</si>
  <si>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</si>
  <si>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</si>
  <si>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</si>
  <si>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</si>
  <si>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</si>
  <si>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</si>
  <si>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</si>
  <si>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</si>
  <si>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</si>
  <si>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</si>
  <si>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</si>
  <si>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</si>
  <si>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</si>
  <si>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</si>
  <si>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</si>
  <si>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</si>
  <si>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</si>
  <si>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</si>
  <si>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</si>
  <si>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</si>
  <si>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</si>
  <si>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</si>
  <si>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</si>
  <si>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</si>
  <si>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</si>
  <si>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</si>
  <si>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</si>
  <si>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</si>
  <si>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</si>
  <si>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</si>
  <si>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</si>
  <si>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</si>
  <si>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</si>
  <si>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</si>
  <si>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</si>
  <si>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</si>
  <si>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</si>
  <si>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</si>
  <si>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</si>
  <si>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</si>
  <si>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</si>
  <si>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</si>
  <si>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</si>
  <si>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</si>
  <si>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</si>
  <si>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</si>
  <si>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</si>
  <si>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</si>
  <si>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</si>
  <si>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</si>
  <si>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</si>
  <si>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</si>
  <si>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</si>
  <si>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</si>
  <si>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</si>
  <si>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</si>
  <si>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</si>
  <si>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</si>
  <si>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</si>
  <si>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</si>
  <si>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</si>
  <si>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</si>
  <si>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</si>
  <si>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</si>
  <si>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</si>
  <si>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</si>
  <si>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</si>
  <si>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</si>
  <si>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</si>
  <si>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</si>
  <si>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</si>
  <si>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</si>
  <si>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</si>
  <si>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</si>
  <si>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</si>
  <si>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</si>
  <si>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</si>
  <si>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</si>
  <si>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</si>
  <si>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</si>
  <si>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</si>
  <si>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</si>
  <si>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</si>
  <si>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</si>
  <si>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</si>
  <si>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</si>
  <si>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</si>
  <si>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</si>
  <si>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</si>
  <si>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</si>
  <si>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</si>
  <si>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</si>
  <si>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</si>
  <si>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</si>
  <si>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</si>
  <si>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</si>
  <si>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</si>
  <si>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</si>
  <si>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</si>
  <si>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</si>
  <si>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</si>
  <si>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</si>
  <si>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</si>
  <si>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</si>
  <si>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</si>
  <si>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</si>
  <si>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</si>
  <si>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</si>
  <si>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</si>
  <si>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</si>
  <si>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</si>
  <si>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</si>
  <si>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</si>
  <si>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</si>
  <si>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</si>
  <si>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</si>
  <si>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</si>
  <si>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</si>
  <si>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</si>
  <si>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</si>
  <si>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</si>
  <si>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</si>
  <si>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</si>
  <si>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</si>
  <si>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</si>
  <si>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</si>
  <si>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</si>
  <si>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</si>
  <si>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</si>
  <si>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</si>
  <si>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</si>
  <si>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</si>
  <si>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</si>
  <si>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</si>
  <si>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</si>
  <si>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</si>
  <si>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</si>
  <si>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</si>
  <si>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</si>
  <si>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</si>
  <si>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</si>
  <si>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</si>
  <si>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</si>
  <si>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</si>
  <si>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</si>
  <si>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</si>
  <si>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</si>
  <si>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</si>
  <si>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</si>
  <si>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</si>
  <si>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</si>
  <si>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</si>
  <si>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</si>
  <si>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</si>
  <si>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</si>
  <si>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</si>
  <si>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</si>
  <si>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</si>
  <si>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</si>
  <si>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</si>
  <si>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</si>
  <si>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</si>
  <si>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</si>
  <si>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</si>
  <si>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</si>
  <si>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</si>
  <si>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</si>
  <si>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</si>
  <si>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</si>
  <si>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</si>
  <si>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</si>
  <si>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</si>
  <si>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</si>
  <si>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</si>
  <si>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</si>
  <si>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</si>
  <si>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</si>
  <si>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</si>
  <si>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</si>
  <si>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</si>
  <si>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</si>
  <si>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</si>
  <si>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</si>
  <si>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</si>
  <si>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</si>
  <si>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</si>
  <si>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</si>
  <si>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</si>
  <si>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</si>
  <si>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</si>
  <si>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</si>
  <si>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</si>
  <si>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</si>
  <si>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</si>
  <si>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</si>
  <si>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</si>
  <si>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</si>
  <si>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</si>
  <si>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</si>
  <si>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</si>
  <si>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</si>
  <si>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</si>
  <si>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</si>
  <si>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</si>
  <si>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</si>
  <si>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</si>
  <si>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</si>
  <si>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</si>
  <si>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</si>
  <si>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</si>
  <si>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</si>
  <si>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</si>
  <si>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</si>
  <si>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</si>
  <si>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</si>
  <si>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</si>
  <si>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</si>
  <si>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</si>
  <si>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</si>
  <si>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</si>
  <si>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</si>
  <si>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</si>
  <si>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</si>
  <si>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</si>
  <si>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</si>
  <si>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</si>
  <si>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</si>
  <si>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</si>
  <si>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</si>
  <si>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</si>
  <si>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</si>
  <si>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</si>
  <si>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</si>
  <si>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</si>
  <si>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</si>
  <si>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</si>
  <si>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</si>
  <si>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</si>
  <si>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</si>
  <si>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</si>
  <si>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</si>
  <si>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</si>
  <si>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</si>
  <si>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</si>
  <si>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</si>
  <si>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</si>
  <si>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</si>
  <si>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</si>
  <si>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</si>
  <si>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</si>
  <si>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</si>
  <si>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</si>
  <si>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</si>
  <si>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</si>
  <si>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</si>
  <si>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</si>
  <si>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</si>
  <si>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</si>
  <si>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</si>
  <si>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</si>
  <si>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</si>
  <si>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</si>
  <si>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</si>
  <si>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</si>
  <si>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</si>
  <si>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</si>
  <si>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</si>
  <si>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</si>
  <si>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</si>
  <si>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</si>
  <si>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</si>
  <si>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</si>
  <si>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</si>
  <si>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</si>
  <si>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</si>
  <si>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</si>
  <si>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</si>
  <si>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</si>
  <si>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</si>
  <si>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</si>
  <si>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</si>
  <si>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</si>
  <si>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</si>
  <si>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</si>
  <si>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</si>
  <si>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</si>
  <si>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</si>
  <si>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</si>
  <si>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</si>
  <si>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</si>
  <si>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</si>
  <si>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</si>
  <si>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</si>
  <si>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</si>
  <si>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</si>
  <si>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</si>
  <si>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</si>
  <si>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</si>
  <si>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</si>
  <si>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</si>
  <si>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</si>
  <si>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</si>
  <si>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</si>
  <si>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</si>
  <si>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</si>
  <si>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</si>
  <si>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</si>
  <si>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</si>
  <si>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</si>
  <si>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</si>
  <si>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</si>
  <si>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</si>
  <si>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</si>
  <si>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</si>
  <si>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</si>
  <si>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</si>
  <si>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</si>
  <si>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</si>
  <si>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</si>
  <si>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</si>
  <si>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</si>
  <si>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</si>
  <si>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</si>
  <si>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</si>
  <si>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</si>
  <si>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</si>
  <si>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</si>
  <si>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</si>
  <si>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</si>
  <si>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</si>
  <si>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</si>
  <si>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</si>
  <si>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</si>
  <si>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</si>
  <si>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</si>
  <si>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</si>
  <si>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</si>
  <si>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</si>
  <si>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</si>
  <si>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</si>
  <si>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</si>
  <si>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</si>
  <si>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</si>
  <si>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</si>
  <si>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</si>
  <si>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</si>
  <si>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</si>
  <si>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</si>
  <si>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</si>
  <si>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</si>
  <si>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</si>
  <si>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</si>
  <si>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</si>
  <si>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</si>
  <si>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</si>
  <si>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</si>
  <si>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</si>
  <si>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</si>
  <si>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</si>
  <si>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</si>
  <si>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</si>
  <si>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</si>
  <si>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</si>
  <si>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</si>
  <si>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</si>
  <si>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</si>
  <si>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</si>
  <si>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</si>
  <si>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</si>
  <si>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</si>
  <si>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</si>
  <si>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</si>
  <si>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</si>
  <si>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</si>
  <si>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</si>
  <si>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</si>
  <si>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</si>
  <si>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</si>
  <si>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</si>
  <si>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</si>
  <si>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</si>
  <si>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</si>
  <si>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</si>
  <si>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</si>
  <si>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</si>
  <si>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</si>
  <si>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</si>
  <si>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</si>
  <si>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</si>
  <si>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</si>
  <si>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</si>
  <si>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</si>
  <si>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</si>
  <si>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</si>
  <si>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</si>
  <si>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</si>
  <si>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</si>
  <si>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</si>
  <si>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</si>
  <si>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</si>
  <si>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</si>
  <si>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</si>
  <si>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</si>
  <si>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</si>
  <si>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</si>
  <si>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</si>
  <si>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</si>
  <si>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</si>
  <si>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</si>
  <si>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</si>
  <si>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</si>
  <si>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</si>
  <si>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</si>
  <si>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</si>
  <si>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</si>
  <si>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</si>
  <si>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</si>
  <si>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</si>
  <si>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</si>
  <si>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</si>
  <si>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</si>
  <si>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</si>
  <si>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</si>
  <si>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</si>
  <si>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</si>
  <si>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</si>
  <si>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</si>
  <si>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</si>
  <si>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</si>
  <si>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</si>
  <si>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</si>
  <si>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</si>
  <si>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</si>
  <si>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</si>
  <si>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</si>
  <si>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</si>
  <si>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</si>
  <si>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</si>
  <si>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</si>
  <si>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</si>
  <si>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</si>
  <si>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</si>
  <si>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</si>
  <si>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</si>
  <si>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</si>
  <si>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</si>
  <si>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</si>
  <si>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</si>
  <si>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</si>
  <si>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</si>
  <si>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</si>
  <si>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</si>
  <si>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</si>
  <si>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</si>
  <si>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</si>
  <si>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</si>
  <si>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</si>
  <si>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</si>
  <si>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</si>
  <si>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</si>
  <si>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</si>
  <si>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</si>
  <si>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</si>
  <si>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</si>
  <si>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</si>
  <si>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</si>
  <si>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</si>
  <si>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</si>
  <si>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</si>
  <si>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</si>
  <si>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</si>
  <si>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</si>
  <si>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</si>
  <si>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</si>
  <si>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</si>
  <si>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</si>
  <si>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</si>
  <si>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</si>
  <si>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</si>
  <si>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</si>
  <si>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</si>
  <si>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</si>
  <si>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</si>
  <si>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</si>
  <si>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</si>
  <si>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</si>
  <si>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</si>
  <si>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</si>
  <si>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</si>
  <si>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</si>
  <si>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</si>
  <si>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</si>
  <si>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</si>
  <si>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</si>
  <si>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</si>
  <si>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</si>
  <si>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</si>
  <si>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</si>
  <si>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</si>
  <si>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</si>
  <si>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</si>
  <si>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</si>
  <si>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</si>
  <si>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</si>
  <si>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</si>
  <si>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</si>
  <si>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</si>
  <si>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</si>
  <si>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</si>
  <si>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</si>
  <si>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</si>
  <si>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</si>
  <si>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</si>
  <si>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</si>
  <si>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</si>
  <si>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</si>
  <si>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</si>
  <si>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</si>
  <si>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</si>
  <si>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</si>
  <si>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</si>
  <si>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</si>
  <si>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</si>
  <si>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</si>
  <si>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</si>
  <si>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</si>
  <si>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</si>
  <si>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</si>
  <si>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</si>
  <si>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</si>
  <si>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</si>
  <si>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</si>
  <si>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</si>
  <si>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</si>
  <si>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</si>
  <si>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</si>
  <si>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</si>
  <si>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</si>
  <si>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</si>
  <si>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</si>
  <si>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</si>
  <si>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</si>
  <si>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</si>
  <si>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</si>
  <si>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</si>
  <si>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</si>
  <si>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</si>
  <si>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</si>
  <si>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</si>
  <si>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</si>
  <si>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</si>
  <si>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</si>
  <si>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</si>
  <si>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</si>
  <si>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</si>
  <si>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</si>
  <si>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</si>
  <si>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</si>
  <si>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</si>
  <si>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</si>
  <si>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</si>
  <si>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</si>
  <si>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</si>
  <si>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</si>
  <si>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</si>
  <si>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</si>
  <si>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</si>
  <si>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</si>
  <si>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</si>
  <si>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</si>
  <si>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</si>
  <si>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</si>
  <si>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</si>
  <si>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</si>
  <si>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</si>
  <si>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</si>
  <si>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</si>
  <si>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</si>
  <si>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</si>
  <si>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</si>
  <si>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</si>
  <si>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</si>
  <si>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</si>
  <si>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</si>
  <si>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</si>
  <si>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</si>
  <si>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</si>
  <si>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</si>
  <si>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</si>
  <si>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</si>
  <si>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</si>
  <si>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</si>
  <si>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</si>
  <si>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</si>
  <si>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</si>
  <si>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</si>
  <si>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</si>
  <si>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</si>
  <si>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</si>
  <si>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</si>
  <si>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</si>
  <si>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</si>
  <si>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</si>
  <si>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</si>
  <si>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</si>
  <si>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</si>
  <si>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</si>
  <si>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</si>
  <si>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</si>
  <si>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</si>
  <si>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</si>
  <si>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</si>
  <si>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</si>
  <si>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</si>
  <si>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</si>
  <si>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</si>
  <si>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</si>
  <si>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</si>
  <si>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</si>
  <si>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</si>
  <si>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</si>
  <si>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</si>
  <si>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</si>
  <si>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</si>
  <si>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</si>
  <si>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</si>
  <si>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</si>
  <si>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</si>
  <si>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</si>
  <si>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</si>
  <si>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</si>
  <si>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</si>
  <si>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</si>
  <si>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</si>
  <si>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</si>
  <si>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</si>
  <si>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</si>
  <si>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</si>
  <si>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</si>
  <si>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</si>
  <si>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</si>
  <si>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</si>
  <si>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</si>
  <si>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</si>
  <si>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</si>
  <si>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</si>
  <si>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</si>
  <si>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</si>
  <si>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</si>
  <si>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</si>
  <si>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</si>
  <si>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</si>
  <si>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</si>
  <si>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</si>
  <si>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</si>
  <si>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</si>
  <si>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</si>
  <si>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</si>
  <si>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</si>
  <si>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</si>
  <si>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</si>
  <si>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</si>
  <si>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</si>
  <si>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</si>
  <si>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</si>
  <si>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</si>
  <si>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</si>
  <si>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</si>
  <si>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</si>
  <si>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</si>
  <si>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</si>
  <si>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</si>
  <si>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</si>
  <si>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</si>
  <si>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</si>
  <si>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</si>
  <si>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</si>
  <si>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</si>
  <si>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</si>
  <si>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</si>
  <si>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</si>
  <si>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</si>
  <si>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</si>
  <si>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</si>
  <si>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</si>
  <si>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</si>
  <si>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</si>
  <si>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</si>
  <si>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</si>
  <si>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</si>
  <si>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</si>
  <si>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</si>
  <si>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</si>
  <si>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</si>
  <si>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</si>
  <si>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</si>
  <si>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</si>
  <si>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</si>
  <si>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</si>
  <si>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</si>
  <si>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</si>
  <si>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</si>
  <si>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</si>
  <si>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</si>
  <si>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</si>
  <si>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</si>
  <si>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</si>
  <si>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</si>
  <si>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</si>
  <si>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</si>
  <si>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</si>
  <si>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</si>
  <si>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</si>
  <si>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</si>
  <si>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</si>
  <si>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</si>
  <si>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</si>
  <si>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</si>
  <si>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</si>
  <si>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</si>
  <si>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</si>
  <si>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</si>
  <si>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</si>
  <si>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</si>
  <si>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</si>
  <si>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</si>
  <si>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</si>
  <si>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</si>
  <si>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</si>
  <si>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</si>
  <si>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</si>
  <si>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</si>
  <si>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</si>
  <si>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</si>
  <si>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</si>
  <si>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</si>
  <si>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</si>
  <si>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</si>
  <si>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</si>
  <si>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</si>
  <si>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</si>
  <si>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</si>
  <si>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</si>
  <si>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</si>
  <si>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</si>
  <si>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</si>
  <si>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</si>
  <si>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</si>
  <si>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</si>
  <si>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</si>
  <si>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</si>
  <si>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</si>
  <si>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</si>
  <si>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</si>
  <si>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</si>
  <si>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</si>
  <si>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</si>
  <si>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</si>
  <si>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</si>
  <si>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</si>
  <si>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</si>
  <si>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</si>
  <si>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</si>
  <si>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</si>
  <si>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</si>
  <si>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</si>
  <si>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</si>
  <si>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</si>
  <si>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</si>
  <si>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</si>
  <si>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</si>
  <si>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</si>
  <si>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</si>
  <si>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</si>
  <si>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</si>
  <si>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</si>
  <si>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</si>
  <si>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</si>
  <si>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</si>
  <si>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</si>
  <si>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</si>
  <si>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</si>
  <si>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</si>
  <si>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</si>
  <si>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</si>
  <si>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</si>
  <si>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</si>
  <si>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</si>
  <si>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</si>
  <si>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</si>
  <si>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</si>
  <si>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</si>
  <si>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</si>
  <si>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</si>
  <si>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</si>
  <si>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</si>
  <si>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</si>
  <si>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</si>
  <si>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</si>
  <si>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</si>
  <si>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</si>
  <si>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</si>
  <si>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</si>
  <si>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</si>
  <si>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</si>
  <si>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</si>
  <si>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</si>
  <si>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</si>
  <si>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</si>
  <si>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</si>
  <si>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</si>
  <si>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</si>
  <si>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</si>
  <si>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</si>
  <si>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</si>
  <si>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</si>
  <si>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</si>
  <si>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</si>
  <si>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</si>
  <si>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</si>
  <si>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</si>
  <si>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</si>
  <si>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</si>
  <si>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</si>
  <si>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</si>
  <si>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</si>
  <si>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</si>
  <si>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</si>
  <si>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</si>
  <si>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</si>
  <si>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</si>
  <si>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</si>
  <si>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</si>
  <si>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</si>
  <si>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</si>
  <si>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</si>
  <si>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</si>
  <si>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</si>
  <si>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</si>
  <si>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</si>
  <si>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</si>
  <si>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</si>
  <si>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</si>
  <si>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</si>
  <si>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</si>
  <si>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</si>
  <si>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</si>
  <si>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</si>
  <si>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</si>
  <si>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</si>
  <si>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</si>
  <si>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</si>
  <si>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</si>
  <si>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</si>
  <si>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</si>
  <si>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</si>
  <si>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</si>
  <si>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</si>
  <si>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</si>
  <si>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</si>
  <si>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</si>
  <si>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</si>
  <si>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</si>
  <si>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</si>
  <si>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</si>
  <si>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</si>
  <si>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</si>
  <si>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</si>
  <si>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</si>
  <si>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</si>
  <si>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</si>
  <si>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</si>
  <si>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</si>
  <si>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</si>
  <si>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</si>
  <si>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</si>
  <si>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</si>
  <si>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</si>
  <si>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</si>
  <si>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</si>
  <si>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</si>
  <si>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</si>
  <si>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</si>
  <si>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</si>
  <si>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</si>
  <si>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</si>
  <si>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</si>
  <si>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</si>
  <si>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</si>
  <si>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</si>
  <si>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</si>
  <si>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</si>
  <si>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</si>
  <si>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</si>
  <si>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</si>
  <si>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</si>
  <si>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</si>
  <si>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</si>
  <si>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</si>
  <si>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</si>
  <si>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</si>
  <si>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</si>
  <si>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</si>
  <si>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</si>
  <si>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</si>
  <si>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</si>
  <si>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</si>
  <si>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</si>
  <si>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</si>
  <si>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</si>
  <si>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</si>
  <si>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</si>
  <si>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</si>
  <si>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</si>
  <si>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</si>
  <si>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</si>
  <si>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</si>
  <si>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</si>
  <si>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</si>
  <si>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</si>
  <si>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</si>
  <si>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</si>
  <si>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</si>
  <si>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</si>
  <si>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</si>
  <si>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</si>
  <si>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</si>
  <si>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</si>
  <si>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</si>
  <si>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</si>
  <si>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</si>
  <si>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</si>
  <si>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</si>
  <si>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</si>
  <si>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</si>
  <si>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</si>
  <si>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</si>
  <si>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</si>
  <si>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</si>
  <si>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</si>
  <si>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</si>
  <si>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</si>
  <si>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</si>
  <si>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</si>
  <si>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</si>
  <si>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</si>
  <si>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</si>
  <si>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</si>
  <si>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</si>
  <si>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</si>
  <si>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</si>
  <si>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</si>
  <si>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</si>
  <si>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</si>
  <si>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</si>
  <si>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</si>
  <si>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</si>
  <si>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</si>
  <si>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</si>
  <si>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</si>
  <si>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</si>
  <si>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</si>
  <si>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</si>
  <si>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</si>
  <si>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</si>
  <si>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</si>
  <si>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</si>
  <si>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</si>
  <si>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</si>
  <si>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</si>
  <si>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</si>
  <si>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</si>
  <si>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</si>
  <si>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</si>
  <si>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</si>
  <si>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</si>
  <si>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</si>
  <si>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</si>
  <si>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</si>
  <si>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</si>
  <si>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</si>
  <si>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</si>
  <si>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</si>
  <si>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</si>
  <si>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</si>
  <si>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</si>
  <si>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</si>
  <si>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</si>
  <si>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</si>
  <si>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</si>
  <si>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</si>
  <si>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</si>
  <si>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</si>
  <si>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</si>
  <si>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</si>
  <si>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</si>
  <si>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</si>
  <si>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</si>
  <si>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</si>
  <si>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</si>
  <si>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</si>
  <si>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</si>
  <si>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</si>
  <si>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</si>
  <si>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</si>
  <si>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</si>
  <si>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</si>
  <si>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</si>
  <si>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</si>
  <si>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</si>
  <si>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</si>
  <si>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</si>
  <si>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</si>
  <si>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</si>
  <si>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</si>
  <si>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</si>
  <si>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</si>
  <si>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</si>
  <si>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</si>
  <si>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</si>
  <si>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</si>
  <si>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</si>
  <si>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</si>
  <si>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</si>
  <si>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</si>
  <si>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</si>
  <si>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</si>
  <si>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</si>
  <si>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</si>
  <si>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</si>
  <si>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</si>
  <si>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</si>
  <si>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</si>
  <si>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</si>
  <si>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</si>
  <si>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</si>
  <si>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</si>
  <si>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</si>
  <si>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</si>
  <si>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</si>
  <si>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</si>
  <si>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</si>
  <si>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</si>
  <si>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</si>
  <si>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</si>
  <si>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</si>
  <si>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</si>
  <si>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</si>
  <si>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</si>
  <si>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</si>
  <si>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</si>
  <si>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</si>
  <si>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</si>
  <si>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</si>
  <si>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</si>
  <si>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</si>
  <si>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</si>
  <si>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</si>
  <si>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</si>
  <si>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</si>
  <si>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</si>
  <si>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</si>
  <si>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</si>
  <si>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</si>
  <si>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</si>
  <si>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</si>
  <si>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</si>
  <si>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</si>
  <si>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</si>
  <si>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</si>
  <si>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</si>
  <si>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</si>
  <si>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</si>
  <si>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</si>
  <si>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</si>
  <si>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</si>
  <si>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</si>
  <si>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</si>
  <si>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</si>
  <si>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</si>
  <si>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</si>
  <si>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</si>
  <si>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</si>
  <si>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</si>
  <si>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</si>
  <si>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</si>
  <si>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</si>
  <si>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</si>
  <si>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</si>
  <si>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</si>
  <si>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</si>
  <si>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</si>
  <si>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</si>
  <si>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</si>
  <si>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</si>
  <si>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</si>
  <si>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</si>
  <si>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</si>
  <si>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</si>
  <si>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</si>
  <si>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</si>
  <si>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</si>
  <si>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</si>
  <si>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</si>
  <si>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</si>
  <si>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</si>
  <si>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</si>
  <si>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</si>
  <si>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</si>
  <si>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</si>
  <si>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</si>
  <si>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</si>
  <si>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</si>
  <si>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</si>
  <si>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</si>
  <si>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</si>
  <si>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</si>
  <si>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</si>
  <si>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</si>
  <si>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</si>
  <si>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</si>
  <si>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</si>
  <si>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</si>
  <si>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</si>
  <si>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</si>
  <si>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</si>
  <si>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</si>
  <si>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</si>
  <si>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</si>
  <si>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</si>
  <si>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</si>
  <si>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</si>
  <si>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</si>
  <si>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</si>
  <si>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</si>
  <si>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</si>
  <si>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</si>
  <si>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</si>
  <si>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</si>
  <si>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</si>
  <si>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</si>
  <si>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</si>
  <si>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</si>
  <si>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</si>
  <si>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</si>
  <si>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</si>
  <si>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</si>
  <si>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</si>
  <si>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</si>
  <si>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</si>
  <si>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</si>
  <si>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</si>
  <si>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</si>
  <si>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</si>
  <si>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</si>
  <si>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</si>
  <si>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</si>
  <si>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</si>
  <si>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</si>
  <si>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</si>
  <si>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</si>
  <si>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</si>
  <si>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</si>
  <si>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</si>
  <si>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</si>
  <si>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</si>
  <si>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</si>
  <si>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</si>
  <si>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</si>
  <si>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</si>
  <si>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</si>
  <si>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</si>
  <si>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</si>
  <si>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</si>
  <si>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</si>
  <si>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</si>
  <si>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</si>
  <si>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</si>
  <si>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</si>
  <si>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</si>
  <si>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</si>
  <si>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</si>
  <si>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</si>
  <si>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</si>
  <si>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</si>
  <si>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</si>
  <si>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</si>
  <si>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</si>
  <si>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</si>
  <si>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</si>
  <si>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</si>
  <si>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</si>
  <si>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</si>
  <si>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</si>
  <si>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</si>
  <si>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</si>
  <si>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</si>
  <si>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</si>
  <si>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</si>
  <si>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</si>
  <si>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</si>
  <si>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</si>
  <si>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</si>
  <si>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</si>
  <si>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</si>
  <si>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</si>
  <si>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</si>
  <si>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</si>
  <si>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</si>
  <si>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</si>
  <si>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</si>
  <si>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</si>
  <si>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</si>
  <si>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</si>
  <si>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</si>
  <si>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</si>
  <si>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</si>
  <si>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</si>
  <si>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</si>
  <si>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</si>
  <si>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</si>
  <si>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</si>
  <si>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</si>
  <si>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</si>
  <si>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</si>
  <si>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</si>
  <si>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</si>
  <si>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</si>
  <si>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</si>
  <si>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</si>
  <si>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</si>
  <si>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</si>
  <si>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</si>
  <si>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</si>
  <si>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</si>
  <si>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</si>
  <si>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</si>
  <si>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</si>
  <si>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</si>
  <si>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</si>
  <si>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</si>
  <si>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</si>
  <si>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</si>
  <si>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</si>
  <si>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</si>
  <si>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</si>
  <si>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</si>
  <si>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</si>
  <si>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</si>
  <si>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</si>
  <si>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</si>
  <si>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</si>
  <si>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</si>
  <si>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</si>
  <si>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</si>
  <si>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</si>
  <si>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</si>
  <si>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</si>
  <si>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</si>
  <si>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</si>
  <si>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</si>
  <si>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</si>
  <si>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</si>
  <si>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</si>
  <si>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</si>
  <si>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</si>
  <si>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</si>
  <si>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</si>
  <si>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</si>
  <si>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</si>
  <si>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</si>
  <si>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</si>
  <si>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</si>
  <si>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</si>
  <si>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</si>
  <si>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</si>
  <si>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</si>
  <si>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</si>
  <si>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</si>
  <si>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</si>
  <si>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</si>
  <si>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</si>
  <si>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</si>
  <si>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</si>
  <si>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</si>
  <si>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</si>
  <si>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</si>
  <si>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</si>
  <si>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</si>
  <si>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</si>
  <si>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</si>
  <si>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</si>
  <si>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</si>
  <si>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</si>
  <si>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</si>
  <si>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</si>
  <si>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</si>
  <si>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</si>
  <si>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</si>
  <si>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</si>
  <si>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</si>
  <si>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</si>
  <si>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</si>
  <si>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</si>
  <si>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</si>
  <si>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</si>
  <si>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</si>
  <si>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</si>
  <si>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</si>
  <si>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</si>
  <si>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</si>
  <si>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</si>
  <si>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</si>
  <si>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</si>
  <si>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</si>
  <si>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</si>
  <si>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</si>
  <si>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</si>
  <si>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</si>
  <si>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</si>
  <si>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</si>
  <si>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</si>
  <si>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</si>
  <si>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</si>
  <si>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</si>
  <si>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</si>
  <si>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</si>
  <si>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</si>
  <si>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</si>
  <si>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</si>
  <si>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</si>
  <si>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</si>
  <si>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</si>
  <si>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</si>
  <si>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</si>
  <si>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</si>
  <si>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</si>
  <si>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</si>
  <si>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</si>
  <si>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</si>
  <si>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</si>
  <si>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</si>
  <si>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</si>
  <si>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</si>
  <si>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</si>
  <si>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</si>
  <si>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</si>
  <si>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</si>
  <si>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</si>
  <si>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</si>
  <si>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</si>
  <si>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</si>
  <si>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</si>
  <si>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</si>
  <si>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</si>
  <si>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</si>
  <si>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</si>
  <si>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</si>
  <si>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</si>
  <si>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</si>
  <si>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</si>
  <si>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</si>
  <si>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</si>
  <si>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</si>
  <si>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</si>
  <si>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</si>
  <si>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</si>
  <si>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</si>
  <si>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</si>
  <si>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</si>
  <si>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</si>
  <si>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</si>
  <si>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</si>
  <si>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</si>
  <si>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</si>
  <si>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</si>
  <si>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</si>
  <si>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</si>
  <si>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</si>
  <si>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</si>
  <si>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</si>
  <si>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</si>
  <si>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</si>
  <si>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</si>
  <si>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</si>
  <si>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</si>
  <si>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</si>
  <si>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</si>
  <si>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</si>
  <si>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</si>
  <si>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</si>
  <si>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</si>
  <si>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</si>
  <si>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</si>
  <si>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</si>
  <si>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</si>
  <si>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</si>
  <si>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</si>
  <si>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</si>
  <si>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</si>
  <si>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</si>
  <si>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</si>
  <si>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</si>
  <si>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</si>
  <si>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</si>
  <si>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</si>
  <si>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</si>
  <si>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</si>
  <si>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</si>
  <si>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</si>
  <si>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</si>
  <si>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</si>
  <si>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</si>
  <si>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</si>
  <si>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</si>
  <si>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</si>
  <si>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</si>
  <si>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</si>
  <si>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</si>
  <si>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</si>
  <si>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</si>
  <si>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</si>
  <si>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</si>
  <si>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</si>
  <si>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</si>
  <si>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</si>
  <si>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</si>
  <si>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</si>
  <si>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</si>
  <si>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</si>
  <si>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</si>
  <si>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</si>
  <si>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</si>
  <si>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</si>
  <si>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</si>
  <si>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</si>
  <si>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</si>
  <si>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</si>
  <si>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</si>
  <si>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</si>
  <si>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</si>
  <si>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</si>
  <si>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</si>
  <si>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</si>
  <si>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</si>
  <si>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</si>
  <si>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</si>
  <si>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</si>
  <si>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</si>
  <si>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</si>
  <si>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</si>
  <si>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</si>
  <si>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</si>
  <si>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</si>
  <si>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</si>
  <si>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</si>
  <si>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</si>
  <si>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</si>
  <si>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</si>
  <si>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</si>
  <si>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</si>
  <si>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</si>
  <si>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</si>
  <si>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</si>
  <si>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</si>
  <si>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</si>
  <si>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</si>
  <si>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</si>
  <si>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</si>
  <si>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</si>
  <si>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</si>
  <si>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</si>
  <si>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</si>
  <si>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</si>
  <si>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</si>
  <si>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</si>
  <si>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</si>
  <si>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</si>
  <si>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</si>
  <si>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</si>
  <si>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</si>
  <si>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</si>
  <si>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</si>
  <si>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</si>
  <si>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</si>
  <si>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</si>
  <si>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</si>
  <si>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</si>
  <si>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</si>
  <si>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</si>
  <si>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</si>
  <si>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</si>
  <si>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</si>
  <si>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</si>
  <si>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</si>
  <si>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</si>
  <si>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</si>
  <si>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</si>
  <si>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</si>
  <si>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</si>
  <si>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</si>
  <si>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</si>
  <si>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</si>
  <si>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</si>
  <si>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</si>
  <si>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</si>
  <si>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</si>
  <si>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</si>
  <si>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</si>
  <si>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</si>
  <si>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</si>
  <si>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</si>
  <si>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</si>
  <si>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</si>
  <si>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</si>
  <si>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</si>
  <si>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</si>
  <si>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</si>
  <si>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</si>
  <si>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</si>
  <si>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</si>
  <si>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</si>
  <si>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</si>
  <si>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</si>
  <si>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</si>
  <si>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</si>
  <si>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</si>
  <si>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</si>
  <si>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</si>
  <si>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</si>
  <si>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</si>
  <si>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</si>
  <si>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</si>
  <si>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</si>
  <si>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</si>
  <si>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</si>
  <si>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</si>
  <si>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</si>
  <si>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</si>
  <si>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</si>
  <si>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</si>
  <si>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</si>
  <si>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</si>
  <si>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</si>
  <si>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</si>
  <si>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</si>
  <si>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</si>
  <si>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</si>
  <si>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</si>
  <si>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</si>
  <si>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</si>
  <si>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</si>
  <si>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</si>
  <si>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</si>
  <si>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</si>
  <si>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</si>
  <si>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</si>
  <si>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</si>
  <si>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</si>
  <si>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</si>
  <si>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</si>
  <si>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</si>
  <si>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</si>
  <si>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</si>
  <si>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</si>
  <si>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</si>
  <si>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</si>
  <si>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</si>
  <si>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</si>
  <si>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</si>
  <si>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</si>
  <si>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</si>
  <si>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</si>
  <si>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</si>
  <si>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</si>
  <si>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</si>
  <si>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</si>
  <si>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</si>
  <si>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</si>
  <si>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</si>
  <si>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</si>
  <si>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</si>
  <si>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</si>
  <si>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</si>
  <si>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</si>
  <si>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</si>
  <si>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</si>
  <si>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</si>
  <si>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</si>
  <si>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</si>
  <si>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</si>
  <si>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</si>
  <si>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</si>
  <si>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</si>
  <si>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</si>
  <si>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</si>
  <si>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</si>
  <si>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</si>
  <si>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</si>
  <si>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</si>
  <si>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</si>
  <si>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</si>
  <si>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</si>
  <si>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</si>
  <si>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</si>
  <si>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</si>
  <si>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</si>
  <si>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</si>
  <si>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</si>
  <si>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</si>
  <si>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</si>
  <si>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</si>
  <si>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</si>
  <si>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</si>
  <si>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</si>
  <si>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</si>
  <si>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</si>
  <si>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</si>
  <si>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</si>
  <si>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</si>
  <si>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</si>
  <si>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</si>
  <si>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</si>
  <si>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</si>
  <si>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</si>
  <si>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</si>
  <si>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</si>
  <si>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</si>
  <si>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</si>
  <si>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</si>
  <si>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</si>
  <si>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</si>
  <si>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</si>
  <si>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</si>
  <si>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</si>
  <si>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</si>
  <si>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</si>
  <si>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</si>
  <si>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</si>
  <si>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</si>
  <si>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</si>
  <si>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</si>
  <si>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</si>
  <si>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</si>
  <si>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</si>
  <si>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</si>
  <si>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</si>
  <si>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</si>
  <si>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</si>
  <si>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</si>
  <si>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</si>
  <si>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</si>
  <si>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</si>
  <si>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</si>
  <si>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</si>
  <si>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</si>
  <si>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</si>
  <si>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</si>
  <si>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</si>
  <si>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</si>
  <si>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</si>
  <si>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</si>
  <si>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</si>
  <si>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</si>
  <si>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</si>
  <si>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</si>
  <si>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</si>
  <si>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</si>
  <si>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</si>
  <si>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</si>
  <si>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</si>
  <si>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</si>
  <si>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</si>
  <si>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</si>
  <si>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</si>
  <si>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</si>
  <si>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</si>
  <si>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</si>
  <si>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</si>
  <si>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</si>
  <si>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</si>
  <si>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</si>
  <si>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</si>
  <si>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</si>
  <si>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</si>
  <si>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</si>
  <si>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</si>
  <si>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</si>
  <si>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</si>
  <si>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</si>
  <si>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</si>
  <si>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</si>
  <si>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</si>
  <si>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</si>
  <si>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</si>
  <si>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</si>
  <si>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</si>
  <si>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</si>
  <si>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</si>
  <si>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</si>
  <si>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</si>
  <si>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</si>
  <si>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</si>
  <si>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</si>
  <si>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</si>
  <si>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</si>
  <si>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</si>
  <si>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</si>
  <si>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</si>
  <si>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</si>
  <si>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</si>
  <si>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</si>
  <si>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</si>
  <si>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</si>
  <si>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</si>
  <si>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</si>
  <si>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</si>
  <si>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</si>
  <si>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</si>
  <si>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</si>
  <si>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</si>
  <si>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</si>
  <si>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</si>
  <si>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</si>
  <si>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</si>
  <si>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</si>
  <si>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</si>
  <si>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</si>
  <si>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</si>
  <si>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</si>
  <si>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</si>
  <si>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</si>
  <si>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</si>
  <si>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</si>
  <si>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</si>
  <si>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</si>
  <si>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</si>
  <si>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</si>
  <si>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</si>
  <si>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</si>
  <si>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</si>
  <si>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</si>
  <si>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</si>
  <si>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</si>
  <si>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</si>
  <si>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</si>
  <si>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</si>
  <si>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</si>
  <si>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</si>
  <si>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</si>
  <si>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</si>
  <si>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</si>
  <si>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</si>
  <si>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</si>
  <si>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</si>
  <si>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</si>
  <si>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</si>
  <si>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</si>
  <si>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</si>
  <si>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</si>
  <si>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</si>
  <si>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</si>
  <si>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</si>
  <si>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</si>
  <si>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</si>
  <si>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</si>
  <si>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</si>
  <si>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</si>
  <si>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</si>
  <si>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</si>
  <si>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</si>
  <si>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</si>
  <si>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</si>
  <si>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</si>
  <si>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</si>
  <si>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</si>
  <si>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</si>
  <si>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</si>
  <si>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</si>
  <si>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</si>
  <si>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</si>
  <si>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</si>
  <si>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</si>
  <si>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</si>
  <si>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</si>
  <si>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</si>
  <si>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</si>
  <si>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</si>
  <si>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</si>
  <si>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</si>
  <si>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</si>
  <si>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</si>
  <si>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</si>
  <si>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</si>
  <si>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</si>
  <si>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</si>
  <si>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</si>
  <si>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</si>
  <si>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</si>
  <si>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</si>
  <si>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</si>
  <si>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</si>
  <si>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</si>
  <si>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</si>
  <si>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</si>
  <si>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</si>
  <si>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</si>
  <si>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</si>
  <si>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</si>
  <si>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</si>
  <si>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</si>
  <si>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</si>
  <si>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</si>
  <si>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</si>
  <si>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</si>
  <si>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</si>
  <si>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</si>
  <si>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</si>
  <si>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</si>
  <si>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</si>
  <si>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</si>
  <si>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</si>
  <si>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</si>
  <si>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</si>
  <si>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</si>
  <si>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</si>
  <si>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</si>
  <si>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</si>
  <si>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</si>
  <si>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</si>
  <si>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</si>
  <si>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</si>
  <si>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</si>
  <si>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</si>
  <si>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</si>
  <si>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</si>
  <si>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</si>
  <si>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</si>
  <si>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</si>
  <si>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</si>
  <si>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</si>
  <si>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</si>
  <si>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</si>
  <si>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</si>
  <si>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</si>
  <si>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</si>
  <si>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</si>
  <si>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</si>
  <si>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</si>
  <si>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</si>
  <si>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</si>
  <si>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</si>
  <si>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</si>
  <si>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</si>
  <si>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</si>
  <si>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</si>
  <si>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</si>
  <si>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</si>
  <si>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</si>
  <si>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</si>
  <si>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</si>
  <si>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</si>
  <si>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</si>
  <si>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</si>
  <si>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</si>
  <si>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</si>
  <si>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</si>
  <si>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</si>
  <si>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</si>
  <si>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</si>
  <si>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</si>
  <si>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</si>
  <si>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</si>
  <si>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</si>
  <si>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</si>
  <si>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</si>
  <si>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</si>
  <si>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</si>
  <si>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</si>
  <si>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</si>
  <si>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</si>
  <si>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</si>
  <si>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</si>
  <si>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</si>
  <si>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</si>
  <si>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</si>
  <si>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</si>
  <si>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</si>
  <si>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</si>
  <si>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</si>
  <si>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</si>
  <si>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</si>
  <si>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</si>
  <si>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</si>
  <si>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</si>
  <si>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</si>
  <si>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</si>
  <si>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</si>
  <si>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</si>
  <si>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</si>
  <si>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</si>
  <si>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</si>
  <si>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</si>
  <si>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</si>
  <si>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</si>
  <si>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</si>
  <si>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</si>
  <si>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</si>
  <si>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</si>
  <si>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</si>
  <si>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</si>
  <si>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</si>
  <si>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</si>
  <si>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</si>
  <si>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</si>
  <si>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</si>
  <si>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</si>
  <si>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</si>
  <si>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</si>
  <si>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</si>
  <si>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</si>
  <si>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</si>
  <si>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</si>
  <si>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</si>
  <si>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</si>
  <si>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</si>
  <si>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</si>
  <si>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</si>
  <si>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</si>
  <si>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</si>
  <si>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</si>
  <si>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</si>
  <si>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</si>
  <si>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</si>
  <si>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</si>
  <si>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</si>
  <si>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</si>
  <si>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</si>
  <si>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</si>
  <si>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</si>
  <si>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</si>
  <si>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</si>
  <si>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</si>
  <si>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</si>
  <si>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</si>
  <si>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</si>
  <si>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</si>
  <si>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</si>
  <si>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</si>
  <si>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</si>
  <si>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</si>
  <si>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</si>
  <si>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</si>
  <si>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</si>
  <si>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</si>
  <si>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</si>
  <si>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</si>
  <si>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</si>
  <si>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</si>
  <si>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</si>
  <si>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</si>
  <si>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</si>
  <si>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</si>
  <si>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</si>
  <si>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</si>
  <si>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</si>
  <si>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</si>
  <si>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</si>
  <si>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</si>
  <si>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</si>
  <si>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</si>
  <si>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</si>
  <si>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</si>
  <si>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</si>
  <si>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</si>
  <si>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</si>
  <si>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</si>
  <si>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</si>
  <si>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</si>
  <si>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</si>
  <si>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</si>
  <si>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</si>
  <si>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</si>
  <si>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</si>
  <si>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</si>
  <si>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</si>
  <si>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</si>
  <si>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</si>
  <si>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</si>
  <si>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</si>
  <si>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</si>
  <si>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</si>
  <si>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</si>
  <si>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</si>
  <si>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</si>
  <si>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</si>
  <si>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</si>
  <si>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</si>
  <si>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</si>
  <si>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</si>
  <si>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</si>
  <si>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</si>
  <si>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</si>
  <si>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</si>
  <si>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</si>
  <si>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</si>
  <si>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</si>
  <si>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</si>
  <si>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</si>
  <si>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</si>
  <si>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</si>
  <si>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</si>
  <si>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</si>
  <si>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</si>
  <si>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</si>
  <si>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</si>
  <si>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</si>
  <si>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</si>
  <si>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</si>
  <si>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</si>
  <si>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</si>
  <si>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</si>
  <si>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</si>
  <si>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</si>
  <si>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</si>
  <si>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</si>
  <si>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</si>
  <si>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</si>
  <si>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</si>
  <si>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</si>
  <si>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</si>
  <si>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</si>
  <si>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</si>
  <si>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</si>
  <si>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</si>
  <si>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</si>
  <si>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</si>
  <si>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</si>
  <si>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</si>
  <si>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</si>
  <si>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</si>
  <si>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</si>
  <si>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</si>
  <si>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</si>
  <si>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</si>
  <si>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</si>
  <si>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</si>
  <si>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</si>
  <si>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</si>
  <si>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</si>
  <si>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</si>
  <si>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</si>
  <si>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</si>
  <si>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</si>
  <si>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</si>
  <si>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</si>
  <si>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</si>
  <si>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</si>
  <si>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</si>
  <si>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</si>
  <si>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</si>
  <si>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</si>
  <si>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</si>
  <si>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</si>
  <si>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</si>
  <si>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</si>
  <si>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</si>
  <si>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</si>
  <si>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</si>
  <si>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</si>
  <si>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</si>
  <si>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</si>
  <si>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</si>
  <si>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</si>
  <si>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</si>
  <si>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</si>
  <si>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</si>
  <si>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</si>
  <si>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</si>
  <si>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Unknown</t>
  </si>
  <si>
    <t>Count transby pyt</t>
  </si>
  <si>
    <t>Extract month and year</t>
  </si>
  <si>
    <t>Avg sales</t>
  </si>
  <si>
    <t>High or low value</t>
  </si>
  <si>
    <t>Total sales</t>
  </si>
  <si>
    <t>Row Labels</t>
  </si>
  <si>
    <t>(blank)</t>
  </si>
  <si>
    <t>Grand Total</t>
  </si>
  <si>
    <t>Sum of Total_Amount</t>
  </si>
  <si>
    <t>Count of Customer_ID</t>
  </si>
  <si>
    <t>Count of Product_ID</t>
  </si>
  <si>
    <t>Customer Name</t>
  </si>
  <si>
    <t>Sum of Quantity</t>
  </si>
  <si>
    <t>Statistic</t>
  </si>
  <si>
    <t>Total Amount</t>
  </si>
  <si>
    <t>Mean</t>
  </si>
  <si>
    <t>Median</t>
  </si>
  <si>
    <t>Mode</t>
  </si>
  <si>
    <t>Standard Deviation</t>
  </si>
  <si>
    <t>Minimum</t>
  </si>
  <si>
    <t>Maximum</t>
  </si>
  <si>
    <t>Count</t>
  </si>
  <si>
    <t>=AVERAGE(Sales_Fact!J2:J2001)</t>
  </si>
  <si>
    <t>=MEDIAN(Sales_Fact!J2:J2001)</t>
  </si>
  <si>
    <t>=IFERROR(MODE.SNGL(Sales_Fact!J2),"No repeated value")</t>
  </si>
  <si>
    <t>=STDEV.S(Sales_Fact!J2:J2001)</t>
  </si>
  <si>
    <t>=MIN(Sales_Fact!J2:J2001)</t>
  </si>
  <si>
    <t>=MAX(Sales_Fact!J2:J2001)</t>
  </si>
  <si>
    <t>=COUNT(Sales_Fact!J2:J2001)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</si>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</sst>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69" fontId="5" fillId="0" borderId="0" xfId="0" applyNumberFormat="1" applyFon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0" fontId="5" fillId="0" borderId="0" xfId="0" applyNumberFormat="1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5" fillId="0" borderId="0" xfId="0" applyNumberFormat="1" applyFont="1"/>
    <xf numFmtId="2" fontId="3" fillId="0" borderId="0" xfId="0" applyNumberFormat="1" applyFont="1" applyAlignment="1"/>
    <xf numFmtId="2" fontId="0" fillId="0" borderId="0" xfId="0" applyNumberFormat="1" applyAlignment="1"/>
    <xf numFmtId="0" fontId="0" fillId="0" borderId="0" xfId="0" applyAlignment="1"/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Border="1" applyAlignment="1">
      <alignment horizontal="center" vertical="top"/>
    </xf>
    <xf numFmtId="0" fontId="6" fillId="2" borderId="0" xfId="0" applyFont="1" applyFill="1" applyAlignment="1">
      <alignment horizontal="center"/>
    </xf>
    <xf numFmtId="2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33"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14" formatCode="0.00%"/>
    </dxf>
    <dxf>
      <numFmt numFmtId="169" formatCode="&quot;₹&quot;\ #,##0.0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[Ecommerce_Sales_Dataset.xlsx]Customer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Table'!$K$5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'Customer Table'!$J$6:$J$9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'Customer Table'!$K$6:$K$9</c:f>
              <c:numCache>
                <c:formatCode>General</c:formatCode>
                <c:ptCount val="3"/>
                <c:pt idx="0">
                  <c:v>262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4-41F0-BC76-5B342E39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[Ecommerce_Sales_Dataset.xlsx]Product_Dim!PivotTable7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Product_Dim!$N$4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Product_Dim!$M$5:$M$10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Product_Dim!$N$5:$N$10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3-46A0-A854-5F5598F79E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8401472"/>
        <c:axId val="135563760"/>
      </c:barChart>
      <c:catAx>
        <c:axId val="1384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3760"/>
        <c:crosses val="autoZero"/>
        <c:auto val="1"/>
        <c:lblAlgn val="ctr"/>
        <c:lblOffset val="100"/>
        <c:noMultiLvlLbl val="0"/>
      </c:catAx>
      <c:valAx>
        <c:axId val="13556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4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[Ecommerce_Sales_Dataset.xlsx]Sales_Fact!PivotTable6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Payment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Sales_Fact!$AB$5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Sales_Fact!$AA$6:$AA$9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Sales_Fact!$AB$6:$AB$9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715180.71100000048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C-40D5-B3B4-205254E9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87600"/>
        <c:axId val="135582000"/>
      </c:barChart>
      <c:catAx>
        <c:axId val="1376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2000"/>
        <c:crosses val="autoZero"/>
        <c:auto val="1"/>
        <c:lblAlgn val="ctr"/>
        <c:lblOffset val="100"/>
        <c:noMultiLvlLbl val="0"/>
      </c:catAx>
      <c:valAx>
        <c:axId val="1355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12</xdr:row>
      <xdr:rowOff>3810</xdr:rowOff>
    </xdr:from>
    <xdr:to>
      <xdr:col>14</xdr:col>
      <xdr:colOff>464820</xdr:colOff>
      <xdr:row>27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D253B-E30C-2EC8-88BB-6F89FB965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175260</xdr:colOff>
      <xdr:row>12</xdr:row>
      <xdr:rowOff>156210</xdr:rowOff>
    </xdr:from>
    <xdr:to>
      <xdr:col>16</xdr:col>
      <xdr:colOff>182880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38D11-5F5E-4B40-8E09-45245D0E1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1234440</xdr:colOff>
      <xdr:row>11</xdr:row>
      <xdr:rowOff>3810</xdr:rowOff>
    </xdr:from>
    <xdr:to>
      <xdr:col>29</xdr:col>
      <xdr:colOff>266700</xdr:colOff>
      <xdr:row>26</xdr:row>
      <xdr:rowOff>3810</xdr:rowOff>
    </xdr:to>
    <xdr:graphicFrame macro="">
      <xdr:nvGraphicFramePr>
        <xdr:cNvPr id="2" name="Total Sales by Payment Method">
          <a:extLst>
            <a:ext uri="{FF2B5EF4-FFF2-40B4-BE49-F238E27FC236}">
              <a16:creationId xmlns:a16="http://schemas.microsoft.com/office/drawing/2014/main" id="{05B76001-9F68-B986-29B2-5731CF74F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 Maheswaran" refreshedDate="46324.062744791663" createdVersion="8" refreshedVersion="8" minRefreshableVersion="3" recordCount="2001" xr:uid="{DA136C0A-6D5C-492C-83CB-A8DFDA8CC9AD}">
  <cacheSource type="worksheet">
    <worksheetSource ref="D1:Q1048576" sheet="Sales_Fact"/>
  </cacheSource>
  <cacheFields count="14">
    <cacheField name="Product_ID" numFmtId="0">
      <sharedItems containsBlank="1"/>
    </cacheField>
    <cacheField name="Store_ID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" numFmtId="169">
      <sharedItems containsString="0" containsBlank="1" containsNumber="1" minValue="20.09" maxValue="999.89"/>
    </cacheField>
    <cacheField name="Discount" numFmtId="10">
      <sharedItems containsString="0" containsBlank="1" containsNumber="1" minValue="0" maxValue="0.3"/>
    </cacheField>
    <cacheField name="Payment_Type" numFmtId="0">
      <sharedItems containsBlank="1"/>
    </cacheField>
    <cacheField name="Total_Amount" numFmtId="2">
      <sharedItems containsString="0" containsBlank="1" containsNumber="1" minValue="18.459" maxValue="3908.2428"/>
    </cacheField>
    <cacheField name="Total sales" numFmtId="0">
      <sharedItems containsString="0" containsBlank="1" containsNumber="1" minValue="170.44049999999999" maxValue="2174394.6983000007"/>
    </cacheField>
    <cacheField name="Avg sales" numFmtId="0">
      <sharedItems containsString="0" containsBlank="1" containsNumber="1" minValue="170.44049999999999" maxValue="1567.6141249999998"/>
    </cacheField>
    <cacheField name="Count transby pyt" numFmtId="0">
      <sharedItems containsString="0" containsBlank="1" containsNumber="1" containsInteger="1" minValue="1" maxValue="695"/>
    </cacheField>
    <cacheField name="High or low value" numFmtId="0">
      <sharedItems containsBlank="1"/>
    </cacheField>
    <cacheField name="Extract month and year" numFmtId="0">
      <sharedItems containsBlank="1"/>
    </cacheField>
    <cacheField name="Product_Name" numFmtId="0">
      <sharedItems containsBlank="1"/>
    </cacheField>
    <cacheField name="Category" numFmtId="0">
      <sharedItems containsBlank="1" count="6">
        <s v="Sports"/>
        <s v="Electronics"/>
        <s v="Beauty"/>
        <s v="Home"/>
        <s v="Cloth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 Maheswaran" refreshedDate="46324.092043287033" createdVersion="8" refreshedVersion="8" minRefreshableVersion="3" recordCount="501" xr:uid="{998B6DD1-9039-47D0-AD77-7B6AF04711CA}">
  <cacheSource type="worksheet">
    <worksheetSource ref="A1:H1048576" sheet="Customer Table"/>
  </cacheSource>
  <cacheFields count="8">
    <cacheField name="Customer_ID" numFmtId="0">
      <sharedItems containsBlank="1"/>
    </cacheField>
    <cacheField name="Name" numFmtId="0">
      <sharedItems containsBlank="1"/>
    </cacheField>
    <cacheField name="Age" numFmtId="0">
      <sharedItems containsString="0" containsBlank="1" containsNumber="1" containsInteger="1" minValue="18" maxValue="64"/>
    </cacheField>
    <cacheField name="Gender" numFmtId="0">
      <sharedItems containsBlank="1" count="3">
        <s v="Male"/>
        <s v="Female"/>
        <m/>
      </sharedItems>
    </cacheField>
    <cacheField name="City" numFmtId="0">
      <sharedItems containsBlank="1"/>
    </cacheField>
    <cacheField name="State" numFmtId="0">
      <sharedItems containsBlank="1"/>
    </cacheField>
    <cacheField name="Country" numFmtId="0">
      <sharedItems containsBlank="1"/>
    </cacheField>
    <cacheField name="Loyalty_Lev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 Maheswaran" refreshedDate="46324.092560532408" createdVersion="8" refreshedVersion="8" minRefreshableVersion="3" recordCount="101" xr:uid="{A89DCA47-94C9-4099-AF36-C11869F9C7BA}">
  <cacheSource type="worksheet">
    <worksheetSource ref="A1:E1048576" sheet="Product_Dim"/>
  </cacheSource>
  <cacheFields count="5"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 count="6">
        <s v="Electronics"/>
        <s v="Clothing"/>
        <s v="Beauty"/>
        <s v="Home"/>
        <s v="Sports"/>
        <m/>
      </sharedItems>
    </cacheField>
    <cacheField name="Sub_Category" numFmtId="0">
      <sharedItems containsBlank="1"/>
    </cacheField>
    <cacheField name="Br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 Maheswaran" refreshedDate="46324.096598148149" createdVersion="8" refreshedVersion="8" minRefreshableVersion="3" recordCount="2001" xr:uid="{71765245-D391-48A2-B65B-1FFC650AAF6F}">
  <cacheSource type="worksheet">
    <worksheetSource ref="A1:R1048576" sheet="Sales_Fact"/>
  </cacheSource>
  <cacheFields count="18">
    <cacheField name="Sales_ID" numFmtId="0">
      <sharedItems containsBlank="1"/>
    </cacheField>
    <cacheField name="Order_Date" numFmtId="14">
      <sharedItems containsNonDate="0" containsDate="1" containsString="0" containsBlank="1" minDate="2023-10-14T00:00:00" maxDate="2025-10-14T00:00:00"/>
    </cacheField>
    <cacheField name="Customer_ID" numFmtId="0">
      <sharedItems containsBlank="1" count="493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  <m/>
      </sharedItems>
    </cacheField>
    <cacheField name="Product_ID" numFmtId="0">
      <sharedItems containsBlank="1"/>
    </cacheField>
    <cacheField name="Store_ID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" numFmtId="169">
      <sharedItems containsString="0" containsBlank="1" containsNumber="1" minValue="20.09" maxValue="999.89"/>
    </cacheField>
    <cacheField name="Discount" numFmtId="10">
      <sharedItems containsString="0" containsBlank="1" containsNumber="1" minValue="0" maxValue="0.3"/>
    </cacheField>
    <cacheField name="Payment_Type" numFmtId="0">
      <sharedItems containsBlank="1" count="4">
        <s v="Credit Card"/>
        <s v="PayPal"/>
        <s v="COD"/>
        <m/>
      </sharedItems>
    </cacheField>
    <cacheField name="Total_Amount" numFmtId="2">
      <sharedItems containsString="0" containsBlank="1" containsNumber="1" minValue="18.459" maxValue="3908.2428"/>
    </cacheField>
    <cacheField name="Total sales" numFmtId="0">
      <sharedItems containsString="0" containsBlank="1" containsNumber="1" minValue="170.44049999999999" maxValue="2174394.6983000007"/>
    </cacheField>
    <cacheField name="Avg sales" numFmtId="0">
      <sharedItems containsString="0" containsBlank="1" containsNumber="1" minValue="170.44049999999999" maxValue="1567.6141249999998"/>
    </cacheField>
    <cacheField name="Count transby pyt" numFmtId="0">
      <sharedItems containsString="0" containsBlank="1" containsNumber="1" containsInteger="1" minValue="1" maxValue="695"/>
    </cacheField>
    <cacheField name="High or low value" numFmtId="0">
      <sharedItems containsBlank="1"/>
    </cacheField>
    <cacheField name="Extract month and year" numFmtId="0">
      <sharedItems containsBlank="1"/>
    </cacheField>
    <cacheField name="Product_Name" numFmtId="0">
      <sharedItems containsBlank="1"/>
    </cacheField>
    <cacheField name="Category" numFmtId="0">
      <sharedItems containsBlank="1"/>
    </cacheField>
    <cacheField name="Customer Name" numFmtId="0">
      <sharedItems containsBlank="1" count="491">
        <s v="Sarah Smith"/>
        <s v="Michael Foley"/>
        <s v="Christopher Sutton"/>
        <s v="John Jordan"/>
        <s v="Amanda Powell"/>
        <s v="Anthony Phillips"/>
        <s v="John Scott"/>
        <s v="Patrick Roberts"/>
        <s v="Dr. Suzanne Bullock"/>
        <s v="David Pierce"/>
        <s v="Michael Thomas"/>
        <s v="Jessica Gonzalez"/>
        <s v="Wesley Short"/>
        <s v="Adam Castro"/>
        <s v="Sherry Cabrera"/>
        <s v="Lindsay Beasley"/>
        <s v="Arthur Warren"/>
        <s v="Molly Gardner"/>
        <s v="David Patterson"/>
        <s v="Maria Hill"/>
        <s v="Justin Cross"/>
        <s v="Alexander Byrd"/>
        <s v="Elizabeth Foster"/>
        <s v="Miranda King"/>
        <s v="Jennifer Pruitt"/>
        <s v="Erika Padilla"/>
        <s v="Stuart Johnson"/>
        <s v="Anna Perez"/>
        <s v="Theresa Campbell"/>
        <s v="Joshua Ryan"/>
        <s v="Shane Brown"/>
        <s v="Jennifer Johnson"/>
        <s v="April Phillips"/>
        <s v="Evelyn Brown"/>
        <s v="Julia Jackson"/>
        <s v="Tammy Miller Md"/>
        <s v="Darrell Miller"/>
        <s v="Daniel Austin"/>
        <s v="John Smith"/>
        <s v="Tonya Burch"/>
        <s v="Edward Cole"/>
        <s v="Jennifer Woods"/>
        <s v="Christy Hoffman"/>
        <s v="Sarah Brady"/>
        <s v="Manuel Fisher"/>
        <s v="Eric Singh"/>
        <s v="Melissa Howard"/>
        <s v="Dr. Tamara White Md"/>
        <s v="Maria Ramirez"/>
        <s v="Alex Mann Ii"/>
        <s v="Amy Fowler"/>
        <s v="Jennifer Myers"/>
        <s v="Jennifer Garcia"/>
        <s v="David Ross"/>
        <s v="Melinda Johnson"/>
        <s v="Isabel Foster"/>
        <s v="James Wolfe"/>
        <s v="Damon Perez"/>
        <s v="Mariah Brown"/>
        <s v="Tyrone Olson"/>
        <s v="Jacqueline Anthony"/>
        <s v="Rebecca Baker"/>
        <s v="Cheryl Copeland"/>
        <s v="Daniel Contreras"/>
        <s v="Christopher Carter"/>
        <s v="Samantha Robinson"/>
        <s v="Rachel Myers"/>
        <s v="Michael Torres"/>
        <s v="Daniel Boyd"/>
        <s v="Lisa Young"/>
        <s v="Tyler Conrad"/>
        <s v="John Bradford"/>
        <s v="Dr. Ashley Yates Md"/>
        <s v="Frank Stewart"/>
        <s v="Justin Ingram"/>
        <s v="Katherine Dorsey"/>
        <s v="John Sloan"/>
        <s v="Reginald Willis"/>
        <s v="Mario Jacobs"/>
        <s v="Carlos Skinner"/>
        <s v="Dominic Page"/>
        <s v="David Lozano"/>
        <s v="Tracy Stephens"/>
        <s v="Darren Burton"/>
        <s v="Nancy Page"/>
        <s v="Cynthia Roberts"/>
        <s v="Joseph Richards"/>
        <s v="Andrew Smith"/>
        <s v="Gregory Allen"/>
        <s v="David Cobb"/>
        <s v="Melissa Hamilton"/>
        <s v="David Arnold"/>
        <s v="Dr. Benjamin Price"/>
        <s v="Jasmine Snyder"/>
        <s v="James Gibbs"/>
        <s v="Eric Todd"/>
        <s v="Michael Jones"/>
        <s v="Melissa Duffy Md"/>
        <s v="Christopher David"/>
        <s v="Monica Miller"/>
        <s v="Amber Mcclain"/>
        <s v="Lance Baker"/>
        <s v="Sean Powell"/>
        <s v="Timothy Juarez"/>
        <s v="Matthew Payne"/>
        <s v="Traci Gonzalez"/>
        <s v="Jeffrey Gomez"/>
        <s v="Charles Norman Phd"/>
        <s v="William Rodriguez"/>
        <s v="Ryan Moore"/>
        <s v="Christopher Ford"/>
        <s v="Daniel Rivas"/>
        <s v="Victor Mcintosh"/>
        <s v="Mary Boyd"/>
        <s v="Jose Stewart"/>
        <s v="Heather Valenzuela"/>
        <s v="Laura Mathews"/>
        <s v="Michelle Myers"/>
        <s v="Carol Lewis"/>
        <s v="Amy Wilson"/>
        <s v="Edward Hall"/>
        <s v="John Donaldson"/>
        <s v="Terry Moses"/>
        <s v="John Perez"/>
        <s v="Lisa Chandler"/>
        <s v="Christy Vasquez"/>
        <s v="Mr. Mark Beasley"/>
        <s v="Paul Fox"/>
        <s v="Brian Hammond"/>
        <s v="Elizabeth Johnson"/>
        <s v="Eric Wolfe"/>
        <s v="Brandy Thompson"/>
        <s v="Casey Simpson"/>
        <s v="Alejandro Evans"/>
        <s v="Bridget Allen"/>
        <s v="Nathan Campbell"/>
        <s v="Christopher Brown"/>
        <s v="Crystal Waters"/>
        <s v="Tyler Cook"/>
        <s v="Travis Holland"/>
        <s v="James Orozco"/>
        <s v="Kristen Fischer"/>
        <s v="Michelle Rogers"/>
        <s v="Sara Ingram"/>
        <s v="Gloria Taylor"/>
        <s v="Charles Conley"/>
        <s v="Susan Mcdonald"/>
        <s v="Philip Pennington"/>
        <s v="Cody Diaz"/>
        <s v="Krystal Ford"/>
        <s v="Earl Smith Dds"/>
        <s v="Beth Martin"/>
        <s v="Robert Jones Dds"/>
        <s v="Melinda Thomas"/>
        <s v="Samuel Mullins"/>
        <s v="Adam Rowland"/>
        <s v="Martha Brown"/>
        <s v="Donna Gregory"/>
        <s v="Mr. Christopher Sims"/>
        <s v="Sean Roth"/>
        <s v="Edwin Barnes"/>
        <s v="Kristy Dunlap"/>
        <s v="Matthew Hanna"/>
        <s v="Eric Holmes"/>
        <s v="Deanna Simpson"/>
        <s v="Christopher Garcia Dds"/>
        <s v="Philip Mendoza"/>
        <s v="Melinda Rivera"/>
        <s v="Brent Rivas"/>
        <s v="Leonard Cochran"/>
        <s v="Michael Garner"/>
        <s v="Kenneth Lambert"/>
        <s v="Kelli Smith"/>
        <s v="Carmen Price"/>
        <s v="Joseph Faulkner"/>
        <s v="Cynthia Payne"/>
        <s v="Mary Russell"/>
        <s v="Rhonda Morales"/>
        <s v="Sheila Wilson"/>
        <s v="James Berger"/>
        <s v="Samantha Walker"/>
        <s v="Roy Cole"/>
        <s v="Erica Carney"/>
        <s v="Timothy Weaver"/>
        <s v="Shannon Miller"/>
        <s v="Steve Mclaughlin"/>
        <s v="Justin Lopez"/>
        <s v="Kathryn Garcia"/>
        <s v="Sarah Vance"/>
        <s v="Chloe Aguilar"/>
        <s v="Samantha Lee"/>
        <s v="Thomas Robinson"/>
        <s v="Jonathan Steele"/>
        <s v="William Cortez"/>
        <s v="William Hull"/>
        <s v="George Rosario"/>
        <s v="Denise Williams"/>
        <s v="Debra Mccullough"/>
        <s v="Nathan Hernandez"/>
        <s v="Patrick Coleman"/>
        <s v="Nicholas Webb"/>
        <s v="Steven Stein"/>
        <s v="Teresa Johnson"/>
        <s v="Joan Johnson"/>
        <s v="Kristi Lopez"/>
        <s v="Cristian Wright"/>
        <s v="Thomas Moore"/>
        <s v="Earl Allen"/>
        <s v="Jordan Wells"/>
        <s v="Colleen Maynard"/>
        <s v="Morgan Bowen"/>
        <s v="Jason Mullins"/>
        <s v="Jessica Castro"/>
        <s v="Robert House"/>
        <s v="Robert King"/>
        <s v="Scott Harris"/>
        <s v="Katherine Cowan"/>
        <s v="Russell Lamb"/>
        <s v="Elizabeth Stanley"/>
        <s v="Cynthia Parrish"/>
        <s v="Crystal Davis"/>
        <s v="Karen King"/>
        <s v="Adam Cruz"/>
        <s v="Anthony Morgan"/>
        <s v="Rodney Huffman"/>
        <s v="Todd Poole"/>
        <s v="Wanda Snyder"/>
        <s v="Gregory Curtis"/>
        <s v="William Martin"/>
        <s v="Bryan Tran"/>
        <s v="Ashley Roberts"/>
        <s v="Dylan Gutierrez"/>
        <s v="George Davis"/>
        <s v="Gina Knight"/>
        <s v="Miss Alexandria Li Dvm"/>
        <s v="Timothy Wright"/>
        <s v="Ashley Anderson"/>
        <s v="Dr. Lindsay Hanna"/>
        <s v="Jennifer Carr"/>
        <s v="Monica Flynn"/>
        <s v="Nathaniel Hill"/>
        <s v="Samuel Arias"/>
        <s v="Tyler Garner"/>
        <s v="Hayley Pope"/>
        <s v="Richard Delgado"/>
        <s v="Kelly Garrett"/>
        <s v="Christopher Olson"/>
        <s v="Alejandro Doyle"/>
        <s v="Stephanie Conway"/>
        <s v="Leslie Johnson"/>
        <s v="Ashley Cohen"/>
        <s v="Kristin Stein"/>
        <s v="Christopher Lester"/>
        <s v="Mr. William Horton"/>
        <s v="Jason Wheeler"/>
        <s v="Antonio Jones"/>
        <s v="Sarah Schneider"/>
        <s v="Denise Tate"/>
        <s v="Katherine Young"/>
        <s v="James Holloway Jr."/>
        <s v="Cynthia Morris"/>
        <s v="James Foster"/>
        <s v="Jacob Hopkins"/>
        <s v="Tyler Weber"/>
        <s v="Keith Miller"/>
        <s v="Sheena Bonilla"/>
        <s v="Justin Mason Dds"/>
        <s v="Jamie Yoder"/>
        <s v="Laura Alvarez"/>
        <s v="Ronald Jones"/>
        <s v="Jared Moran"/>
        <s v="Tanya Lopez"/>
        <s v="Matthew Hunter Jr."/>
        <s v="Megan Ryan"/>
        <s v="Tonya Reynolds"/>
        <s v="Heidi Tyler"/>
        <s v="Joseph Snow"/>
        <s v="Amber Jackson"/>
        <s v="Kristine Higgins"/>
        <s v="Cameron Simpson"/>
        <s v="Erin Ward"/>
        <s v="Eugene Nelson"/>
        <s v="Ryan Hernandez"/>
        <s v="Misty Ferguson"/>
        <s v="Sharon Brown"/>
        <s v="Brian Choi"/>
        <s v="Brittney Morgan"/>
        <s v="Zachary Andrade"/>
        <s v="Daniel Nelson"/>
        <s v="Andrea Perez"/>
        <s v="Andrea Harris"/>
        <s v="Brittany Edwards Dds"/>
        <s v="John Mcknight"/>
        <s v="Steve Medina"/>
        <s v="Tanner Thompson"/>
        <s v="Michelle Carpenter"/>
        <s v="Jessica Mitchell"/>
        <s v="Tracy Kelly"/>
        <s v="Joseph Jones"/>
        <s v="Matthew Avery"/>
        <s v="Mallory Allen"/>
        <s v="Andrea Jacobs"/>
        <s v="Andrew Mason"/>
        <s v="Patricia Gardner"/>
        <s v="Luke Parks"/>
        <s v="Robert Harris"/>
        <s v="Maria Sanchez"/>
        <s v="Christy Hill"/>
        <s v="Edward Rivera"/>
        <s v="Brian Lopez"/>
        <s v="Gene Lee"/>
        <s v="Antonio Wade"/>
        <s v="Blake Harrison"/>
        <s v="Kevin Larson"/>
        <s v="Michael Greene"/>
        <s v="Brandon Mcbride"/>
        <s v="John Lawson"/>
        <s v="Joshua Smith Dvm"/>
        <s v="Michelle Gonzalez"/>
        <s v="Carol Bishop"/>
        <s v="Tommy Roberts"/>
        <s v="Diane Watson"/>
        <s v="Casey Flores"/>
        <s v="Robert Jackson"/>
        <s v="Mike Jennings"/>
        <s v="Timothy Valenzuela"/>
        <s v="Jon Ortiz"/>
        <s v="Tiffany Herrera"/>
        <s v="Michelle Garcia Dds"/>
        <s v="Erin Hopkins"/>
        <s v="Paul Zamora"/>
        <s v="Jay Patel"/>
        <s v="Brian Garcia"/>
        <s v="Stephen Fowler"/>
        <s v="James Bean"/>
        <s v="Cynthia Lopez"/>
        <s v="Kimberly Brooks"/>
        <s v="Amber Carlson"/>
        <s v="Jeffery Wolf"/>
        <s v="Denise Griffin"/>
        <s v="Mario Harvey Jr."/>
        <s v="Paul Cox"/>
        <s v="Hunter Sutton"/>
        <s v="Eric Vega"/>
        <s v="William Jackson"/>
        <s v="Rhonda Young"/>
        <s v="Teresa Stokes"/>
        <s v="Christina Garcia"/>
        <s v="Mrs. Susan Buckley"/>
        <s v="Kimberly Roberts"/>
        <s v="Tiffany Williams"/>
        <s v="Bryce Hawkins"/>
        <s v="Kaitlin Brown"/>
        <s v="Colleen Mccarthy"/>
        <s v="Laura Green"/>
        <s v="Thomas Phillips"/>
        <s v="Alyssa Vargas"/>
        <s v="Katrina Perez"/>
        <s v="Daniel Bell"/>
        <s v="John Jones"/>
        <s v="Jackie Thompson"/>
        <s v="Cassandra Perez"/>
        <s v="Tammy Trevino"/>
        <s v="Michele Burke"/>
        <s v="Wayne Mcpherson"/>
        <s v="Wesley Thompson"/>
        <s v="Ryan Torres"/>
        <s v="April Mullins"/>
        <s v="Sarah Rodgers"/>
        <s v="Eric Lee"/>
        <s v="Curtis Lam"/>
        <s v="Brittany Watson"/>
        <s v="Manuel Castillo"/>
        <s v="Jacob Wood"/>
        <s v="Julie Powell"/>
        <s v="Donald Lee"/>
        <s v="Jeffrey Mccarthy"/>
        <s v="Brian Holder"/>
        <s v="Donna Guerra"/>
        <s v="Megan Greer"/>
        <s v="Sheri Joyce"/>
        <s v="Michael Davies"/>
        <s v="Shannon Turner"/>
        <s v="Heather Collins"/>
        <s v="Shelley Ponce"/>
        <s v="Sarah Lane"/>
        <s v="Sarah Marsh"/>
        <s v="Angela Williams"/>
        <s v="Jamie Reyes"/>
        <s v="Timothy Gardner"/>
        <s v="Tammy Brennan"/>
        <s v="Pamela Mcguire"/>
        <s v="Carlos Flores"/>
        <s v="Michelle Cunningham"/>
        <s v="Thomas Rhodes"/>
        <s v="Michael Chang"/>
        <s v="Daisy Johnson Dds"/>
        <s v="Christine Vaughn"/>
        <s v="Douglas Rhodes"/>
        <s v="Charles Miller"/>
        <s v="Elizabeth Smith"/>
        <s v="Joshua Howard"/>
        <s v="Ricardo Jones"/>
        <s v="Barbara Berry"/>
        <s v="Debra Liu"/>
        <s v="Ashley Griffin"/>
        <s v="Angela Robinson"/>
        <s v="Timothy Sanders"/>
        <s v="Christopher Stewart"/>
        <s v="Dalton Walters"/>
        <s v="Steve Hunt"/>
        <s v="Bryan Garcia"/>
        <s v="Christina Robertson"/>
        <s v="Beth Allen"/>
        <s v="Joseph Mendoza"/>
        <s v="Cody Blake"/>
        <s v="Joel Robinson"/>
        <s v="Aaron Luna"/>
        <s v="Anthony Garcia"/>
        <s v="Ronald Ross"/>
        <s v="Jacqueline Payne"/>
        <s v="Amy Walker"/>
        <s v="Kevin Orr"/>
        <s v="David Roberts"/>
        <s v="Dr. David Smith"/>
        <s v="Laura Soto"/>
        <s v="Roberta Green"/>
        <s v="Patty Francis"/>
        <s v="Stacy Collins"/>
        <s v="Julie Hale"/>
        <s v="Antonio Leon"/>
        <s v="Cheryl Carr"/>
        <s v="Lauren George"/>
        <s v="Caroline Collins"/>
        <s v="Holly Robinson"/>
        <s v="Ashley Ferguson"/>
        <s v="Jeanette Nichols"/>
        <s v="Sharon Simpson"/>
        <s v="Curtis Haynes"/>
        <s v="Kara Dodson"/>
        <s v="Ms. Maria Leach"/>
        <s v="Ryan Kane"/>
        <s v="Jordan Jackson Dds"/>
        <s v="Melissa Valentine"/>
        <s v="Joshua Bell"/>
        <s v="Natalie Johnson"/>
        <s v="Melanie Lam"/>
        <s v="Nicholas Bradshaw"/>
        <s v="Summer Weiss"/>
        <s v="Jordan Medina"/>
        <s v="Eric Davis"/>
        <s v="Mark Rogers"/>
        <s v="Jessica Acevedo"/>
        <s v="Elizabeth Jones"/>
        <s v="Rhonda Moss"/>
        <s v="Shane Mills"/>
        <s v="Jeremy Harris"/>
        <s v="David Cole"/>
        <s v="Jeff Martinez"/>
        <s v="John Compton"/>
        <s v="Stephanie Jacobs"/>
        <s v="Linda Kline"/>
        <s v="Mr. Mason Butler"/>
        <s v="Oscar Moon"/>
        <s v="Gregory Pham"/>
        <s v="Monica Wright"/>
        <s v="Maria Davis"/>
        <s v="James Powell"/>
        <s v="Sarah Stewart"/>
        <s v="Joshua Wilson"/>
        <s v="Steven Smith"/>
        <s v="Alexis Castaneda"/>
        <s v="Maria Phillips"/>
        <s v="Veronica Newman"/>
        <s v="Howard Summers"/>
        <s v="Jacqueline Pacheco"/>
        <s v="Kathy Copeland"/>
        <s v="Madison Wright"/>
        <s v="Diana Taylor"/>
        <s v="John Mayer"/>
        <s v="Jennifer Zamora"/>
        <s v="Miguel Reynolds"/>
        <s v="Justin Johnson"/>
        <s v="Michael Mcneil"/>
        <s v="Jennifer Figueroa"/>
        <s v="John Mccoy"/>
        <s v="Rick Dominguez"/>
        <s v="Julie Farmer"/>
        <s v="Monique Castro"/>
        <s v="John Berg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isha Maheswaran" refreshedDate="46324.113250231479" createdVersion="8" refreshedVersion="8" minRefreshableVersion="3" recordCount="101" xr:uid="{FCD4A385-58E1-4ED9-A26C-47B7E2984B26}">
  <cacheSource type="worksheet">
    <worksheetSource ref="A1:G1048576" sheet="Product_Dim"/>
  </cacheSource>
  <cacheFields count="7"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 count="6">
        <s v="Electronics"/>
        <s v="Clothing"/>
        <s v="Beauty"/>
        <s v="Home"/>
        <s v="Sports"/>
        <m/>
      </sharedItems>
    </cacheField>
    <cacheField name="Sub_Category" numFmtId="0">
      <sharedItems containsBlank="1"/>
    </cacheField>
    <cacheField name="Brand" numFmtId="0">
      <sharedItems containsBlank="1"/>
    </cacheField>
    <cacheField name="Cost" numFmtId="0">
      <sharedItems containsString="0" containsBlank="1" containsNumber="1" minValue="17.309999999999999" maxValue="495.72"/>
    </cacheField>
    <cacheField name="Stock" numFmtId="0">
      <sharedItems containsString="0" containsBlank="1" containsNumber="1" containsInteger="1" minValue="57" maxValue="49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PROD97"/>
    <s v="STORE3"/>
    <n v="1"/>
    <n v="218.04"/>
    <n v="0.09"/>
    <s v="Credit Card"/>
    <n v="198.41640000000001"/>
    <n v="2174394.6983000007"/>
    <n v="1087.1973491500003"/>
    <n v="695"/>
    <s v="Low Value"/>
    <s v="Jul-2024"/>
    <s v="Cricket Bat"/>
    <x v="0"/>
  </r>
  <r>
    <s v="PROD74"/>
    <s v="STORE17"/>
    <n v="3"/>
    <n v="104.47"/>
    <n v="0.27"/>
    <s v="PayPal"/>
    <n v="228.7893"/>
    <n v="2174196.2819000003"/>
    <n v="1087.6419619309656"/>
    <n v="695"/>
    <s v="Low Value"/>
    <s v="Dec-2023"/>
    <s v="Bluetooth Car Audio System"/>
    <x v="1"/>
  </r>
  <r>
    <s v="PROD49"/>
    <s v="STORE8"/>
    <n v="4"/>
    <n v="914.05"/>
    <n v="0.25"/>
    <s v="Credit Card"/>
    <n v="2742.15"/>
    <n v="2173967.4926000005"/>
    <n v="1088.0718181181182"/>
    <n v="694"/>
    <s v="High Value"/>
    <s v="Jun-2024"/>
    <s v="Men's Roll-On Perfume"/>
    <x v="2"/>
  </r>
  <r>
    <s v="PROD76"/>
    <s v="STORE8"/>
    <n v="1"/>
    <n v="921.51"/>
    <n v="0.16"/>
    <s v="COD"/>
    <n v="774.0684"/>
    <n v="2171225.3426000001"/>
    <n v="1087.2435366049074"/>
    <n v="694"/>
    <s v="Low Value"/>
    <s v="Nov-2023"/>
    <s v="Wireless Mouse"/>
    <x v="1"/>
  </r>
  <r>
    <s v="PROD59"/>
    <s v="STORE5"/>
    <n v="3"/>
    <n v="745.3"/>
    <n v="0.18"/>
    <s v="Credit Card"/>
    <n v="1833.4380000000001"/>
    <n v="2170451.2741999999"/>
    <n v="1087.4004379759519"/>
    <n v="694"/>
    <s v="High Value"/>
    <s v="Jan-2024"/>
    <s v="Men's Hair Styling Gel"/>
    <x v="2"/>
  </r>
  <r>
    <s v="PROD15"/>
    <s v="STORE7"/>
    <n v="3"/>
    <n v="147.01"/>
    <n v="0.19"/>
    <s v="COD"/>
    <n v="357.23430000000002"/>
    <n v="2168617.8362000003"/>
    <n v="1087.0264843107771"/>
    <n v="694"/>
    <s v="Low Value"/>
    <s v="Jul-2024"/>
    <s v="4K Home Projector"/>
    <x v="1"/>
  </r>
  <r>
    <s v="PROD56"/>
    <s v="STORE4"/>
    <n v="2"/>
    <n v="785.31"/>
    <n v="0.15"/>
    <s v="PayPal"/>
    <n v="1335.027"/>
    <n v="2168260.6019000001"/>
    <n v="1087.3924783851555"/>
    <n v="694"/>
    <s v="High Value"/>
    <s v="Jul-2025"/>
    <s v="Premium Blanket Throw"/>
    <x v="3"/>
  </r>
  <r>
    <s v="PROD70"/>
    <s v="STORE8"/>
    <n v="4"/>
    <n v="342.39"/>
    <n v="0.23"/>
    <s v="PayPal"/>
    <n v="1054.5612000000001"/>
    <n v="2166925.5749000004"/>
    <n v="1087.2682262418466"/>
    <n v="693"/>
    <s v="High Value"/>
    <s v="Nov-2023"/>
    <s v="Kitchen Storage Rack"/>
    <x v="3"/>
  </r>
  <r>
    <s v="PROD99"/>
    <s v="STORE5"/>
    <n v="3"/>
    <n v="448.25"/>
    <n v="7.0000000000000007E-2"/>
    <s v="PayPal"/>
    <n v="1250.6175000000001"/>
    <n v="2165871.0137000005"/>
    <n v="1087.2846454317271"/>
    <n v="692"/>
    <s v="High Value"/>
    <s v="May-2025"/>
    <s v="Stainless Steel Cookware Set"/>
    <x v="3"/>
  </r>
  <r>
    <s v="PROD33"/>
    <s v="STORE0"/>
    <n v="2"/>
    <n v="873.17"/>
    <n v="0.23"/>
    <s v="PayPal"/>
    <n v="1344.6818000000001"/>
    <n v="2164620.3962000008"/>
    <n v="1087.2026098442998"/>
    <n v="691"/>
    <s v="High Value"/>
    <s v="Jul-2025"/>
    <s v="Modern Wall Clock"/>
    <x v="3"/>
  </r>
  <r>
    <s v="PROD24"/>
    <s v="STORE14"/>
    <n v="1"/>
    <n v="278.63"/>
    <n v="7.0000000000000007E-2"/>
    <s v="Credit Card"/>
    <n v="259.1259"/>
    <n v="2163275.7144000009"/>
    <n v="1087.0732233165834"/>
    <n v="690"/>
    <s v="Low Value"/>
    <s v="Feb-2024"/>
    <s v="Foldable Camping Chair"/>
    <x v="0"/>
  </r>
  <r>
    <s v="PROD39"/>
    <s v="STORE1"/>
    <n v="4"/>
    <n v="286.92"/>
    <n v="0.17"/>
    <s v="Credit Card"/>
    <n v="952.57439999999997"/>
    <n v="2163016.588500001"/>
    <n v="1087.4894864253399"/>
    <n v="690"/>
    <s v="Low Value"/>
    <s v="May-2025"/>
    <s v="Portable Power Bank"/>
    <x v="1"/>
  </r>
  <r>
    <s v="PROD88"/>
    <s v="STORE4"/>
    <n v="4"/>
    <n v="644.58000000000004"/>
    <n v="0.01"/>
    <s v="Credit Card"/>
    <n v="2552.5367999999999"/>
    <n v="2162064.0141000012"/>
    <n v="1087.5573511569423"/>
    <n v="690"/>
    <s v="High Value"/>
    <s v="Aug-2024"/>
    <s v="Sports Wrist Sweatbands"/>
    <x v="0"/>
  </r>
  <r>
    <s v="PROD34"/>
    <s v="STORE16"/>
    <n v="2"/>
    <n v="316.89999999999998"/>
    <n v="0.3"/>
    <s v="PayPal"/>
    <n v="443.66"/>
    <n v="2159511.4773000008"/>
    <n v="1086.8200690991448"/>
    <n v="690"/>
    <s v="Low Value"/>
    <s v="Aug-2025"/>
    <s v="Gaming Mechanical Keyboard"/>
    <x v="1"/>
  </r>
  <r>
    <s v="PROD24"/>
    <s v="STORE15"/>
    <n v="4"/>
    <n v="403.47"/>
    <n v="0.28999999999999998"/>
    <s v="PayPal"/>
    <n v="1145.8548000000001"/>
    <n v="2159067.8173000007"/>
    <n v="1087.1439160624375"/>
    <n v="689"/>
    <s v="High Value"/>
    <s v="Jun-2025"/>
    <s v="Foldable Camping Chair"/>
    <x v="0"/>
  </r>
  <r>
    <s v="PROD36"/>
    <s v="STORE9"/>
    <n v="3"/>
    <n v="871.34"/>
    <n v="0.04"/>
    <s v="COD"/>
    <n v="2509.4591999999998"/>
    <n v="2157921.9625000008"/>
    <n v="1087.1143387909324"/>
    <n v="688"/>
    <s v="High Value"/>
    <s v="Dec-2024"/>
    <s v="Women's Summer Dress"/>
    <x v="4"/>
  </r>
  <r>
    <s v="PROD65"/>
    <s v="STORE19"/>
    <n v="2"/>
    <n v="451.98"/>
    <n v="0.25"/>
    <s v="Credit Card"/>
    <n v="677.97"/>
    <n v="2155412.5033000009"/>
    <n v="1086.3974310987908"/>
    <n v="688"/>
    <s v="Low Value"/>
    <s v="Sep-2025"/>
    <s v="Adjustable Dumbbells 20kg"/>
    <x v="0"/>
  </r>
  <r>
    <s v="PROD27"/>
    <s v="STORE4"/>
    <n v="2"/>
    <n v="502.69"/>
    <n v="0.23"/>
    <s v="Credit Card"/>
    <n v="774.14260000000002"/>
    <n v="2154734.5333000012"/>
    <n v="1086.6033955118514"/>
    <n v="688"/>
    <s v="Low Value"/>
    <s v="Dec-2024"/>
    <s v="Decorative Floor Vase"/>
    <x v="3"/>
  </r>
  <r>
    <s v="PROD39"/>
    <s v="STORE4"/>
    <n v="2"/>
    <n v="559.23"/>
    <n v="0.25"/>
    <s v="COD"/>
    <n v="838.84500000000003"/>
    <n v="2153960.3907000013"/>
    <n v="1086.7610447527757"/>
    <n v="688"/>
    <s v="Low Value"/>
    <s v="Aug-2024"/>
    <s v="Portable Power Bank"/>
    <x v="1"/>
  </r>
  <r>
    <s v="PROD60"/>
    <s v="STORE13"/>
    <n v="4"/>
    <n v="464.18"/>
    <n v="0.04"/>
    <s v="COD"/>
    <n v="1782.4512"/>
    <n v="2153121.5457000011"/>
    <n v="1086.8861916708738"/>
    <n v="688"/>
    <s v="High Value"/>
    <s v="Mar-2024"/>
    <s v="Luxury Perfume Spray"/>
    <x v="2"/>
  </r>
  <r>
    <s v="PROD72"/>
    <s v="STORE17"/>
    <n v="3"/>
    <n v="986.04"/>
    <n v="0.27"/>
    <s v="COD"/>
    <n v="2159.4276"/>
    <n v="2151339.0945000006"/>
    <n v="1086.5348962121216"/>
    <n v="688"/>
    <s v="High Value"/>
    <s v="Jul-2025"/>
    <s v="Professional Jump Rope"/>
    <x v="0"/>
  </r>
  <r>
    <s v="PROD43"/>
    <s v="STORE18"/>
    <n v="1"/>
    <n v="589.55999999999995"/>
    <n v="0.22"/>
    <s v="Credit Card"/>
    <n v="459.85680000000002"/>
    <n v="2149179.6669000001"/>
    <n v="1085.9927574027288"/>
    <n v="688"/>
    <s v="Low Value"/>
    <s v="Jun-2024"/>
    <s v="USB External Hard Drive"/>
    <x v="1"/>
  </r>
  <r>
    <s v="PROD69"/>
    <s v="STORE10"/>
    <n v="3"/>
    <n v="979.42"/>
    <n v="0.03"/>
    <s v="PayPal"/>
    <n v="2850.1122"/>
    <n v="2148719.8101000004"/>
    <n v="1086.3093074317494"/>
    <n v="688"/>
    <s v="High Value"/>
    <s v="Apr-2024"/>
    <s v="Men's Sports Shorts"/>
    <x v="4"/>
  </r>
  <r>
    <s v="PROD12"/>
    <s v="STORE8"/>
    <n v="1"/>
    <n v="719.28"/>
    <n v="0.08"/>
    <s v="Credit Card"/>
    <n v="661.73760000000004"/>
    <n v="2145869.6979"/>
    <n v="1085.4171461305007"/>
    <n v="687"/>
    <s v="Low Value"/>
    <s v="Jun-2024"/>
    <s v="Hair Strengthening Shampoo"/>
    <x v="2"/>
  </r>
  <r>
    <s v="PROD67"/>
    <s v="STORE6"/>
    <n v="3"/>
    <n v="77.599999999999994"/>
    <n v="7.0000000000000007E-2"/>
    <s v="Credit Card"/>
    <n v="216.50399999999999"/>
    <n v="2145207.9603000004"/>
    <n v="1085.6315588562754"/>
    <n v="687"/>
    <s v="Low Value"/>
    <s v="Sep-2025"/>
    <s v="Smart LED Light Strip"/>
    <x v="1"/>
  </r>
  <r>
    <s v="PROD5"/>
    <s v="STORE3"/>
    <n v="4"/>
    <n v="852.71"/>
    <n v="0.14000000000000001"/>
    <s v="PayPal"/>
    <n v="2933.3224"/>
    <n v="2144991.4563000002"/>
    <n v="1086.0716234430381"/>
    <n v="687"/>
    <s v="High Value"/>
    <s v="Sep-2024"/>
    <s v="Men's Leather Belt"/>
    <x v="4"/>
  </r>
  <r>
    <s v="PROD98"/>
    <s v="STORE8"/>
    <n v="4"/>
    <n v="156.16"/>
    <n v="0.04"/>
    <s v="Credit Card"/>
    <n v="599.65440000000001"/>
    <n v="2142058.1338999993"/>
    <n v="1085.1358327760888"/>
    <n v="686"/>
    <s v="Low Value"/>
    <s v="Jan-2024"/>
    <s v="Portable Bluetooth Speaker"/>
    <x v="1"/>
  </r>
  <r>
    <s v="PROD77"/>
    <s v="STORE8"/>
    <n v="3"/>
    <n v="815.49"/>
    <n v="0.17"/>
    <s v="Credit Card"/>
    <n v="2030.5700999999999"/>
    <n v="2141458.4794999994"/>
    <n v="1085.3818953370499"/>
    <n v="686"/>
    <s v="High Value"/>
    <s v="Feb-2025"/>
    <s v="WiFi Mesh Router"/>
    <x v="1"/>
  </r>
  <r>
    <s v="PROD13"/>
    <s v="STORE2"/>
    <n v="2"/>
    <n v="74.209999999999994"/>
    <n v="0.11"/>
    <s v="PayPal"/>
    <n v="132.09379999999999"/>
    <n v="2139427.9093999998"/>
    <n v="1084.9025909736308"/>
    <n v="686"/>
    <s v="Low Value"/>
    <s v="Sep-2025"/>
    <s v="USB-C Fast Charger"/>
    <x v="1"/>
  </r>
  <r>
    <s v="PROD99"/>
    <s v="STORE3"/>
    <n v="4"/>
    <n v="451.67"/>
    <n v="0.15"/>
    <s v="Credit Card"/>
    <n v="1535.6780000000001"/>
    <n v="2139295.8155999994"/>
    <n v="1085.3860048706238"/>
    <n v="685"/>
    <s v="High Value"/>
    <s v="Jan-2024"/>
    <s v="Stainless Steel Cookware Set"/>
    <x v="3"/>
  </r>
  <r>
    <s v="PROD5"/>
    <s v="STORE19"/>
    <n v="1"/>
    <n v="429.38"/>
    <n v="0.13"/>
    <s v="PayPal"/>
    <n v="373.56060000000002"/>
    <n v="2137760.1376"/>
    <n v="1085.1574302538072"/>
    <n v="685"/>
    <s v="Low Value"/>
    <s v="Oct-2023"/>
    <s v="Men's Leather Belt"/>
    <x v="4"/>
  </r>
  <r>
    <s v="PROD53"/>
    <s v="STORE12"/>
    <n v="2"/>
    <n v="148.96"/>
    <n v="0.03"/>
    <s v="COD"/>
    <n v="288.98239999999998"/>
    <n v="2137386.577"/>
    <n v="1085.5188303707466"/>
    <n v="684"/>
    <s v="Low Value"/>
    <s v="Oct-2024"/>
    <s v="Men's Track Pants"/>
    <x v="4"/>
  </r>
  <r>
    <s v="PROD75"/>
    <s v="STORE8"/>
    <n v="4"/>
    <n v="313.83"/>
    <n v="0.08"/>
    <s v="Credit Card"/>
    <n v="1154.8943999999999"/>
    <n v="2137097.5945999995"/>
    <n v="1085.9235744918697"/>
    <n v="684"/>
    <s v="High Value"/>
    <s v="Nov-2024"/>
    <s v="Women's Ankle Boots"/>
    <x v="4"/>
  </r>
  <r>
    <s v="PROD12"/>
    <s v="STORE6"/>
    <n v="2"/>
    <n v="717.31"/>
    <n v="0.15"/>
    <s v="Credit Card"/>
    <n v="1219.4269999999999"/>
    <n v="2135942.7001999998"/>
    <n v="1085.88851052364"/>
    <n v="684"/>
    <s v="High Value"/>
    <s v="Nov-2024"/>
    <s v="Hair Strengthening Shampoo"/>
    <x v="2"/>
  </r>
  <r>
    <s v="PROD79"/>
    <s v="STORE1"/>
    <n v="3"/>
    <n v="873.22"/>
    <n v="0.18"/>
    <s v="Credit Card"/>
    <n v="2148.1212"/>
    <n v="2134723.2732000002"/>
    <n v="1085.8205865717193"/>
    <n v="684"/>
    <s v="High Value"/>
    <s v="Oct-2023"/>
    <s v="Decorative Lamp Shade"/>
    <x v="3"/>
  </r>
  <r>
    <s v="PROD16"/>
    <s v="STORE3"/>
    <n v="4"/>
    <n v="109.36"/>
    <n v="0.19"/>
    <s v="COD"/>
    <n v="354.32639999999998"/>
    <n v="2132575.1520000007"/>
    <n v="1085.2799755725193"/>
    <n v="684"/>
    <s v="Low Value"/>
    <s v="Aug-2025"/>
    <s v="Beard Grooming Kit"/>
    <x v="2"/>
  </r>
  <r>
    <s v="PROD5"/>
    <s v="STORE7"/>
    <n v="3"/>
    <n v="559.52"/>
    <n v="0.16"/>
    <s v="PayPal"/>
    <n v="1409.9903999999999"/>
    <n v="2132220.8256000006"/>
    <n v="1085.6521515274951"/>
    <n v="684"/>
    <s v="High Value"/>
    <s v="Dec-2024"/>
    <s v="Men's Leather Belt"/>
    <x v="4"/>
  </r>
  <r>
    <s v="PROD10"/>
    <s v="STORE17"/>
    <n v="3"/>
    <n v="121.76"/>
    <n v="0.27"/>
    <s v="PayPal"/>
    <n v="266.65440000000001"/>
    <n v="2130810.8352000006"/>
    <n v="1085.48692572593"/>
    <n v="683"/>
    <s v="Low Value"/>
    <s v="Feb-2024"/>
    <s v="Ceramic Kitchen Bowl Set"/>
    <x v="3"/>
  </r>
  <r>
    <s v="PROD33"/>
    <s v="STORE13"/>
    <n v="4"/>
    <n v="735.32"/>
    <n v="0.06"/>
    <s v="COD"/>
    <n v="2764.8031999999998"/>
    <n v="2130544.1808000007"/>
    <n v="1085.9042715596333"/>
    <n v="682"/>
    <s v="High Value"/>
    <s v="Mar-2024"/>
    <s v="Modern Wall Clock"/>
    <x v="3"/>
  </r>
  <r>
    <s v="PROD94"/>
    <s v="STORE3"/>
    <n v="2"/>
    <n v="600.73"/>
    <n v="0.08"/>
    <s v="Credit Card"/>
    <n v="1105.3432"/>
    <n v="2127779.3776000007"/>
    <n v="1085.0481272819993"/>
    <n v="682"/>
    <s v="High Value"/>
    <s v="Dec-2023"/>
    <s v="Vitamin E Body Lotion"/>
    <x v="2"/>
  </r>
  <r>
    <s v="PROD26"/>
    <s v="STORE19"/>
    <n v="2"/>
    <n v="873.86"/>
    <n v="7.0000000000000007E-2"/>
    <s v="COD"/>
    <n v="1625.3796"/>
    <n v="2126674.0344000002"/>
    <n v="1085.0377726530614"/>
    <n v="682"/>
    <s v="High Value"/>
    <s v="Jul-2024"/>
    <s v="Wireless Bluetooth Speaker"/>
    <x v="1"/>
  </r>
  <r>
    <s v="PROD23"/>
    <s v="STORE8"/>
    <n v="3"/>
    <n v="342.47"/>
    <n v="0.08"/>
    <s v="PayPal"/>
    <n v="945.21720000000016"/>
    <n v="2125048.6548000006"/>
    <n v="1084.7619473200616"/>
    <n v="682"/>
    <s v="Low Value"/>
    <s v="Nov-2023"/>
    <s v="Men's Formal Shirt"/>
    <x v="4"/>
  </r>
  <r>
    <s v="PROD29"/>
    <s v="STORE9"/>
    <n v="2"/>
    <n v="915.15"/>
    <n v="0.16"/>
    <s v="PayPal"/>
    <n v="1537.452"/>
    <n v="2124103.4376000003"/>
    <n v="1084.8332163432076"/>
    <n v="681"/>
    <s v="High Value"/>
    <s v="Dec-2024"/>
    <s v="Fabric Sofa Throw Blanket"/>
    <x v="3"/>
  </r>
  <r>
    <s v="PROD33"/>
    <s v="STORE17"/>
    <n v="3"/>
    <n v="863.11"/>
    <n v="0.28000000000000003"/>
    <s v="PayPal"/>
    <n v="1864.3176000000001"/>
    <n v="2122565.9856000002"/>
    <n v="1084.6019343893715"/>
    <n v="680"/>
    <s v="High Value"/>
    <s v="Jan-2025"/>
    <s v="Modern Wall Clock"/>
    <x v="3"/>
  </r>
  <r>
    <s v="PROD43"/>
    <s v="STORE12"/>
    <n v="2"/>
    <n v="209.32"/>
    <n v="0.23"/>
    <s v="COD"/>
    <n v="322.3528"/>
    <n v="2120701.6680000001"/>
    <n v="1084.2033067484663"/>
    <n v="679"/>
    <s v="Low Value"/>
    <s v="Sep-2024"/>
    <s v="USB External Hard Drive"/>
    <x v="1"/>
  </r>
  <r>
    <s v="PROD59"/>
    <s v="STORE8"/>
    <n v="4"/>
    <n v="288.60000000000002"/>
    <n v="0.09"/>
    <s v="PayPal"/>
    <n v="1050.5039999999999"/>
    <n v="2120379.3152000001"/>
    <n v="1084.5930001023019"/>
    <n v="679"/>
    <s v="High Value"/>
    <s v="Nov-2024"/>
    <s v="Men's Hair Styling Gel"/>
    <x v="2"/>
  </r>
  <r>
    <s v="PROD78"/>
    <s v="STORE16"/>
    <n v="1"/>
    <n v="418.69"/>
    <n v="0.06"/>
    <s v="PayPal"/>
    <n v="393.5686"/>
    <n v="2119328.8112000003"/>
    <n v="1084.6104458546572"/>
    <n v="678"/>
    <s v="Low Value"/>
    <s v="Oct-2024"/>
    <s v="Essential Oil Diffuser"/>
    <x v="3"/>
  </r>
  <r>
    <s v="PROD30"/>
    <s v="STORE11"/>
    <n v="1"/>
    <n v="135.78"/>
    <n v="0.14000000000000001"/>
    <s v="PayPal"/>
    <n v="116.77079999999999"/>
    <n v="2118935.2426000005"/>
    <n v="1084.9642819252435"/>
    <n v="677"/>
    <s v="Low Value"/>
    <s v="Jun-2024"/>
    <s v="Stainless Steel Cutlery Set"/>
    <x v="3"/>
  </r>
  <r>
    <s v="PROD44"/>
    <s v="STORE17"/>
    <n v="1"/>
    <n v="517.13"/>
    <n v="0.28000000000000003"/>
    <s v="Credit Card"/>
    <n v="372.33359999999999"/>
    <n v="2118818.4718000004"/>
    <n v="1085.4602826844264"/>
    <n v="676"/>
    <s v="Low Value"/>
    <s v="Oct-2023"/>
    <s v="Adjustable Jump Rope"/>
    <x v="0"/>
  </r>
  <r>
    <s v="PROD21"/>
    <s v="STORE16"/>
    <n v="2"/>
    <n v="384.66"/>
    <n v="0.08"/>
    <s v="COD"/>
    <n v="707.77440000000013"/>
    <n v="2118446.1382000004"/>
    <n v="1085.8258012301385"/>
    <n v="676"/>
    <s v="Low Value"/>
    <s v="Nov-2024"/>
    <s v="Multi-Purpose Storage Box"/>
    <x v="3"/>
  </r>
  <r>
    <s v="PROD52"/>
    <s v="STORE9"/>
    <n v="3"/>
    <n v="83.7"/>
    <n v="0.24"/>
    <s v="PayPal"/>
    <n v="190.83600000000001"/>
    <n v="2117738.3638000004"/>
    <n v="1086.0196737435899"/>
    <n v="676"/>
    <s v="Low Value"/>
    <s v="Dec-2023"/>
    <s v="Rugby Ball"/>
    <x v="0"/>
  </r>
  <r>
    <s v="PROD69"/>
    <s v="STORE7"/>
    <n v="3"/>
    <n v="76.569999999999993"/>
    <n v="0.26"/>
    <s v="Credit Card"/>
    <n v="169.9854"/>
    <n v="2117547.5278000007"/>
    <n v="1086.4789778347874"/>
    <n v="675"/>
    <s v="Low Value"/>
    <s v="Feb-2025"/>
    <s v="Men's Sports Shorts"/>
    <x v="4"/>
  </r>
  <r>
    <s v="PROD89"/>
    <s v="STORE6"/>
    <n v="3"/>
    <n v="162.02109999999999"/>
    <n v="0"/>
    <s v="Credit Card"/>
    <n v="486.06330000000003"/>
    <n v="2117377.5424000002"/>
    <n v="1086.9494570841889"/>
    <n v="675"/>
    <s v="Low Value"/>
    <s v="Aug-2025"/>
    <s v="Face Foundation Kit"/>
    <x v="2"/>
  </r>
  <r>
    <s v="PROD20"/>
    <s v="STORE8"/>
    <n v="1"/>
    <n v="900.35"/>
    <n v="0.13"/>
    <s v="COD"/>
    <n v="783.30449999999996"/>
    <n v="2116891.4791000001"/>
    <n v="1087.2580786337955"/>
    <n v="675"/>
    <s v="Low Value"/>
    <s v="Jan-2025"/>
    <s v="Outdoor Sports Water Bottle"/>
    <x v="0"/>
  </r>
  <r>
    <s v="PROD40"/>
    <s v="STORE10"/>
    <n v="4"/>
    <n v="428.09"/>
    <n v="7.0000000000000007E-2"/>
    <s v="Credit Card"/>
    <n v="1592.4947999999999"/>
    <n v="2116108.1746000005"/>
    <n v="1087.4142726618707"/>
    <n v="675"/>
    <s v="High Value"/>
    <s v="Feb-2025"/>
    <s v="Noise-Canceling Headphones"/>
    <x v="1"/>
  </r>
  <r>
    <s v="PROD49"/>
    <s v="STORE11"/>
    <n v="2"/>
    <n v="559.71"/>
    <n v="0.3"/>
    <s v="COD"/>
    <n v="783.59400000000005"/>
    <n v="2114515.6798"/>
    <n v="1087.1545911568123"/>
    <n v="675"/>
    <s v="Low Value"/>
    <s v="Oct-2024"/>
    <s v="Men's Roll-On Perfume"/>
    <x v="2"/>
  </r>
  <r>
    <s v="PROD34"/>
    <s v="STORE6"/>
    <n v="2"/>
    <n v="833.7"/>
    <n v="0.06"/>
    <s v="PayPal"/>
    <n v="1567.356"/>
    <n v="2113732.0858"/>
    <n v="1087.3107437242797"/>
    <n v="675"/>
    <s v="High Value"/>
    <s v="Dec-2023"/>
    <s v="Gaming Mechanical Keyboard"/>
    <x v="1"/>
  </r>
  <r>
    <s v="PROD47"/>
    <s v="STORE14"/>
    <n v="2"/>
    <n v="680.16"/>
    <n v="0.28000000000000003"/>
    <s v="Credit Card"/>
    <n v="979.43039999999996"/>
    <n v="2112164.7297999999"/>
    <n v="1087.063679773546"/>
    <n v="674"/>
    <s v="Low Value"/>
    <s v="Jun-2024"/>
    <s v="Makeup Brush Set"/>
    <x v="2"/>
  </r>
  <r>
    <s v="PROD15"/>
    <s v="STORE7"/>
    <n v="4"/>
    <n v="733.42"/>
    <n v="0.13"/>
    <s v="PayPal"/>
    <n v="2552.3015999999998"/>
    <n v="2111185.2993999999"/>
    <n v="1087.119103707518"/>
    <n v="674"/>
    <s v="High Value"/>
    <s v="Dec-2024"/>
    <s v="4K Home Projector"/>
    <x v="1"/>
  </r>
  <r>
    <s v="PROD89"/>
    <s v="STORE11"/>
    <n v="1"/>
    <n v="996.33"/>
    <n v="0.23"/>
    <s v="PayPal"/>
    <n v="767.17410000000007"/>
    <n v="2108632.9978"/>
    <n v="1086.3642441009788"/>
    <n v="673"/>
    <s v="Low Value"/>
    <s v="Nov-2023"/>
    <s v="Face Foundation Kit"/>
    <x v="2"/>
  </r>
  <r>
    <s v="PROD31"/>
    <s v="STORE10"/>
    <n v="1"/>
    <n v="198.83"/>
    <n v="0.09"/>
    <s v="COD"/>
    <n v="180.93530000000001"/>
    <n v="2107865.8237000001"/>
    <n v="1086.5287751030928"/>
    <n v="672"/>
    <s v="Low Value"/>
    <s v="Jul-2025"/>
    <s v="Basketball"/>
    <x v="0"/>
  </r>
  <r>
    <s v="PROD19"/>
    <s v="STORE7"/>
    <n v="1"/>
    <n v="374.92"/>
    <n v="0.18"/>
    <s v="PayPal"/>
    <n v="307.43439999999998"/>
    <n v="2107684.8884000001"/>
    <n v="1086.9958166064982"/>
    <n v="672"/>
    <s v="Low Value"/>
    <s v="Feb-2025"/>
    <s v="Knee Support Brace"/>
    <x v="0"/>
  </r>
  <r>
    <s v="PROD93"/>
    <s v="STORE16"/>
    <n v="1"/>
    <n v="468.94"/>
    <n v="0.12"/>
    <s v="Credit Card"/>
    <n v="412.66719999999998"/>
    <n v="2107377.4540000004"/>
    <n v="1087.3980670794635"/>
    <n v="671"/>
    <s v="Low Value"/>
    <s v="Aug-2024"/>
    <s v="USB-C Laptop Charger"/>
    <x v="1"/>
  </r>
  <r>
    <s v="PROD89"/>
    <s v="STORE12"/>
    <n v="2"/>
    <n v="121.37"/>
    <n v="0.05"/>
    <s v="Credit Card"/>
    <n v="230.60300000000001"/>
    <n v="2106964.7868000004"/>
    <n v="1087.7464051626228"/>
    <n v="671"/>
    <s v="Low Value"/>
    <s v="Sep-2025"/>
    <s v="Face Foundation Kit"/>
    <x v="2"/>
  </r>
  <r>
    <s v="PROD53"/>
    <s v="STORE10"/>
    <n v="3"/>
    <n v="480.06"/>
    <n v="0.01"/>
    <s v="Credit Card"/>
    <n v="1425.7782"/>
    <n v="2106734.1838000002"/>
    <n v="1088.1891445247936"/>
    <n v="671"/>
    <s v="High Value"/>
    <s v="Sep-2025"/>
    <s v="Men's Track Pants"/>
    <x v="4"/>
  </r>
  <r>
    <s v="PROD99"/>
    <s v="STORE17"/>
    <n v="2"/>
    <n v="856.57"/>
    <n v="0.24"/>
    <s v="Credit Card"/>
    <n v="1301.9864"/>
    <n v="2105308.4056000002"/>
    <n v="1088.0146798966409"/>
    <n v="671"/>
    <s v="High Value"/>
    <s v="Dec-2023"/>
    <s v="Stainless Steel Cookware Set"/>
    <x v="3"/>
  </r>
  <r>
    <s v="PROD77"/>
    <s v="STORE2"/>
    <n v="4"/>
    <n v="814.25"/>
    <n v="0.18"/>
    <s v="Credit Card"/>
    <n v="2670.74"/>
    <n v="2104006.4192000004"/>
    <n v="1087.9040430196485"/>
    <n v="671"/>
    <s v="High Value"/>
    <s v="Oct-2023"/>
    <s v="WiFi Mesh Router"/>
    <x v="1"/>
  </r>
  <r>
    <s v="PROD12"/>
    <s v="STORE2"/>
    <n v="1"/>
    <n v="989.17"/>
    <n v="0.2"/>
    <s v="PayPal"/>
    <n v="791.33600000000001"/>
    <n v="2101335.6792000006"/>
    <n v="1087.0851935851013"/>
    <n v="671"/>
    <s v="Low Value"/>
    <s v="Nov-2023"/>
    <s v="Hair Strengthening Shampoo"/>
    <x v="2"/>
  </r>
  <r>
    <s v="PROD72"/>
    <s v="STORE10"/>
    <n v="4"/>
    <n v="62.48"/>
    <n v="0.18"/>
    <s v="Credit Card"/>
    <n v="204.93440000000001"/>
    <n v="2100544.3432000009"/>
    <n v="1087.2382728778473"/>
    <n v="670"/>
    <s v="Low Value"/>
    <s v="Dec-2023"/>
    <s v="Professional Jump Rope"/>
    <x v="0"/>
  </r>
  <r>
    <s v="PROD13"/>
    <s v="STORE16"/>
    <n v="4"/>
    <n v="561.24"/>
    <n v="0.24"/>
    <s v="Credit Card"/>
    <n v="1706.1695999999999"/>
    <n v="2100339.4088000008"/>
    <n v="1087.6951883997933"/>
    <n v="670"/>
    <s v="High Value"/>
    <s v="Aug-2025"/>
    <s v="USB-C Fast Charger"/>
    <x v="1"/>
  </r>
  <r>
    <s v="PROD60"/>
    <s v="STORE5"/>
    <n v="3"/>
    <n v="92.24"/>
    <n v="0.28000000000000003"/>
    <s v="COD"/>
    <n v="199.23839999999998"/>
    <n v="2098633.2392000007"/>
    <n v="1087.3747353367878"/>
    <n v="670"/>
    <s v="Low Value"/>
    <s v="Jul-2025"/>
    <s v="Luxury Perfume Spray"/>
    <x v="2"/>
  </r>
  <r>
    <s v="PROD72"/>
    <s v="STORE1"/>
    <n v="2"/>
    <n v="668.3"/>
    <n v="7.0000000000000007E-2"/>
    <s v="Credit Card"/>
    <n v="1243.038"/>
    <n v="2098434.0008000005"/>
    <n v="1087.8351481596685"/>
    <n v="670"/>
    <s v="High Value"/>
    <s v="Aug-2025"/>
    <s v="Professional Jump Rope"/>
    <x v="0"/>
  </r>
  <r>
    <s v="PROD38"/>
    <s v="STORE5"/>
    <n v="1"/>
    <n v="553.82000000000005"/>
    <n v="0.09"/>
    <s v="Credit Card"/>
    <n v="503.97620000000012"/>
    <n v="2097190.9628000008"/>
    <n v="1087.7546487551872"/>
    <n v="670"/>
    <s v="Low Value"/>
    <s v="Aug-2024"/>
    <s v="Sports Water Hydration Pack"/>
    <x v="0"/>
  </r>
  <r>
    <s v="PROD45"/>
    <s v="STORE11"/>
    <n v="2"/>
    <n v="556.42999999999995"/>
    <n v="0.13"/>
    <s v="Credit Card"/>
    <n v="968.18819999999994"/>
    <n v="2096686.9866000009"/>
    <n v="1088.0575955371048"/>
    <n v="670"/>
    <s v="Low Value"/>
    <s v="Nov-2024"/>
    <s v="High-Grip Football"/>
    <x v="0"/>
  </r>
  <r>
    <s v="PROD20"/>
    <s v="STORE8"/>
    <n v="1"/>
    <n v="184.98"/>
    <n v="0.1"/>
    <s v="COD"/>
    <n v="166.482"/>
    <n v="2095718.7984000009"/>
    <n v="1088.1198330218074"/>
    <n v="670"/>
    <s v="Low Value"/>
    <s v="Oct-2025"/>
    <s v="Outdoor Sports Water Bottle"/>
    <x v="0"/>
  </r>
  <r>
    <s v="PROD97"/>
    <s v="STORE12"/>
    <n v="4"/>
    <n v="700.18"/>
    <n v="0.23"/>
    <s v="Credit Card"/>
    <n v="2156.5544"/>
    <n v="2095552.3164000008"/>
    <n v="1088.5986059220784"/>
    <n v="670"/>
    <s v="High Value"/>
    <s v="Jul-2024"/>
    <s v="Cricket Bat"/>
    <x v="0"/>
  </r>
  <r>
    <s v="PROD76"/>
    <s v="STORE10"/>
    <n v="2"/>
    <n v="686.31"/>
    <n v="0.25"/>
    <s v="Credit Card"/>
    <n v="1029.4649999999999"/>
    <n v="2093395.7620000006"/>
    <n v="1088.0435353430357"/>
    <n v="670"/>
    <s v="High Value"/>
    <s v="Dec-2023"/>
    <s v="Wireless Mouse"/>
    <x v="1"/>
  </r>
  <r>
    <s v="PROD67"/>
    <s v="STORE15"/>
    <n v="1"/>
    <n v="687.82"/>
    <n v="0.27"/>
    <s v="COD"/>
    <n v="502.10860000000002"/>
    <n v="2092366.297000001"/>
    <n v="1088.0739973998966"/>
    <n v="670"/>
    <s v="Low Value"/>
    <s v="May-2025"/>
    <s v="Smart LED Light Strip"/>
    <x v="1"/>
  </r>
  <r>
    <s v="PROD83"/>
    <s v="STORE8"/>
    <n v="2"/>
    <n v="900.55"/>
    <n v="0.16"/>
    <s v="Credit Card"/>
    <n v="1512.924"/>
    <n v="2091864.188400001"/>
    <n v="1088.3788701352762"/>
    <n v="670"/>
    <s v="High Value"/>
    <s v="Nov-2024"/>
    <s v="Hydrating Face Cleanser"/>
    <x v="2"/>
  </r>
  <r>
    <s v="PROD21"/>
    <s v="STORE2"/>
    <n v="1"/>
    <n v="341.17"/>
    <n v="0.15"/>
    <s v="Credit Card"/>
    <n v="289.99450000000002"/>
    <n v="2090351.2644000009"/>
    <n v="1088.1578679854247"/>
    <n v="670"/>
    <s v="Low Value"/>
    <s v="Dec-2023"/>
    <s v="Multi-Purpose Storage Box"/>
    <x v="3"/>
  </r>
  <r>
    <s v="PROD52"/>
    <s v="STORE8"/>
    <n v="1"/>
    <n v="442.27"/>
    <n v="0.06"/>
    <s v="COD"/>
    <n v="415.73379999999997"/>
    <n v="2090061.2699000009"/>
    <n v="1088.5735780729171"/>
    <n v="670"/>
    <s v="Low Value"/>
    <s v="Aug-2025"/>
    <s v="Rugby Ball"/>
    <x v="0"/>
  </r>
  <r>
    <s v="PROD71"/>
    <s v="STORE9"/>
    <n v="1"/>
    <n v="363.73"/>
    <n v="0.25"/>
    <s v="PayPal"/>
    <n v="272.79750000000001"/>
    <n v="2089645.5361000011"/>
    <n v="1088.924198071913"/>
    <n v="670"/>
    <s v="Low Value"/>
    <s v="Nov-2024"/>
    <s v="Hair Repair Oil Treatment"/>
    <x v="2"/>
  </r>
  <r>
    <s v="PROD91"/>
    <s v="STORE17"/>
    <n v="2"/>
    <n v="601.33000000000004"/>
    <n v="0.16"/>
    <s v="PayPal"/>
    <n v="1010.2344000000001"/>
    <n v="2089372.738600001"/>
    <n v="1089.3497072992707"/>
    <n v="669"/>
    <s v="High Value"/>
    <s v="Aug-2024"/>
    <s v="Women's High Heels"/>
    <x v="4"/>
  </r>
  <r>
    <s v="PROD17"/>
    <s v="STORE18"/>
    <n v="4"/>
    <n v="34.39"/>
    <n v="0.03"/>
    <s v="PayPal"/>
    <n v="133.4332"/>
    <n v="2088362.5042000008"/>
    <n v="1089.3909776734486"/>
    <n v="668"/>
    <s v="Low Value"/>
    <s v="May-2024"/>
    <s v="Soccer Training Cone Set"/>
    <x v="0"/>
  </r>
  <r>
    <s v="PROD46"/>
    <s v="STORE17"/>
    <n v="1"/>
    <n v="773.57"/>
    <n v="0.05"/>
    <s v="COD"/>
    <n v="734.89150000000006"/>
    <n v="2088229.0710000009"/>
    <n v="1089.8899117954077"/>
    <n v="667"/>
    <s v="Low Value"/>
    <s v="Dec-2023"/>
    <s v="Men's Winter Jacket"/>
    <x v="4"/>
  </r>
  <r>
    <s v="PROD88"/>
    <s v="STORE7"/>
    <n v="4"/>
    <n v="127.1"/>
    <n v="0.24"/>
    <s v="COD"/>
    <n v="386.38400000000001"/>
    <n v="2087494.1795000008"/>
    <n v="1090.0752895561361"/>
    <n v="667"/>
    <s v="Low Value"/>
    <s v="Dec-2023"/>
    <s v="Sports Wrist Sweatbands"/>
    <x v="0"/>
  </r>
  <r>
    <s v="PROD20"/>
    <s v="STORE3"/>
    <n v="3"/>
    <n v="899.58"/>
    <n v="0.28000000000000003"/>
    <s v="PayPal"/>
    <n v="1943.0927999999999"/>
    <n v="2087107.7955000009"/>
    <n v="1090.4429443573672"/>
    <n v="667"/>
    <s v="High Value"/>
    <s v="Sep-2024"/>
    <s v="Outdoor Sports Water Bottle"/>
    <x v="0"/>
  </r>
  <r>
    <s v="PROD1"/>
    <s v="STORE10"/>
    <n v="3"/>
    <n v="964.39"/>
    <n v="0.04"/>
    <s v="Credit Card"/>
    <n v="2777.4432000000002"/>
    <n v="2085164.702700001"/>
    <n v="1089.9972308938845"/>
    <n v="666"/>
    <s v="High Value"/>
    <s v="Apr-2025"/>
    <s v="Men's Graphic T-Shirt"/>
    <x v="4"/>
  </r>
  <r>
    <s v="PROD38"/>
    <s v="STORE0"/>
    <n v="2"/>
    <n v="217.83"/>
    <n v="0.14000000000000001"/>
    <s v="PayPal"/>
    <n v="374.66759999999999"/>
    <n v="2082387.2595000009"/>
    <n v="1089.1146754707117"/>
    <n v="666"/>
    <s v="Low Value"/>
    <s v="Oct-2024"/>
    <s v="Sports Water Hydration Pack"/>
    <x v="0"/>
  </r>
  <r>
    <s v="PROD17"/>
    <s v="STORE1"/>
    <n v="4"/>
    <n v="187.71"/>
    <n v="0.06"/>
    <s v="COD"/>
    <n v="705.78959999999995"/>
    <n v="2082012.5919000008"/>
    <n v="1089.488535792779"/>
    <n v="665"/>
    <s v="Low Value"/>
    <s v="Jul-2025"/>
    <s v="Soccer Training Cone Set"/>
    <x v="0"/>
  </r>
  <r>
    <s v="PROD33"/>
    <s v="STORE18"/>
    <n v="2"/>
    <n v="350.12"/>
    <n v="0.12"/>
    <s v="COD"/>
    <n v="616.21119999999996"/>
    <n v="2081306.802300001"/>
    <n v="1089.6894252879586"/>
    <n v="665"/>
    <s v="Low Value"/>
    <s v="Oct-2024"/>
    <s v="Modern Wall Clock"/>
    <x v="3"/>
  </r>
  <r>
    <s v="PROD16"/>
    <s v="STORE1"/>
    <n v="4"/>
    <n v="102.19"/>
    <n v="0.17"/>
    <s v="PayPal"/>
    <n v="339.27080000000001"/>
    <n v="2080690.591100001"/>
    <n v="1089.9374495023578"/>
    <n v="665"/>
    <s v="Low Value"/>
    <s v="Jan-2024"/>
    <s v="Beard Grooming Kit"/>
    <x v="2"/>
  </r>
  <r>
    <s v="PROD86"/>
    <s v="STORE4"/>
    <n v="1"/>
    <n v="696.53"/>
    <n v="0.17"/>
    <s v="Credit Card"/>
    <n v="578.11989999999992"/>
    <n v="2080351.320300001"/>
    <n v="1090.3308806603779"/>
    <n v="664"/>
    <s v="Low Value"/>
    <s v="Feb-2024"/>
    <s v="Kitchen Cutting Board"/>
    <x v="3"/>
  </r>
  <r>
    <s v="PROD19"/>
    <s v="STORE4"/>
    <n v="2"/>
    <n v="327.52"/>
    <n v="0.15"/>
    <s v="PayPal"/>
    <n v="556.78399999999999"/>
    <n v="2079773.2004000009"/>
    <n v="1090.5994758259051"/>
    <n v="664"/>
    <s v="Low Value"/>
    <s v="Dec-2024"/>
    <s v="Knee Support Brace"/>
    <x v="0"/>
  </r>
  <r>
    <s v="PROD97"/>
    <s v="STORE19"/>
    <n v="2"/>
    <n v="569.36"/>
    <n v="0.01"/>
    <s v="PayPal"/>
    <n v="1127.3327999999999"/>
    <n v="2079216.4164000012"/>
    <n v="1090.8795469045126"/>
    <n v="663"/>
    <s v="High Value"/>
    <s v="Aug-2024"/>
    <s v="Cricket Bat"/>
    <x v="0"/>
  </r>
  <r>
    <s v="PROD99"/>
    <s v="STORE6"/>
    <n v="2"/>
    <n v="68.290000000000006"/>
    <n v="0.14000000000000001"/>
    <s v="COD"/>
    <n v="117.4588"/>
    <n v="2078089.0836000012"/>
    <n v="1090.8604113385834"/>
    <n v="662"/>
    <s v="Low Value"/>
    <s v="Sep-2024"/>
    <s v="Stainless Steel Cookware Set"/>
    <x v="3"/>
  </r>
  <r>
    <s v="PROD50"/>
    <s v="STORE10"/>
    <n v="1"/>
    <n v="842.9"/>
    <n v="0.06"/>
    <s v="COD"/>
    <n v="792.32599999999991"/>
    <n v="2077971.6248000013"/>
    <n v="1091.371651680673"/>
    <n v="662"/>
    <s v="Low Value"/>
    <s v="Aug-2024"/>
    <s v="Boxing Hand Wraps"/>
    <x v="0"/>
  </r>
  <r>
    <s v="PROD3"/>
    <s v="STORE3"/>
    <n v="3"/>
    <n v="751.94"/>
    <n v="0.26"/>
    <s v="PayPal"/>
    <n v="1669.3068000000001"/>
    <n v="2077179.2988000012"/>
    <n v="1091.5287960063065"/>
    <n v="662"/>
    <s v="High Value"/>
    <s v="Oct-2024"/>
    <s v="Men's Running Jacket"/>
    <x v="4"/>
  </r>
  <r>
    <s v="PROD56"/>
    <s v="STORE7"/>
    <n v="4"/>
    <n v="476.28"/>
    <n v="0.17"/>
    <s v="Credit Card"/>
    <n v="1581.2496000000001"/>
    <n v="2075509.992000001"/>
    <n v="1091.2250220820194"/>
    <n v="661"/>
    <s v="High Value"/>
    <s v="Oct-2024"/>
    <s v="Premium Blanket Throw"/>
    <x v="3"/>
  </r>
  <r>
    <s v="PROD54"/>
    <s v="STORE3"/>
    <n v="3"/>
    <n v="541.99"/>
    <n v="0.24"/>
    <s v="COD"/>
    <n v="1235.7372"/>
    <n v="2073928.742400001"/>
    <n v="1090.9672500789063"/>
    <n v="661"/>
    <s v="High Value"/>
    <s v="Jul-2024"/>
    <s v="Sports Stopwatch Pro"/>
    <x v="0"/>
  </r>
  <r>
    <s v="PROD33"/>
    <s v="STORE5"/>
    <n v="2"/>
    <n v="401.5"/>
    <n v="0.18"/>
    <s v="Credit Card"/>
    <n v="658.46"/>
    <n v="2072693.0052000009"/>
    <n v="1090.8910553684216"/>
    <n v="661"/>
    <s v="Low Value"/>
    <s v="Jan-2025"/>
    <s v="Modern Wall Clock"/>
    <x v="3"/>
  </r>
  <r>
    <s v="PROD25"/>
    <s v="STORE13"/>
    <n v="3"/>
    <n v="359.56"/>
    <n v="0.17"/>
    <s v="PayPal"/>
    <n v="895.30439999999999"/>
    <n v="2072034.545200001"/>
    <n v="1091.1187705107957"/>
    <n v="661"/>
    <s v="Low Value"/>
    <s v="Jun-2024"/>
    <s v="Women's Scarf Set"/>
    <x v="4"/>
  </r>
  <r>
    <s v="PROD80"/>
    <s v="STORE12"/>
    <n v="2"/>
    <n v="471.88"/>
    <n v="0.24"/>
    <s v="PayPal"/>
    <n v="717.25760000000002"/>
    <n v="2071139.240800001"/>
    <n v="1091.2219393045316"/>
    <n v="660"/>
    <s v="Low Value"/>
    <s v="Sep-2024"/>
    <s v="Wall-Mounted Spice Rack"/>
    <x v="3"/>
  </r>
  <r>
    <s v="PROD34"/>
    <s v="STORE4"/>
    <n v="4"/>
    <n v="925.19"/>
    <n v="0.19"/>
    <s v="PayPal"/>
    <n v="2997.615600000001"/>
    <n v="2070421.9832000011"/>
    <n v="1091.4190739061683"/>
    <n v="659"/>
    <s v="High Value"/>
    <s v="Sep-2025"/>
    <s v="Gaming Mechanical Keyboard"/>
    <x v="1"/>
  </r>
  <r>
    <s v="PROD86"/>
    <s v="STORE11"/>
    <n v="2"/>
    <n v="879.63"/>
    <n v="7.0000000000000007E-2"/>
    <s v="COD"/>
    <n v="1636.1117999999999"/>
    <n v="2067424.3676000009"/>
    <n v="1090.4136959915618"/>
    <n v="658"/>
    <s v="High Value"/>
    <s v="Feb-2024"/>
    <s v="Kitchen Cutting Board"/>
    <x v="3"/>
  </r>
  <r>
    <s v="PROD79"/>
    <s v="STORE17"/>
    <n v="2"/>
    <n v="418.23"/>
    <n v="0.28000000000000003"/>
    <s v="Credit Card"/>
    <n v="602.25120000000004"/>
    <n v="2065788.2558000009"/>
    <n v="1090.1257286543539"/>
    <n v="658"/>
    <s v="Low Value"/>
    <s v="Oct-2023"/>
    <s v="Decorative Lamp Shade"/>
    <x v="3"/>
  </r>
  <r>
    <s v="PROD19"/>
    <s v="STORE18"/>
    <n v="3"/>
    <n v="551.72"/>
    <n v="0.03"/>
    <s v="COD"/>
    <n v="1605.5052000000001"/>
    <n v="2065186.004600001"/>
    <n v="1090.3833181626194"/>
    <n v="658"/>
    <s v="High Value"/>
    <s v="Aug-2025"/>
    <s v="Knee Support Brace"/>
    <x v="0"/>
  </r>
  <r>
    <s v="PROD86"/>
    <s v="STORE7"/>
    <n v="4"/>
    <n v="525.61"/>
    <n v="0.02"/>
    <s v="PayPal"/>
    <n v="2060.3912"/>
    <n v="2063580.4994000013"/>
    <n v="1090.1111988378243"/>
    <n v="658"/>
    <s v="High Value"/>
    <s v="Feb-2024"/>
    <s v="Kitchen Cutting Board"/>
    <x v="3"/>
  </r>
  <r>
    <s v="PROD22"/>
    <s v="STORE13"/>
    <n v="3"/>
    <n v="815.3"/>
    <n v="0.03"/>
    <s v="Credit Card"/>
    <n v="2372.5230000000001"/>
    <n v="2061520.1082000011"/>
    <n v="1089.5983658562373"/>
    <n v="657"/>
    <s v="High Value"/>
    <s v="May-2025"/>
    <s v="Carbon Fiber Tennis Racket"/>
    <x v="0"/>
  </r>
  <r>
    <s v="PROD91"/>
    <s v="STORE0"/>
    <n v="3"/>
    <n v="376.46"/>
    <n v="0.09"/>
    <s v="COD"/>
    <n v="1027.7357999999999"/>
    <n v="2059147.585200001"/>
    <n v="1088.9199287149661"/>
    <n v="657"/>
    <s v="High Value"/>
    <s v="Mar-2025"/>
    <s v="Women's High Heels"/>
    <x v="4"/>
  </r>
  <r>
    <s v="PROD42"/>
    <s v="STORE8"/>
    <n v="4"/>
    <n v="239.83"/>
    <n v="0.08"/>
    <s v="Credit Card"/>
    <n v="882.57440000000008"/>
    <n v="2058119.8494000009"/>
    <n v="1088.9523012698417"/>
    <n v="657"/>
    <s v="Low Value"/>
    <s v="Jul-2025"/>
    <s v="Smart Home WiFi Camera"/>
    <x v="1"/>
  </r>
  <r>
    <s v="PROD90"/>
    <s v="STORE3"/>
    <n v="2"/>
    <n v="845.71"/>
    <n v="0.01"/>
    <s v="PayPal"/>
    <n v="1674.5057999999999"/>
    <n v="2057237.2750000011"/>
    <n v="1089.0615537321339"/>
    <n v="657"/>
    <s v="High Value"/>
    <s v="May-2025"/>
    <s v="Gaming Mouse Pad XL"/>
    <x v="1"/>
  </r>
  <r>
    <s v="PROD76"/>
    <s v="STORE13"/>
    <n v="3"/>
    <n v="948.69"/>
    <n v="0.28999999999999998"/>
    <s v="Credit Card"/>
    <n v="2020.7097000000001"/>
    <n v="2055562.7692000009"/>
    <n v="1088.7514667372886"/>
    <n v="656"/>
    <s v="High Value"/>
    <s v="Feb-2025"/>
    <s v="Wireless Mouse"/>
    <x v="1"/>
  </r>
  <r>
    <s v="PROD27"/>
    <s v="STORE10"/>
    <n v="1"/>
    <n v="281.97000000000003"/>
    <n v="0.2"/>
    <s v="PayPal"/>
    <n v="225.57599999999999"/>
    <n v="2053542.0595000009"/>
    <n v="1088.2575832008483"/>
    <n v="656"/>
    <s v="Low Value"/>
    <s v="May-2024"/>
    <s v="Decorative Floor Vase"/>
    <x v="3"/>
  </r>
  <r>
    <s v="PROD91"/>
    <s v="STORE4"/>
    <n v="2"/>
    <n v="731.01"/>
    <n v="0.05"/>
    <s v="PayPal"/>
    <n v="1388.9190000000001"/>
    <n v="2053316.4835000008"/>
    <n v="1088.714996553553"/>
    <n v="655"/>
    <s v="High Value"/>
    <s v="Jul-2024"/>
    <s v="Women's High Heels"/>
    <x v="4"/>
  </r>
  <r>
    <s v="PROD85"/>
    <s v="STORE7"/>
    <n v="4"/>
    <n v="930.85"/>
    <n v="0.13"/>
    <s v="PayPal"/>
    <n v="3239.3580000000002"/>
    <n v="2051927.5645000008"/>
    <n v="1088.5557371352788"/>
    <n v="654"/>
    <s v="High Value"/>
    <s v="Sep-2025"/>
    <s v="Women's Beanie Hat"/>
    <x v="4"/>
  </r>
  <r>
    <s v="PROD3"/>
    <s v="STORE8"/>
    <n v="4"/>
    <n v="770.77"/>
    <n v="0.22"/>
    <s v="Credit Card"/>
    <n v="2404.8024"/>
    <n v="2048688.2065000006"/>
    <n v="1087.4141223460724"/>
    <n v="653"/>
    <s v="High Value"/>
    <s v="May-2024"/>
    <s v="Men's Running Jacket"/>
    <x v="4"/>
  </r>
  <r>
    <s v="PROD46"/>
    <s v="STORE4"/>
    <n v="3"/>
    <n v="479.63"/>
    <n v="0.3"/>
    <s v="PayPal"/>
    <n v="1007.223"/>
    <n v="2046283.4041000006"/>
    <n v="1086.7145003186408"/>
    <n v="653"/>
    <s v="High Value"/>
    <s v="Sep-2024"/>
    <s v="Men's Winter Jacket"/>
    <x v="4"/>
  </r>
  <r>
    <s v="PROD39"/>
    <s v="STORE11"/>
    <n v="1"/>
    <n v="165"/>
    <n v="0.3"/>
    <s v="COD"/>
    <n v="115.5"/>
    <n v="2045276.1811000006"/>
    <n v="1086.7567380977687"/>
    <n v="652"/>
    <s v="Low Value"/>
    <s v="Apr-2024"/>
    <s v="Portable Power Bank"/>
    <x v="1"/>
  </r>
  <r>
    <s v="PROD19"/>
    <s v="STORE8"/>
    <n v="2"/>
    <n v="151.51"/>
    <n v="0.28999999999999998"/>
    <s v="COD"/>
    <n v="215.14420000000001"/>
    <n v="2045160.6811000006"/>
    <n v="1087.2730893673581"/>
    <n v="652"/>
    <s v="Low Value"/>
    <s v="Jul-2024"/>
    <s v="Knee Support Brace"/>
    <x v="0"/>
  </r>
  <r>
    <s v="PROD31"/>
    <s v="STORE17"/>
    <n v="2"/>
    <n v="872.93"/>
    <n v="0.28999999999999998"/>
    <s v="COD"/>
    <n v="1239.5606"/>
    <n v="2044945.5369000006"/>
    <n v="1087.7369877127662"/>
    <n v="652"/>
    <s v="High Value"/>
    <s v="Dec-2023"/>
    <s v="Basketball"/>
    <x v="0"/>
  </r>
  <r>
    <s v="PROD22"/>
    <s v="STORE10"/>
    <n v="3"/>
    <n v="432.4"/>
    <n v="0.04"/>
    <s v="Credit Card"/>
    <n v="1245.3119999999999"/>
    <n v="2043705.9763000004"/>
    <n v="1087.6561874933477"/>
    <n v="652"/>
    <s v="High Value"/>
    <s v="Sep-2024"/>
    <s v="Carbon Fiber Tennis Racket"/>
    <x v="0"/>
  </r>
  <r>
    <s v="PROD50"/>
    <s v="STORE7"/>
    <n v="2"/>
    <n v="197.76"/>
    <n v="0.04"/>
    <s v="Credit Card"/>
    <n v="379.69920000000002"/>
    <n v="2042460.6643000005"/>
    <n v="1087.5722387113954"/>
    <n v="652"/>
    <s v="Low Value"/>
    <s v="Aug-2025"/>
    <s v="Boxing Hand Wraps"/>
    <x v="0"/>
  </r>
  <r>
    <s v="PROD40"/>
    <s v="STORE2"/>
    <n v="3"/>
    <n v="334.6"/>
    <n v="0.11"/>
    <s v="PayPal"/>
    <n v="893.38200000000006"/>
    <n v="2042080.9651000004"/>
    <n v="1087.9493687266918"/>
    <n v="652"/>
    <s v="Low Value"/>
    <s v="Jan-2025"/>
    <s v="Noise-Canceling Headphones"/>
    <x v="1"/>
  </r>
  <r>
    <s v="PROD14"/>
    <s v="STORE3"/>
    <n v="2"/>
    <n v="44.35"/>
    <n v="0.2"/>
    <s v="COD"/>
    <n v="70.960000000000008"/>
    <n v="2041187.5831000009"/>
    <n v="1088.0530826759066"/>
    <n v="651"/>
    <s v="Low Value"/>
    <s v="Apr-2025"/>
    <s v="Decorative Wall Mirror"/>
    <x v="3"/>
  </r>
  <r>
    <s v="PROD8"/>
    <s v="STORE6"/>
    <n v="1"/>
    <n v="846.31"/>
    <n v="0.05"/>
    <s v="PayPal"/>
    <n v="803.9944999999999"/>
    <n v="2041116.6231000007"/>
    <n v="1088.5955323200003"/>
    <n v="651"/>
    <s v="Low Value"/>
    <s v="Nov-2024"/>
    <s v="Wireless Bluetooth Earbuds"/>
    <x v="1"/>
  </r>
  <r>
    <s v="PROD35"/>
    <s v="STORE12"/>
    <n v="1"/>
    <n v="996.48"/>
    <n v="7.0000000000000007E-2"/>
    <s v="COD"/>
    <n v="926.7263999999999"/>
    <n v="2040312.6286000009"/>
    <n v="1088.7474005336185"/>
    <n v="650"/>
    <s v="Low Value"/>
    <s v="Aug-2025"/>
    <s v="Bedroom Table Lamp"/>
    <x v="3"/>
  </r>
  <r>
    <s v="PROD93"/>
    <s v="STORE6"/>
    <n v="3"/>
    <n v="949.19"/>
    <n v="0.03"/>
    <s v="COD"/>
    <n v="2762.1428999999998"/>
    <n v="2039385.9022000008"/>
    <n v="1088.8339040042717"/>
    <n v="650"/>
    <s v="High Value"/>
    <s v="Sep-2025"/>
    <s v="USB-C Laptop Charger"/>
    <x v="1"/>
  </r>
  <r>
    <s v="PROD94"/>
    <s v="STORE9"/>
    <n v="2"/>
    <n v="724.97"/>
    <n v="0.1"/>
    <s v="Credit Card"/>
    <n v="1304.9459999999999"/>
    <n v="2036623.759300001"/>
    <n v="1087.9400423611116"/>
    <n v="650"/>
    <s v="High Value"/>
    <s v="Feb-2024"/>
    <s v="Vitamin E Body Lotion"/>
    <x v="2"/>
  </r>
  <r>
    <s v="PROD1"/>
    <s v="STORE16"/>
    <n v="1"/>
    <n v="783.25"/>
    <n v="0.3"/>
    <s v="Credit Card"/>
    <n v="548.27499999999998"/>
    <n v="2035318.813300001"/>
    <n v="1087.8240584179589"/>
    <n v="650"/>
    <s v="Low Value"/>
    <s v="Mar-2025"/>
    <s v="Men's Graphic T-Shirt"/>
    <x v="4"/>
  </r>
  <r>
    <s v="PROD17"/>
    <s v="STORE3"/>
    <n v="1"/>
    <n v="942.38"/>
    <n v="0.17"/>
    <s v="Credit Card"/>
    <n v="782.17539999999997"/>
    <n v="2034770.5383000011"/>
    <n v="1088.1125873262038"/>
    <n v="650"/>
    <s v="Low Value"/>
    <s v="Jul-2024"/>
    <s v="Soccer Training Cone Set"/>
    <x v="0"/>
  </r>
  <r>
    <s v="PROD51"/>
    <s v="STORE11"/>
    <n v="3"/>
    <n v="298.35000000000002"/>
    <n v="0.05"/>
    <s v="COD"/>
    <n v="850.29750000000001"/>
    <n v="2033988.362900001"/>
    <n v="1088.2762776350994"/>
    <n v="650"/>
    <s v="Low Value"/>
    <s v="Jun-2024"/>
    <s v="HDMI Cable – 2m"/>
    <x v="1"/>
  </r>
  <r>
    <s v="PROD48"/>
    <s v="STORE12"/>
    <n v="4"/>
    <n v="950.04"/>
    <n v="0.13"/>
    <s v="PayPal"/>
    <n v="3306.1392000000001"/>
    <n v="2033138.0654000009"/>
    <n v="1088.4036752676664"/>
    <n v="650"/>
    <s v="High Value"/>
    <s v="Jan-2025"/>
    <s v="Car Dashboard Phone Holder"/>
    <x v="1"/>
  </r>
  <r>
    <s v="PROD57"/>
    <s v="STORE4"/>
    <n v="2"/>
    <n v="267.19"/>
    <n v="7.0000000000000007E-2"/>
    <s v="Credit Card"/>
    <n v="496.97340000000003"/>
    <n v="2029831.9262000006"/>
    <n v="1087.2158147830748"/>
    <n v="649"/>
    <s v="Low Value"/>
    <s v="Sep-2025"/>
    <s v="Foam Roller"/>
    <x v="0"/>
  </r>
  <r>
    <s v="PROD87"/>
    <s v="STORE15"/>
    <n v="4"/>
    <n v="72.63"/>
    <n v="0.06"/>
    <s v="PayPal"/>
    <n v="273.08879999999999"/>
    <n v="2029334.9528000006"/>
    <n v="1087.5321290460881"/>
    <n v="649"/>
    <s v="Low Value"/>
    <s v="Jun-2025"/>
    <s v="LED Bedside Lamp"/>
    <x v="3"/>
  </r>
  <r>
    <s v="PROD53"/>
    <s v="STORE5"/>
    <n v="3"/>
    <n v="576.52"/>
    <n v="0.22"/>
    <s v="COD"/>
    <n v="1349.0568000000001"/>
    <n v="2029061.8640000005"/>
    <n v="1087.9688278820379"/>
    <n v="648"/>
    <s v="High Value"/>
    <s v="Sep-2024"/>
    <s v="Men's Track Pants"/>
    <x v="4"/>
  </r>
  <r>
    <s v="PROD71"/>
    <s v="STORE9"/>
    <n v="3"/>
    <n v="849.36"/>
    <n v="0.03"/>
    <s v="Credit Card"/>
    <n v="2471.6376"/>
    <n v="2027712.8072000006"/>
    <n v="1087.8287592274683"/>
    <n v="648"/>
    <s v="High Value"/>
    <s v="Apr-2025"/>
    <s v="Hair Repair Oil Treatment"/>
    <x v="2"/>
  </r>
  <r>
    <s v="PROD50"/>
    <s v="STORE6"/>
    <n v="1"/>
    <n v="245.85"/>
    <n v="0.18"/>
    <s v="COD"/>
    <n v="201.59700000000001"/>
    <n v="2025241.1696000004"/>
    <n v="1087.0859740203973"/>
    <n v="648"/>
    <s v="Low Value"/>
    <s v="Apr-2024"/>
    <s v="Boxing Hand Wraps"/>
    <x v="0"/>
  </r>
  <r>
    <s v="PROD97"/>
    <s v="STORE10"/>
    <n v="3"/>
    <n v="237.68"/>
    <n v="0.1"/>
    <s v="COD"/>
    <n v="641.73599999999999"/>
    <n v="2025039.5726000005"/>
    <n v="1087.5615320085933"/>
    <n v="648"/>
    <s v="Low Value"/>
    <s v="Oct-2024"/>
    <s v="Cricket Bat"/>
    <x v="0"/>
  </r>
  <r>
    <s v="PROD71"/>
    <s v="STORE14"/>
    <n v="4"/>
    <n v="715.85"/>
    <n v="0.25"/>
    <s v="PayPal"/>
    <n v="2147.5500000000002"/>
    <n v="2024397.8366000005"/>
    <n v="1087.8010943578724"/>
    <n v="648"/>
    <s v="High Value"/>
    <s v="Apr-2025"/>
    <s v="Hair Repair Oil Treatment"/>
    <x v="2"/>
  </r>
  <r>
    <s v="PROD90"/>
    <s v="STORE5"/>
    <n v="2"/>
    <n v="478.85"/>
    <n v="0.01"/>
    <s v="COD"/>
    <n v="948.12300000000005"/>
    <n v="2022250.2866000007"/>
    <n v="1087.2313368817208"/>
    <n v="647"/>
    <s v="Low Value"/>
    <s v="Nov-2023"/>
    <s v="Gaming Mouse Pad XL"/>
    <x v="1"/>
  </r>
  <r>
    <s v="PROD47"/>
    <s v="STORE0"/>
    <n v="1"/>
    <n v="503.95"/>
    <n v="0.26"/>
    <s v="COD"/>
    <n v="372.923"/>
    <n v="2021302.1636000008"/>
    <n v="1087.3061665411515"/>
    <n v="647"/>
    <s v="Low Value"/>
    <s v="Mar-2025"/>
    <s v="Makeup Brush Set"/>
    <x v="2"/>
  </r>
  <r>
    <s v="PROD66"/>
    <s v="STORE12"/>
    <n v="2"/>
    <n v="975.48"/>
    <n v="0.26"/>
    <s v="COD"/>
    <n v="1443.7103999999999"/>
    <n v="2020929.2406000008"/>
    <n v="1087.6906569429498"/>
    <n v="647"/>
    <s v="High Value"/>
    <s v="Oct-2024"/>
    <s v="Women's Hair Dryer Brush"/>
    <x v="2"/>
  </r>
  <r>
    <s v="PROD34"/>
    <s v="STORE16"/>
    <n v="4"/>
    <n v="450.12"/>
    <n v="0.28999999999999998"/>
    <s v="COD"/>
    <n v="1278.3407999999999"/>
    <n v="2019485.5302000009"/>
    <n v="1087.4989392568664"/>
    <n v="647"/>
    <s v="High Value"/>
    <s v="Aug-2025"/>
    <s v="Gaming Mechanical Keyboard"/>
    <x v="1"/>
  </r>
  <r>
    <s v="PROD36"/>
    <s v="STORE8"/>
    <n v="3"/>
    <n v="237.24"/>
    <n v="0.24"/>
    <s v="PayPal"/>
    <n v="540.90719999999999"/>
    <n v="2018207.189400001"/>
    <n v="1087.3961149784488"/>
    <n v="647"/>
    <s v="Low Value"/>
    <s v="Jun-2024"/>
    <s v="Women's Summer Dress"/>
    <x v="4"/>
  </r>
  <r>
    <s v="PROD54"/>
    <s v="STORE15"/>
    <n v="2"/>
    <n v="536.84"/>
    <n v="0.09"/>
    <s v="COD"/>
    <n v="977.04880000000014"/>
    <n v="2017666.2822000012"/>
    <n v="1087.6907181671165"/>
    <n v="646"/>
    <s v="Low Value"/>
    <s v="Aug-2024"/>
    <s v="Sports Stopwatch Pro"/>
    <x v="0"/>
  </r>
  <r>
    <s v="PROD36"/>
    <s v="STORE19"/>
    <n v="3"/>
    <n v="584.41"/>
    <n v="0"/>
    <s v="COD"/>
    <n v="1753.23"/>
    <n v="2016689.2334000012"/>
    <n v="1087.7503955771313"/>
    <n v="646"/>
    <s v="High Value"/>
    <s v="Nov-2024"/>
    <s v="Women's Summer Dress"/>
    <x v="4"/>
  </r>
  <r>
    <s v="PROD82"/>
    <s v="STORE19"/>
    <n v="1"/>
    <n v="653.87"/>
    <n v="0.14000000000000001"/>
    <s v="PayPal"/>
    <n v="562.32820000000004"/>
    <n v="2014936.0034000012"/>
    <n v="1087.3912592552624"/>
    <n v="646"/>
    <s v="Low Value"/>
    <s v="Nov-2024"/>
    <s v="Fitness Resistance Bands"/>
    <x v="0"/>
  </r>
  <r>
    <s v="PROD87"/>
    <s v="STORE0"/>
    <n v="1"/>
    <n v="652.03"/>
    <n v="0.27"/>
    <s v="Credit Card"/>
    <n v="475.9819"/>
    <n v="2014373.6752000013"/>
    <n v="1087.6747706263507"/>
    <n v="645"/>
    <s v="Low Value"/>
    <s v="Aug-2025"/>
    <s v="LED Bedside Lamp"/>
    <x v="3"/>
  </r>
  <r>
    <s v="PROD5"/>
    <s v="STORE12"/>
    <n v="3"/>
    <n v="513.36"/>
    <n v="7.0000000000000007E-2"/>
    <s v="COD"/>
    <n v="1432.2744"/>
    <n v="2013897.6933000011"/>
    <n v="1088.0052367909245"/>
    <n v="645"/>
    <s v="High Value"/>
    <s v="Jul-2024"/>
    <s v="Men's Leather Belt"/>
    <x v="4"/>
  </r>
  <r>
    <s v="PROD52"/>
    <s v="STORE5"/>
    <n v="4"/>
    <n v="355.64"/>
    <n v="0.16"/>
    <s v="COD"/>
    <n v="1194.9503999999999"/>
    <n v="2012465.4189000011"/>
    <n v="1087.8191453513518"/>
    <n v="645"/>
    <s v="High Value"/>
    <s v="May-2024"/>
    <s v="Rugby Ball"/>
    <x v="0"/>
  </r>
  <r>
    <s v="PROD13"/>
    <s v="STORE8"/>
    <n v="4"/>
    <n v="535.4"/>
    <n v="0.26"/>
    <s v="PayPal"/>
    <n v="1584.7840000000001"/>
    <n v="2011270.4685000009"/>
    <n v="1087.7612052460795"/>
    <n v="645"/>
    <s v="High Value"/>
    <s v="Oct-2024"/>
    <s v="USB-C Fast Charger"/>
    <x v="1"/>
  </r>
  <r>
    <s v="PROD69"/>
    <s v="STORE19"/>
    <n v="2"/>
    <n v="108.74"/>
    <n v="0.11"/>
    <s v="PayPal"/>
    <n v="193.55719999999999"/>
    <n v="2009685.6845000011"/>
    <n v="1087.4922535173166"/>
    <n v="644"/>
    <s v="Low Value"/>
    <s v="May-2025"/>
    <s v="Men's Sports Shorts"/>
    <x v="4"/>
  </r>
  <r>
    <s v="PROD11"/>
    <s v="STORE19"/>
    <n v="3"/>
    <n v="591.98"/>
    <n v="0.16"/>
    <s v="Credit Card"/>
    <n v="1491.7896000000001"/>
    <n v="2009492.1273000012"/>
    <n v="1087.9762465078513"/>
    <n v="643"/>
    <s v="High Value"/>
    <s v="Oct-2024"/>
    <s v="HD Smart TV Stick"/>
    <x v="1"/>
  </r>
  <r>
    <s v="PROD48"/>
    <s v="STORE2"/>
    <n v="1"/>
    <n v="345.06"/>
    <n v="0.13"/>
    <s v="COD"/>
    <n v="300.2022"/>
    <n v="2008000.337700001"/>
    <n v="1087.7574960455042"/>
    <n v="643"/>
    <s v="Low Value"/>
    <s v="Nov-2024"/>
    <s v="Car Dashboard Phone Holder"/>
    <x v="1"/>
  </r>
  <r>
    <s v="PROD93"/>
    <s v="STORE12"/>
    <n v="4"/>
    <n v="986.41"/>
    <n v="0.22"/>
    <s v="Credit Card"/>
    <n v="3077.5992000000001"/>
    <n v="2007700.135500001"/>
    <n v="1088.1843552845535"/>
    <n v="643"/>
    <s v="High Value"/>
    <s v="Mar-2025"/>
    <s v="USB-C Laptop Charger"/>
    <x v="1"/>
  </r>
  <r>
    <s v="PROD49"/>
    <s v="STORE0"/>
    <n v="2"/>
    <n v="921.52"/>
    <n v="0"/>
    <s v="PayPal"/>
    <n v="1843.04"/>
    <n v="2004622.5363000012"/>
    <n v="1087.1054969088943"/>
    <n v="643"/>
    <s v="High Value"/>
    <s v="Jul-2024"/>
    <s v="Men's Roll-On Perfume"/>
    <x v="2"/>
  </r>
  <r>
    <s v="PROD55"/>
    <s v="STORE5"/>
    <n v="1"/>
    <n v="83.1"/>
    <n v="0.04"/>
    <s v="PayPal"/>
    <n v="79.775999999999996"/>
    <n v="2002779.4963000014"/>
    <n v="1086.6953316874669"/>
    <n v="642"/>
    <s v="Low Value"/>
    <s v="Aug-2025"/>
    <s v="Ceramic Plant Pot"/>
    <x v="3"/>
  </r>
  <r>
    <s v="PROD28"/>
    <s v="STORE11"/>
    <n v="2"/>
    <n v="60.98"/>
    <n v="0.23"/>
    <s v="PayPal"/>
    <n v="93.909199999999998"/>
    <n v="2002699.7203000013"/>
    <n v="1087.2419762757879"/>
    <n v="641"/>
    <s v="Low Value"/>
    <s v="Nov-2024"/>
    <s v="Sports Stopwatch Timer"/>
    <x v="0"/>
  </r>
  <r>
    <s v="PROD89"/>
    <s v="STORE16"/>
    <n v="2"/>
    <n v="122.23"/>
    <n v="0.21"/>
    <s v="COD"/>
    <n v="193.1234"/>
    <n v="2002605.8111000014"/>
    <n v="1087.7815378055413"/>
    <n v="640"/>
    <s v="Low Value"/>
    <s v="Jun-2024"/>
    <s v="Face Foundation Kit"/>
    <x v="2"/>
  </r>
  <r>
    <s v="PROD70"/>
    <s v="STORE18"/>
    <n v="2"/>
    <n v="623.38"/>
    <n v="0.13"/>
    <s v="Credit Card"/>
    <n v="1084.6812"/>
    <n v="2002412.6877000013"/>
    <n v="1088.2677650543485"/>
    <n v="640"/>
    <s v="High Value"/>
    <s v="Sep-2025"/>
    <s v="Kitchen Storage Rack"/>
    <x v="3"/>
  </r>
  <r>
    <s v="PROD70"/>
    <s v="STORE0"/>
    <n v="1"/>
    <n v="479.58"/>
    <n v="0.05"/>
    <s v="PayPal"/>
    <n v="455.60099999999989"/>
    <n v="2001328.0065000013"/>
    <n v="1088.2697153344216"/>
    <n v="640"/>
    <s v="Low Value"/>
    <s v="Mar-2025"/>
    <s v="Kitchen Storage Rack"/>
    <x v="3"/>
  </r>
  <r>
    <s v="PROD73"/>
    <s v="STORE6"/>
    <n v="3"/>
    <n v="369.32"/>
    <n v="0.14000000000000001"/>
    <s v="PayPal"/>
    <n v="952.84559999999999"/>
    <n v="2000872.4055000013"/>
    <n v="1088.6139311751911"/>
    <n v="639"/>
    <s v="Low Value"/>
    <s v="Dec-2023"/>
    <s v="Shin Guards – Adult"/>
    <x v="0"/>
  </r>
  <r>
    <s v="PROD32"/>
    <s v="STORE1"/>
    <n v="1"/>
    <n v="488.31"/>
    <n v="0.03"/>
    <s v="PayPal"/>
    <n v="473.66070000000002"/>
    <n v="1999919.5599000014"/>
    <n v="1088.6878388132832"/>
    <n v="638"/>
    <s v="Low Value"/>
    <s v="Jul-2025"/>
    <s v="Vitamin C Face Serum"/>
    <x v="2"/>
  </r>
  <r>
    <s v="PROD54"/>
    <s v="STORE12"/>
    <n v="4"/>
    <n v="164.04"/>
    <n v="0.26"/>
    <s v="Credit Card"/>
    <n v="485.55839999999989"/>
    <n v="1999445.8992000013"/>
    <n v="1089.0228209150334"/>
    <n v="637"/>
    <s v="Low Value"/>
    <s v="May-2024"/>
    <s v="Sports Stopwatch Pro"/>
    <x v="0"/>
  </r>
  <r>
    <s v="PROD10"/>
    <s v="STORE17"/>
    <n v="3"/>
    <n v="707.95"/>
    <n v="0.18"/>
    <s v="PayPal"/>
    <n v="1741.557"/>
    <n v="1998960.3408000015"/>
    <n v="1089.3516843596738"/>
    <n v="637"/>
    <s v="High Value"/>
    <s v="Aug-2024"/>
    <s v="Ceramic Kitchen Bowl Set"/>
    <x v="3"/>
  </r>
  <r>
    <s v="PROD69"/>
    <s v="STORE8"/>
    <n v="4"/>
    <n v="714.47"/>
    <n v="0.18"/>
    <s v="COD"/>
    <n v="2343.4616000000001"/>
    <n v="1997218.7838000013"/>
    <n v="1088.996065321702"/>
    <n v="636"/>
    <s v="High Value"/>
    <s v="Dec-2023"/>
    <s v="Men's Sports Shorts"/>
    <x v="4"/>
  </r>
  <r>
    <s v="PROD79"/>
    <s v="STORE7"/>
    <n v="4"/>
    <n v="422.09"/>
    <n v="0.04"/>
    <s v="Credit Card"/>
    <n v="1620.8255999999999"/>
    <n v="1994875.322200001"/>
    <n v="1088.3116869612663"/>
    <n v="636"/>
    <s v="High Value"/>
    <s v="Jul-2025"/>
    <s v="Decorative Lamp Shade"/>
    <x v="3"/>
  </r>
  <r>
    <s v="PROD30"/>
    <s v="STORE9"/>
    <n v="1"/>
    <n v="998.19"/>
    <n v="0.2"/>
    <s v="Credit Card"/>
    <n v="798.55200000000013"/>
    <n v="1993254.4966000009"/>
    <n v="1088.021013427948"/>
    <n v="636"/>
    <s v="Low Value"/>
    <s v="Jun-2024"/>
    <s v="Stainless Steel Cutlery Set"/>
    <x v="3"/>
  </r>
  <r>
    <s v="PROD72"/>
    <s v="STORE7"/>
    <n v="2"/>
    <n v="343.42"/>
    <n v="0.12"/>
    <s v="COD"/>
    <n v="604.41920000000005"/>
    <n v="1992455.944600001"/>
    <n v="1088.179106826871"/>
    <n v="636"/>
    <s v="Low Value"/>
    <s v="Jan-2024"/>
    <s v="Professional Jump Rope"/>
    <x v="0"/>
  </r>
  <r>
    <s v="PROD34"/>
    <s v="STORE6"/>
    <n v="1"/>
    <n v="152.16999999999999"/>
    <n v="0.28000000000000003"/>
    <s v="COD"/>
    <n v="109.5624"/>
    <n v="1991851.5254000009"/>
    <n v="1088.4434565027327"/>
    <n v="636"/>
    <s v="Low Value"/>
    <s v="Apr-2024"/>
    <s v="Gaming Mechanical Keyboard"/>
    <x v="1"/>
  </r>
  <r>
    <s v="PROD49"/>
    <s v="STORE11"/>
    <n v="1"/>
    <n v="325.08"/>
    <n v="0.26"/>
    <s v="PayPal"/>
    <n v="240.5592"/>
    <n v="1991741.9630000009"/>
    <n v="1088.9786566429748"/>
    <n v="636"/>
    <s v="Low Value"/>
    <s v="May-2025"/>
    <s v="Men's Roll-On Perfume"/>
    <x v="2"/>
  </r>
  <r>
    <s v="PROD89"/>
    <s v="STORE10"/>
    <n v="2"/>
    <n v="827.92"/>
    <n v="0.25"/>
    <s v="COD"/>
    <n v="1241.8800000000001"/>
    <n v="1991501.4038000009"/>
    <n v="1089.4427810722107"/>
    <n v="635"/>
    <s v="High Value"/>
    <s v="Dec-2023"/>
    <s v="Face Foundation Kit"/>
    <x v="2"/>
  </r>
  <r>
    <s v="PROD26"/>
    <s v="STORE2"/>
    <n v="2"/>
    <n v="593.47"/>
    <n v="0.1"/>
    <s v="COD"/>
    <n v="1068.2460000000001"/>
    <n v="1990259.5238000008"/>
    <n v="1089.3593452654629"/>
    <n v="635"/>
    <s v="High Value"/>
    <s v="Jan-2024"/>
    <s v="Wireless Bluetooth Speaker"/>
    <x v="1"/>
  </r>
  <r>
    <s v="PROD20"/>
    <s v="STORE7"/>
    <n v="4"/>
    <n v="756.28"/>
    <n v="0.05"/>
    <s v="COD"/>
    <n v="2873.864"/>
    <n v="1989191.277800001"/>
    <n v="1089.3709078860904"/>
    <n v="635"/>
    <s v="High Value"/>
    <s v="Dec-2023"/>
    <s v="Outdoor Sports Water Bottle"/>
    <x v="0"/>
  </r>
  <r>
    <s v="PROD92"/>
    <s v="STORE1"/>
    <n v="2"/>
    <n v="707.65"/>
    <n v="0.14000000000000001"/>
    <s v="Credit Card"/>
    <n v="1217.1579999999999"/>
    <n v="1986317.4138000007"/>
    <n v="1088.3931034520551"/>
    <n v="635"/>
    <s v="High Value"/>
    <s v="Dec-2024"/>
    <s v="Microwave Oven"/>
    <x v="3"/>
  </r>
  <r>
    <s v="PROD25"/>
    <s v="STORE15"/>
    <n v="1"/>
    <n v="857.35"/>
    <n v="0.28000000000000003"/>
    <s v="PayPal"/>
    <n v="617.29200000000003"/>
    <n v="1985100.2558000009"/>
    <n v="1088.3225086622813"/>
    <n v="635"/>
    <s v="Low Value"/>
    <s v="Mar-2024"/>
    <s v="Women's Scarf Set"/>
    <x v="4"/>
  </r>
  <r>
    <s v="PROD55"/>
    <s v="STORE8"/>
    <n v="1"/>
    <n v="79"/>
    <n v="0.04"/>
    <s v="PayPal"/>
    <n v="75.84"/>
    <n v="1984482.963800001"/>
    <n v="1088.5808907295673"/>
    <n v="634"/>
    <s v="Low Value"/>
    <s v="Jan-2025"/>
    <s v="Ceramic Plant Pot"/>
    <x v="3"/>
  </r>
  <r>
    <s v="PROD94"/>
    <s v="STORE5"/>
    <n v="4"/>
    <n v="638.91"/>
    <n v="0"/>
    <s v="COD"/>
    <n v="2555.64"/>
    <n v="1984407.1238000009"/>
    <n v="1089.1367309549951"/>
    <n v="633"/>
    <s v="High Value"/>
    <s v="Aug-2025"/>
    <s v="Vitamin E Body Lotion"/>
    <x v="2"/>
  </r>
  <r>
    <s v="PROD45"/>
    <s v="STORE0"/>
    <n v="2"/>
    <n v="522.16999999999996"/>
    <n v="0.27"/>
    <s v="Credit Card"/>
    <n v="762.36819999999989"/>
    <n v="1981851.4838000012"/>
    <n v="1088.3314024162555"/>
    <n v="633"/>
    <s v="Low Value"/>
    <s v="Jun-2025"/>
    <s v="High-Grip Football"/>
    <x v="0"/>
  </r>
  <r>
    <s v="PROD39"/>
    <s v="STORE12"/>
    <n v="3"/>
    <n v="954.29"/>
    <n v="0.27"/>
    <s v="Credit Card"/>
    <n v="2089.8951000000002"/>
    <n v="1981089.1156000011"/>
    <n v="1088.5105030769237"/>
    <n v="633"/>
    <s v="High Value"/>
    <s v="Nov-2023"/>
    <s v="Portable Power Bank"/>
    <x v="1"/>
  </r>
  <r>
    <s v="PROD33"/>
    <s v="STORE13"/>
    <n v="3"/>
    <n v="53.92"/>
    <n v="0.15"/>
    <s v="PayPal"/>
    <n v="137.49600000000001"/>
    <n v="1978999.220500001"/>
    <n v="1087.9599892798246"/>
    <n v="633"/>
    <s v="Low Value"/>
    <s v="Feb-2025"/>
    <s v="Modern Wall Clock"/>
    <x v="3"/>
  </r>
  <r>
    <s v="PROD34"/>
    <s v="STORE0"/>
    <n v="4"/>
    <n v="741.88"/>
    <n v="0.02"/>
    <s v="COD"/>
    <n v="2908.1696000000002"/>
    <n v="1978861.7245000009"/>
    <n v="1088.482796754676"/>
    <n v="632"/>
    <s v="High Value"/>
    <s v="Apr-2025"/>
    <s v="Gaming Mechanical Keyboard"/>
    <x v="1"/>
  </r>
  <r>
    <s v="PROD46"/>
    <s v="STORE3"/>
    <n v="1"/>
    <n v="547.09"/>
    <n v="0.01"/>
    <s v="PayPal"/>
    <n v="541.6191"/>
    <n v="1975953.5549000013"/>
    <n v="1087.4813180517344"/>
    <n v="632"/>
    <s v="Low Value"/>
    <s v="Oct-2024"/>
    <s v="Men's Winter Jacket"/>
    <x v="4"/>
  </r>
  <r>
    <s v="PROD89"/>
    <s v="STORE3"/>
    <n v="1"/>
    <n v="789.35"/>
    <n v="0.14000000000000001"/>
    <s v="PayPal"/>
    <n v="678.84100000000001"/>
    <n v="1975411.9358000013"/>
    <n v="1087.781902973569"/>
    <n v="631"/>
    <s v="Low Value"/>
    <s v="Jan-2025"/>
    <s v="Face Foundation Kit"/>
    <x v="2"/>
  </r>
  <r>
    <s v="PROD63"/>
    <s v="STORE3"/>
    <n v="3"/>
    <n v="476.78"/>
    <n v="0.09"/>
    <s v="COD"/>
    <n v="1301.6094000000001"/>
    <n v="1974733.0948000015"/>
    <n v="1088.0072147658411"/>
    <n v="630"/>
    <s v="High Value"/>
    <s v="Mar-2024"/>
    <s v="Organic Sunscreen Lotion"/>
    <x v="2"/>
  </r>
  <r>
    <s v="PROD79"/>
    <s v="STORE18"/>
    <n v="2"/>
    <n v="504.26"/>
    <n v="0.04"/>
    <s v="PayPal"/>
    <n v="968.17919999999992"/>
    <n v="1973431.4854000015"/>
    <n v="1087.8894627342897"/>
    <n v="630"/>
    <s v="Low Value"/>
    <s v="Nov-2024"/>
    <s v="Decorative Lamp Shade"/>
    <x v="3"/>
  </r>
  <r>
    <s v="PROD81"/>
    <s v="STORE6"/>
    <n v="2"/>
    <n v="549.33000000000004"/>
    <n v="0.01"/>
    <s v="COD"/>
    <n v="1087.6733999999999"/>
    <n v="1972463.3062000016"/>
    <n v="1087.9554915609497"/>
    <n v="629"/>
    <s v="High Value"/>
    <s v="Sep-2024"/>
    <s v="Badminton Racket Set"/>
    <x v="0"/>
  </r>
  <r>
    <s v="PROD4"/>
    <s v="STORE3"/>
    <n v="3"/>
    <n v="620.22"/>
    <n v="0.04"/>
    <s v="Credit Card"/>
    <n v="1786.2336"/>
    <n v="1971375.6328000017"/>
    <n v="1087.9556472406191"/>
    <n v="629"/>
    <s v="High Value"/>
    <s v="Apr-2024"/>
    <s v="Women's Yoga Pants"/>
    <x v="4"/>
  </r>
  <r>
    <s v="PROD46"/>
    <s v="STORE3"/>
    <n v="1"/>
    <n v="580.76"/>
    <n v="0.1"/>
    <s v="COD"/>
    <n v="522.68399999999997"/>
    <n v="1969589.3992000017"/>
    <n v="1087.5700713418012"/>
    <n v="629"/>
    <s v="Low Value"/>
    <s v="Apr-2024"/>
    <s v="Men's Winter Jacket"/>
    <x v="4"/>
  </r>
  <r>
    <s v="PROD71"/>
    <s v="STORE9"/>
    <n v="3"/>
    <n v="444.55"/>
    <n v="0.14000000000000001"/>
    <s v="PayPal"/>
    <n v="1146.9390000000001"/>
    <n v="1969066.7152000018"/>
    <n v="1087.8821630939237"/>
    <n v="629"/>
    <s v="High Value"/>
    <s v="Apr-2025"/>
    <s v="Hair Repair Oil Treatment"/>
    <x v="2"/>
  </r>
  <r>
    <s v="PROD46"/>
    <s v="STORE18"/>
    <n v="1"/>
    <n v="804.9"/>
    <n v="0.03"/>
    <s v="PayPal"/>
    <n v="780.75299999999993"/>
    <n v="1967919.7762000018"/>
    <n v="1087.849516970703"/>
    <n v="628"/>
    <s v="Low Value"/>
    <s v="Jun-2024"/>
    <s v="Men's Winter Jacket"/>
    <x v="4"/>
  </r>
  <r>
    <s v="PROD92"/>
    <s v="STORE14"/>
    <n v="3"/>
    <n v="361.65"/>
    <n v="0.15"/>
    <s v="COD"/>
    <n v="922.20749999999987"/>
    <n v="1967139.0232000018"/>
    <n v="1088.0193712389391"/>
    <n v="627"/>
    <s v="Low Value"/>
    <s v="Nov-2024"/>
    <s v="Microwave Oven"/>
    <x v="3"/>
  </r>
  <r>
    <s v="PROD7"/>
    <s v="STORE4"/>
    <n v="1"/>
    <n v="271.76"/>
    <n v="0.03"/>
    <s v="Credit Card"/>
    <n v="263.60719999999998"/>
    <n v="1966216.8157000018"/>
    <n v="1088.1111320974001"/>
    <n v="627"/>
    <s v="Low Value"/>
    <s v="Apr-2025"/>
    <s v="LED Table Lamp"/>
    <x v="3"/>
  </r>
  <r>
    <s v="PROD49"/>
    <s v="STORE10"/>
    <n v="3"/>
    <n v="958.15"/>
    <n v="0.24"/>
    <s v="COD"/>
    <n v="2184.5819999999999"/>
    <n v="1965953.2085000018"/>
    <n v="1088.5676680509423"/>
    <n v="627"/>
    <s v="High Value"/>
    <s v="Nov-2024"/>
    <s v="Men's Roll-On Perfume"/>
    <x v="2"/>
  </r>
  <r>
    <s v="PROD60"/>
    <s v="STORE17"/>
    <n v="1"/>
    <n v="889.19"/>
    <n v="0.03"/>
    <s v="Credit Card"/>
    <n v="862.51430000000005"/>
    <n v="1963768.6265000019"/>
    <n v="1087.9604578947378"/>
    <n v="627"/>
    <s v="Low Value"/>
    <s v="Dec-2023"/>
    <s v="Luxury Perfume Spray"/>
    <x v="2"/>
  </r>
  <r>
    <s v="PROD57"/>
    <s v="STORE16"/>
    <n v="4"/>
    <n v="689.67"/>
    <n v="0.05"/>
    <s v="COD"/>
    <n v="2620.7460000000001"/>
    <n v="1962906.112200002"/>
    <n v="1088.0854280487815"/>
    <n v="627"/>
    <s v="High Value"/>
    <s v="Sep-2025"/>
    <s v="Foam Roller"/>
    <x v="0"/>
  </r>
  <r>
    <s v="PROD44"/>
    <s v="STORE11"/>
    <n v="1"/>
    <n v="541.24"/>
    <n v="0.03"/>
    <s v="PayPal"/>
    <n v="525.00279999999998"/>
    <n v="1960285.3662000021"/>
    <n v="1087.2353667221309"/>
    <n v="627"/>
    <s v="Low Value"/>
    <s v="Oct-2023"/>
    <s v="Adjustable Jump Rope"/>
    <x v="0"/>
  </r>
  <r>
    <s v="PROD81"/>
    <s v="STORE6"/>
    <n v="1"/>
    <n v="454.71"/>
    <n v="0.16"/>
    <s v="PayPal"/>
    <n v="381.95639999999997"/>
    <n v="1959760.363400002"/>
    <n v="1087.5473714761388"/>
    <n v="626"/>
    <s v="Low Value"/>
    <s v="Nov-2024"/>
    <s v="Badminton Racket Set"/>
    <x v="0"/>
  </r>
  <r>
    <s v="PROD66"/>
    <s v="STORE5"/>
    <n v="2"/>
    <n v="397.63"/>
    <n v="0.26"/>
    <s v="Credit Card"/>
    <n v="588.49239999999998"/>
    <n v="1959378.407000002"/>
    <n v="1087.9391488062199"/>
    <n v="625"/>
    <s v="Low Value"/>
    <s v="Dec-2024"/>
    <s v="Women's Hair Dryer Brush"/>
    <x v="2"/>
  </r>
  <r>
    <s v="PROD83"/>
    <s v="STORE6"/>
    <n v="3"/>
    <n v="748.56"/>
    <n v="0.26"/>
    <s v="PayPal"/>
    <n v="1661.8032000000001"/>
    <n v="1958789.9146000021"/>
    <n v="1088.2166192222235"/>
    <n v="625"/>
    <s v="High Value"/>
    <s v="Mar-2025"/>
    <s v="Hydrating Face Cleanser"/>
    <x v="2"/>
  </r>
  <r>
    <s v="PROD33"/>
    <s v="STORE4"/>
    <n v="1"/>
    <n v="885.72"/>
    <n v="0.15"/>
    <s v="Credit Card"/>
    <n v="752.86199999999997"/>
    <n v="1957128.1114000021"/>
    <n v="1087.8977828793786"/>
    <n v="624"/>
    <s v="Low Value"/>
    <s v="Mar-2025"/>
    <s v="Modern Wall Clock"/>
    <x v="3"/>
  </r>
  <r>
    <s v="PROD62"/>
    <s v="STORE1"/>
    <n v="4"/>
    <n v="408.07"/>
    <n v="0.28000000000000003"/>
    <s v="COD"/>
    <n v="1175.2416000000001"/>
    <n v="1956375.2494000024"/>
    <n v="1088.0841209121259"/>
    <n v="624"/>
    <s v="High Value"/>
    <s v="Apr-2025"/>
    <s v="Laptop Cooling Pad"/>
    <x v="1"/>
  </r>
  <r>
    <s v="PROD34"/>
    <s v="STORE9"/>
    <n v="2"/>
    <n v="597.07000000000005"/>
    <n v="0.28000000000000003"/>
    <s v="PayPal"/>
    <n v="859.7808"/>
    <n v="1955200.0078000023"/>
    <n v="1088.035619254314"/>
    <n v="624"/>
    <s v="Low Value"/>
    <s v="Feb-2024"/>
    <s v="Gaming Mechanical Keyboard"/>
    <x v="1"/>
  </r>
  <r>
    <s v="PROD67"/>
    <s v="STORE9"/>
    <n v="3"/>
    <n v="723.47"/>
    <n v="0.12"/>
    <s v="COD"/>
    <n v="1909.9608000000001"/>
    <n v="1954340.2270000023"/>
    <n v="1088.1627099109144"/>
    <n v="623"/>
    <s v="High Value"/>
    <s v="Jun-2024"/>
    <s v="Smart LED Light Strip"/>
    <x v="1"/>
  </r>
  <r>
    <s v="PROD88"/>
    <s v="STORE5"/>
    <n v="1"/>
    <n v="479.93"/>
    <n v="0.22"/>
    <s v="Credit Card"/>
    <n v="374.34539999999998"/>
    <n v="1952430.2662000025"/>
    <n v="1087.7048836768815"/>
    <n v="623"/>
    <s v="Low Value"/>
    <s v="Aug-2025"/>
    <s v="Sports Wrist Sweatbands"/>
    <x v="0"/>
  </r>
  <r>
    <s v="PROD34"/>
    <s v="STORE16"/>
    <n v="4"/>
    <n v="362.81"/>
    <n v="0.21"/>
    <s v="COD"/>
    <n v="1146.4795999999999"/>
    <n v="1952055.9208000025"/>
    <n v="1088.1025199554083"/>
    <n v="623"/>
    <s v="High Value"/>
    <s v="Jun-2024"/>
    <s v="Gaming Mechanical Keyboard"/>
    <x v="1"/>
  </r>
  <r>
    <s v="PROD79"/>
    <s v="STORE3"/>
    <n v="1"/>
    <n v="127.11"/>
    <n v="0.01"/>
    <s v="PayPal"/>
    <n v="125.8389"/>
    <n v="1950909.4412000026"/>
    <n v="1088.0699616285569"/>
    <n v="623"/>
    <s v="Low Value"/>
    <s v="Dec-2024"/>
    <s v="Decorative Lamp Shade"/>
    <x v="3"/>
  </r>
  <r>
    <s v="PROD34"/>
    <s v="STORE17"/>
    <n v="4"/>
    <n v="931.26"/>
    <n v="0.04"/>
    <s v="Credit Card"/>
    <n v="3576.0383999999999"/>
    <n v="1950783.6023000027"/>
    <n v="1088.6069209263408"/>
    <n v="622"/>
    <s v="High Value"/>
    <s v="Apr-2024"/>
    <s v="Gaming Mechanical Keyboard"/>
    <x v="1"/>
  </r>
  <r>
    <s v="PROD67"/>
    <s v="STORE8"/>
    <n v="1"/>
    <n v="620.80999999999995"/>
    <n v="0.04"/>
    <s v="PayPal"/>
    <n v="595.97759999999994"/>
    <n v="1947207.5639000025"/>
    <n v="1087.2180702959254"/>
    <n v="622"/>
    <s v="Low Value"/>
    <s v="Oct-2023"/>
    <s v="Smart LED Light Strip"/>
    <x v="1"/>
  </r>
  <r>
    <s v="PROD50"/>
    <s v="STORE2"/>
    <n v="1"/>
    <n v="823.26"/>
    <n v="0.27"/>
    <s v="COD"/>
    <n v="600.97979999999995"/>
    <n v="1946611.5863000024"/>
    <n v="1087.4925063128505"/>
    <n v="621"/>
    <s v="Low Value"/>
    <s v="Jul-2024"/>
    <s v="Boxing Hand Wraps"/>
    <x v="0"/>
  </r>
  <r>
    <s v="PROD27"/>
    <s v="STORE8"/>
    <n v="3"/>
    <n v="681.01"/>
    <n v="0.27"/>
    <s v="COD"/>
    <n v="1491.4119000000001"/>
    <n v="1946010.6065000023"/>
    <n v="1087.7644530463958"/>
    <n v="621"/>
    <s v="High Value"/>
    <s v="May-2025"/>
    <s v="Decorative Floor Vase"/>
    <x v="3"/>
  </r>
  <r>
    <s v="PROD56"/>
    <s v="STORE19"/>
    <n v="4"/>
    <n v="119.83"/>
    <n v="0.13"/>
    <s v="Credit Card"/>
    <n v="417.00839999999999"/>
    <n v="1944519.1946000021"/>
    <n v="1087.538699440717"/>
    <n v="621"/>
    <s v="Low Value"/>
    <s v="Oct-2025"/>
    <s v="Premium Blanket Throw"/>
    <x v="3"/>
  </r>
  <r>
    <s v="PROD78"/>
    <s v="STORE2"/>
    <n v="1"/>
    <n v="575.66"/>
    <n v="0.03"/>
    <s v="PayPal"/>
    <n v="558.39019999999994"/>
    <n v="1944102.1862000022"/>
    <n v="1087.9139262451047"/>
    <n v="621"/>
    <s v="Low Value"/>
    <s v="Jan-2024"/>
    <s v="Essential Oil Diffuser"/>
    <x v="3"/>
  </r>
  <r>
    <s v="PROD48"/>
    <s v="STORE16"/>
    <n v="1"/>
    <n v="775.84"/>
    <n v="0.26"/>
    <s v="Credit Card"/>
    <n v="574.12160000000006"/>
    <n v="1943543.7960000022"/>
    <n v="1088.2104120940662"/>
    <n v="620"/>
    <s v="Low Value"/>
    <s v="Oct-2025"/>
    <s v="Car Dashboard Phone Holder"/>
    <x v="1"/>
  </r>
  <r>
    <s v="PROD14"/>
    <s v="STORE9"/>
    <n v="3"/>
    <n v="318.43"/>
    <n v="0.05"/>
    <s v="Credit Card"/>
    <n v="907.52549999999997"/>
    <n v="1942969.6744000022"/>
    <n v="1088.4984170308135"/>
    <n v="620"/>
    <s v="Low Value"/>
    <s v="Mar-2024"/>
    <s v="Decorative Wall Mirror"/>
    <x v="3"/>
  </r>
  <r>
    <s v="PROD72"/>
    <s v="STORE8"/>
    <n v="3"/>
    <n v="141.6"/>
    <n v="0.08"/>
    <s v="COD"/>
    <n v="390.81599999999997"/>
    <n v="1942062.148900002"/>
    <n v="1088.59985924888"/>
    <n v="620"/>
    <s v="Low Value"/>
    <s v="Jul-2025"/>
    <s v="Professional Jump Rope"/>
    <x v="0"/>
  </r>
  <r>
    <s v="PROD15"/>
    <s v="STORE19"/>
    <n v="1"/>
    <n v="332.82"/>
    <n v="0.14000000000000001"/>
    <s v="PayPal"/>
    <n v="286.22519999999997"/>
    <n v="1941671.3329000021"/>
    <n v="1088.9912130678642"/>
    <n v="620"/>
    <s v="Low Value"/>
    <s v="Oct-2023"/>
    <s v="4K Home Projector"/>
    <x v="1"/>
  </r>
  <r>
    <s v="PROD72"/>
    <s v="STORE1"/>
    <n v="4"/>
    <n v="640.97"/>
    <n v="0.11"/>
    <s v="COD"/>
    <n v="2281.8532"/>
    <n v="1941385.1077000021"/>
    <n v="1089.441699046017"/>
    <n v="619"/>
    <s v="High Value"/>
    <s v="Jun-2024"/>
    <s v="Professional Jump Rope"/>
    <x v="0"/>
  </r>
  <r>
    <s v="PROD90"/>
    <s v="STORE15"/>
    <n v="4"/>
    <n v="75.37"/>
    <n v="0.02"/>
    <s v="COD"/>
    <n v="295.4504"/>
    <n v="1939103.2545000021"/>
    <n v="1088.7721810780472"/>
    <n v="619"/>
    <s v="Low Value"/>
    <s v="Oct-2023"/>
    <s v="Gaming Mouse Pad XL"/>
    <x v="1"/>
  </r>
  <r>
    <s v="PROD16"/>
    <s v="STORE18"/>
    <n v="3"/>
    <n v="434.55"/>
    <n v="0.08"/>
    <s v="COD"/>
    <n v="1199.3579999999999"/>
    <n v="1938807.8041000022"/>
    <n v="1089.2178674719114"/>
    <n v="619"/>
    <s v="High Value"/>
    <s v="Apr-2025"/>
    <s v="Beard Grooming Kit"/>
    <x v="2"/>
  </r>
  <r>
    <s v="PROD26"/>
    <s v="STORE14"/>
    <n v="4"/>
    <n v="652.28"/>
    <n v="0.15"/>
    <s v="Credit Card"/>
    <n v="2217.752"/>
    <n v="1937608.4461000019"/>
    <n v="1089.1559562113557"/>
    <n v="619"/>
    <s v="High Value"/>
    <s v="Mar-2025"/>
    <s v="Wireless Bluetooth Speaker"/>
    <x v="1"/>
  </r>
  <r>
    <s v="PROD76"/>
    <s v="STORE17"/>
    <n v="3"/>
    <n v="207.8"/>
    <n v="0.15"/>
    <s v="Credit Card"/>
    <n v="529.8900000000001"/>
    <n v="1935390.6941000018"/>
    <n v="1088.5212002812159"/>
    <n v="619"/>
    <s v="Low Value"/>
    <s v="Jul-2024"/>
    <s v="Wireless Mouse"/>
    <x v="1"/>
  </r>
  <r>
    <s v="PROD61"/>
    <s v="STORE15"/>
    <n v="4"/>
    <n v="385.5"/>
    <n v="0.03"/>
    <s v="PayPal"/>
    <n v="1495.74"/>
    <n v="1934860.8041000019"/>
    <n v="1088.835567867193"/>
    <n v="619"/>
    <s v="High Value"/>
    <s v="Mar-2024"/>
    <s v="Tennis Ball 3-Pack"/>
    <x v="0"/>
  </r>
  <r>
    <s v="PROD65"/>
    <s v="STORE6"/>
    <n v="3"/>
    <n v="548.19000000000005"/>
    <n v="0.12"/>
    <s v="Credit Card"/>
    <n v="1447.2216000000001"/>
    <n v="1933365.0641000019"/>
    <n v="1088.6064550112624"/>
    <n v="618"/>
    <s v="High Value"/>
    <s v="Sep-2025"/>
    <s v="Adjustable Dumbbells 20kg"/>
    <x v="0"/>
  </r>
  <r>
    <s v="PROD73"/>
    <s v="STORE9"/>
    <n v="3"/>
    <n v="927.6"/>
    <n v="0.09"/>
    <s v="Credit Card"/>
    <n v="2532.348"/>
    <n v="1931917.8425000019"/>
    <n v="1088.4044183098601"/>
    <n v="618"/>
    <s v="High Value"/>
    <s v="Nov-2024"/>
    <s v="Shin Guards – Adult"/>
    <x v="0"/>
  </r>
  <r>
    <s v="PROD61"/>
    <s v="STORE3"/>
    <n v="4"/>
    <n v="585.04"/>
    <n v="0.22"/>
    <s v="PayPal"/>
    <n v="1825.3248000000001"/>
    <n v="1929385.4945000019"/>
    <n v="1087.5904704058635"/>
    <n v="618"/>
    <s v="High Value"/>
    <s v="Jan-2025"/>
    <s v="Tennis Ball 3-Pack"/>
    <x v="0"/>
  </r>
  <r>
    <s v="PROD39"/>
    <s v="STORE2"/>
    <n v="2"/>
    <n v="999.89"/>
    <n v="0.09"/>
    <s v="Credit Card"/>
    <n v="1819.7998"/>
    <n v="1927560.1697000018"/>
    <n v="1087.1743765933456"/>
    <n v="617"/>
    <s v="High Value"/>
    <s v="Apr-2024"/>
    <s v="Portable Power Bank"/>
    <x v="1"/>
  </r>
  <r>
    <s v="PROD75"/>
    <s v="STORE3"/>
    <n v="2"/>
    <n v="848.98"/>
    <n v="0.04"/>
    <s v="PayPal"/>
    <n v="1630.0416"/>
    <n v="1925740.3699000017"/>
    <n v="1086.7609310948092"/>
    <n v="617"/>
    <s v="High Value"/>
    <s v="Dec-2023"/>
    <s v="Women's Ankle Boots"/>
    <x v="4"/>
  </r>
  <r>
    <s v="PROD60"/>
    <s v="STORE14"/>
    <n v="3"/>
    <n v="769.56"/>
    <n v="0.08"/>
    <s v="Credit Card"/>
    <n v="2123.9856"/>
    <n v="1924110.3283000018"/>
    <n v="1086.4541661773019"/>
    <n v="616"/>
    <s v="High Value"/>
    <s v="Feb-2024"/>
    <s v="Luxury Perfume Spray"/>
    <x v="2"/>
  </r>
  <r>
    <s v="PROD48"/>
    <s v="STORE13"/>
    <n v="3"/>
    <n v="449.88"/>
    <n v="0.1"/>
    <s v="PayPal"/>
    <n v="1214.6759999999999"/>
    <n v="1921986.342700002"/>
    <n v="1085.8679902259898"/>
    <n v="616"/>
    <s v="High Value"/>
    <s v="Jan-2025"/>
    <s v="Car Dashboard Phone Holder"/>
    <x v="1"/>
  </r>
  <r>
    <s v="PROD69"/>
    <s v="STORE12"/>
    <n v="4"/>
    <n v="383.74"/>
    <n v="0.01"/>
    <s v="Credit Card"/>
    <n v="1519.6104"/>
    <n v="1920771.666700002"/>
    <n v="1085.7951762012449"/>
    <n v="615"/>
    <s v="High Value"/>
    <s v="Jul-2025"/>
    <s v="Men's Sports Shorts"/>
    <x v="4"/>
  </r>
  <r>
    <s v="PROD58"/>
    <s v="STORE10"/>
    <n v="4"/>
    <n v="794.97"/>
    <n v="0.24"/>
    <s v="PayPal"/>
    <n v="2416.7087999999999"/>
    <n v="1919252.0563000019"/>
    <n v="1085.5498055995486"/>
    <n v="615"/>
    <s v="High Value"/>
    <s v="Apr-2024"/>
    <s v="Womens Cotton Scarf"/>
    <x v="4"/>
  </r>
  <r>
    <s v="PROD79"/>
    <s v="STORE5"/>
    <n v="1"/>
    <n v="989.63"/>
    <n v="0.05"/>
    <s v="PayPal"/>
    <n v="940.1484999999999"/>
    <n v="1916835.3475000018"/>
    <n v="1084.7964615166959"/>
    <n v="614"/>
    <s v="Low Value"/>
    <s v="Aug-2025"/>
    <s v="Decorative Lamp Shade"/>
    <x v="3"/>
  </r>
  <r>
    <s v="PROD54"/>
    <s v="STORE0"/>
    <n v="1"/>
    <n v="447.16"/>
    <n v="0.22"/>
    <s v="COD"/>
    <n v="348.78480000000002"/>
    <n v="1915895.1990000019"/>
    <n v="1084.8783686296727"/>
    <n v="613"/>
    <s v="Low Value"/>
    <s v="Mar-2025"/>
    <s v="Sports Stopwatch Pro"/>
    <x v="0"/>
  </r>
  <r>
    <s v="PROD94"/>
    <s v="STORE6"/>
    <n v="1"/>
    <n v="946.9"/>
    <n v="0.28999999999999998"/>
    <s v="COD"/>
    <n v="672.29899999999998"/>
    <n v="1915546.4142000019"/>
    <n v="1085.2954188101994"/>
    <n v="613"/>
    <s v="Low Value"/>
    <s v="Jan-2025"/>
    <s v="Vitamin E Body Lotion"/>
    <x v="2"/>
  </r>
  <r>
    <s v="PROD17"/>
    <s v="STORE0"/>
    <n v="4"/>
    <n v="469.68"/>
    <n v="0.19"/>
    <s v="Credit Card"/>
    <n v="1521.7632000000001"/>
    <n v="1914874.1152000017"/>
    <n v="1085.5295437641732"/>
    <n v="613"/>
    <s v="High Value"/>
    <s v="Jun-2025"/>
    <s v="Soccer Training Cone Set"/>
    <x v="0"/>
  </r>
  <r>
    <s v="PROD28"/>
    <s v="STORE17"/>
    <n v="4"/>
    <n v="320.64"/>
    <n v="0.2"/>
    <s v="COD"/>
    <n v="1026.048"/>
    <n v="1913352.3520000016"/>
    <n v="1085.2821055019861"/>
    <n v="613"/>
    <s v="High Value"/>
    <s v="Sep-2024"/>
    <s v="Sports Stopwatch Timer"/>
    <x v="0"/>
  </r>
  <r>
    <s v="PROD15"/>
    <s v="STORE5"/>
    <n v="1"/>
    <n v="594.44000000000005"/>
    <n v="0.21"/>
    <s v="Credit Card"/>
    <n v="469.60759999999999"/>
    <n v="1912326.3040000016"/>
    <n v="1085.3157230419986"/>
    <n v="613"/>
    <s v="Low Value"/>
    <s v="Nov-2023"/>
    <s v="4K Home Projector"/>
    <x v="1"/>
  </r>
  <r>
    <s v="PROD86"/>
    <s v="STORE8"/>
    <n v="3"/>
    <n v="91.7"/>
    <n v="0.08"/>
    <s v="COD"/>
    <n v="253.09200000000001"/>
    <n v="1911856.6964000016"/>
    <n v="1085.6653585462814"/>
    <n v="613"/>
    <s v="Low Value"/>
    <s v="Jul-2025"/>
    <s v="Kitchen Cutting Board"/>
    <x v="3"/>
  </r>
  <r>
    <s v="PROD62"/>
    <s v="STORE12"/>
    <n v="3"/>
    <n v="741.33"/>
    <n v="0.03"/>
    <s v="Credit Card"/>
    <n v="2157.2703000000001"/>
    <n v="1911603.6044000017"/>
    <n v="1086.13841159091"/>
    <n v="613"/>
    <s v="High Value"/>
    <s v="Sep-2025"/>
    <s v="Laptop Cooling Pad"/>
    <x v="1"/>
  </r>
  <r>
    <s v="PROD16"/>
    <s v="STORE19"/>
    <n v="1"/>
    <n v="922.78"/>
    <n v="0.28999999999999998"/>
    <s v="COD"/>
    <n v="655.17379999999991"/>
    <n v="1909446.3341000017"/>
    <n v="1085.5294679363285"/>
    <n v="613"/>
    <s v="Low Value"/>
    <s v="Apr-2025"/>
    <s v="Beard Grooming Kit"/>
    <x v="2"/>
  </r>
  <r>
    <s v="PROD8"/>
    <s v="STORE16"/>
    <n v="1"/>
    <n v="394.35"/>
    <n v="0.09"/>
    <s v="PayPal"/>
    <n v="358.85849999999999"/>
    <n v="1908791.1603000017"/>
    <n v="1085.7742663822535"/>
    <n v="613"/>
    <s v="Low Value"/>
    <s v="Jan-2024"/>
    <s v="Wireless Bluetooth Earbuds"/>
    <x v="1"/>
  </r>
  <r>
    <s v="PROD65"/>
    <s v="STORE11"/>
    <n v="2"/>
    <n v="703.95"/>
    <n v="0.03"/>
    <s v="Credit Card"/>
    <n v="1365.663"/>
    <n v="1908432.3018000016"/>
    <n v="1086.1879919180431"/>
    <n v="612"/>
    <s v="High Value"/>
    <s v="Jul-2024"/>
    <s v="Adjustable Dumbbells 20kg"/>
    <x v="0"/>
  </r>
  <r>
    <s v="PROD14"/>
    <s v="STORE0"/>
    <n v="4"/>
    <n v="452.67"/>
    <n v="0.28000000000000003"/>
    <s v="PayPal"/>
    <n v="1303.6895999999999"/>
    <n v="1907066.6388000015"/>
    <n v="1086.0288375854223"/>
    <n v="612"/>
    <s v="High Value"/>
    <s v="May-2025"/>
    <s v="Decorative Wall Mirror"/>
    <x v="3"/>
  </r>
  <r>
    <s v="PROD8"/>
    <s v="STORE7"/>
    <n v="2"/>
    <n v="377.3"/>
    <n v="0.15"/>
    <s v="PayPal"/>
    <n v="641.41"/>
    <n v="1905762.9492000018"/>
    <n v="1085.9048143589753"/>
    <n v="611"/>
    <s v="Low Value"/>
    <s v="Feb-2024"/>
    <s v="Wireless Bluetooth Earbuds"/>
    <x v="1"/>
  </r>
  <r>
    <s v="PROD74"/>
    <s v="STORE7"/>
    <n v="2"/>
    <n v="130.47999999999999"/>
    <n v="0.23"/>
    <s v="PayPal"/>
    <n v="200.9392"/>
    <n v="1905121.5392000016"/>
    <n v="1086.158232155075"/>
    <n v="610"/>
    <s v="Low Value"/>
    <s v="Jul-2025"/>
    <s v="Bluetooth Car Audio System"/>
    <x v="1"/>
  </r>
  <r>
    <s v="PROD94"/>
    <s v="STORE12"/>
    <n v="1"/>
    <n v="809.45"/>
    <n v="0.09"/>
    <s v="COD"/>
    <n v="736.59950000000003"/>
    <n v="1904920.6000000017"/>
    <n v="1086.6632059326878"/>
    <n v="609"/>
    <s v="Low Value"/>
    <s v="Mar-2025"/>
    <s v="Vitamin E Body Lotion"/>
    <x v="2"/>
  </r>
  <r>
    <s v="PROD45"/>
    <s v="STORE9"/>
    <n v="3"/>
    <n v="499.12"/>
    <n v="0.05"/>
    <s v="PayPal"/>
    <n v="1422.492"/>
    <n v="1904184.0005000017"/>
    <n v="1086.8630139840193"/>
    <n v="609"/>
    <s v="High Value"/>
    <s v="Apr-2025"/>
    <s v="High-Grip Football"/>
    <x v="0"/>
  </r>
  <r>
    <s v="PROD68"/>
    <s v="STORE3"/>
    <n v="2"/>
    <n v="894.58"/>
    <n v="0.25"/>
    <s v="Credit Card"/>
    <n v="1341.87"/>
    <n v="1902761.5085000019"/>
    <n v="1086.6713355225595"/>
    <n v="608"/>
    <s v="High Value"/>
    <s v="Nov-2024"/>
    <s v="Wooden Nightstand"/>
    <x v="3"/>
  </r>
  <r>
    <s v="PROD75"/>
    <s v="STORE9"/>
    <n v="4"/>
    <n v="578.39"/>
    <n v="0.01"/>
    <s v="Credit Card"/>
    <n v="2290.4243999999999"/>
    <n v="1901419.638500002"/>
    <n v="1086.5255077142867"/>
    <n v="608"/>
    <s v="High Value"/>
    <s v="Aug-2024"/>
    <s v="Women's Ankle Boots"/>
    <x v="4"/>
  </r>
  <r>
    <s v="PROD41"/>
    <s v="STORE17"/>
    <n v="4"/>
    <n v="982.45"/>
    <n v="0.2"/>
    <s v="PayPal"/>
    <n v="3143.84"/>
    <n v="1899129.2141000021"/>
    <n v="1085.8371721555186"/>
    <n v="608"/>
    <s v="High Value"/>
    <s v="Mar-2024"/>
    <s v="Yoga Exercise Mat"/>
    <x v="0"/>
  </r>
  <r>
    <s v="PROD98"/>
    <s v="STORE19"/>
    <n v="1"/>
    <n v="549.52"/>
    <n v="0.1"/>
    <s v="PayPal"/>
    <n v="494.56799999999998"/>
    <n v="1895985.3741000022"/>
    <n v="1084.6598250000013"/>
    <n v="607"/>
    <s v="Low Value"/>
    <s v="Sep-2025"/>
    <s v="Portable Bluetooth Speaker"/>
    <x v="1"/>
  </r>
  <r>
    <s v="PROD92"/>
    <s v="STORE18"/>
    <n v="2"/>
    <n v="239.92"/>
    <n v="0.16"/>
    <s v="Credit Card"/>
    <n v="403.06560000000002"/>
    <n v="1895490.8061000023"/>
    <n v="1084.9975993703504"/>
    <n v="606"/>
    <s v="Low Value"/>
    <s v="Aug-2025"/>
    <s v="Microwave Oven"/>
    <x v="3"/>
  </r>
  <r>
    <s v="PROD92"/>
    <s v="STORE6"/>
    <n v="2"/>
    <n v="878.05"/>
    <n v="0.11"/>
    <s v="PayPal"/>
    <n v="1562.9290000000001"/>
    <n v="1895087.7405000022"/>
    <n v="1085.3881675257744"/>
    <n v="606"/>
    <s v="High Value"/>
    <s v="Feb-2024"/>
    <s v="Microwave Oven"/>
    <x v="3"/>
  </r>
  <r>
    <s v="PROD1"/>
    <s v="STORE9"/>
    <n v="3"/>
    <n v="546.96"/>
    <n v="0.19"/>
    <s v="Credit Card"/>
    <n v="1329.1128000000001"/>
    <n v="1893524.8115000022"/>
    <n v="1085.1145051575943"/>
    <n v="605"/>
    <s v="High Value"/>
    <s v="Mar-2025"/>
    <s v="Men's Graphic T-Shirt"/>
    <x v="4"/>
  </r>
  <r>
    <s v="PROD17"/>
    <s v="STORE10"/>
    <n v="2"/>
    <n v="71.77"/>
    <n v="0.22"/>
    <s v="Credit Card"/>
    <n v="111.96120000000001"/>
    <n v="1892195.6987000019"/>
    <n v="1084.9745978784415"/>
    <n v="605"/>
    <s v="Low Value"/>
    <s v="Feb-2025"/>
    <s v="Soccer Training Cone Set"/>
    <x v="0"/>
  </r>
  <r>
    <s v="PROD24"/>
    <s v="STORE1"/>
    <n v="2"/>
    <n v="679.86"/>
    <n v="0.22"/>
    <s v="COD"/>
    <n v="1060.5816"/>
    <n v="1892083.7375000021"/>
    <n v="1085.5328384968457"/>
    <n v="605"/>
    <s v="High Value"/>
    <s v="Mar-2025"/>
    <s v="Foldable Camping Chair"/>
    <x v="0"/>
  </r>
  <r>
    <s v="PROD35"/>
    <s v="STORE17"/>
    <n v="1"/>
    <n v="222.94"/>
    <n v="0.19"/>
    <s v="Credit Card"/>
    <n v="180.5814"/>
    <n v="1891023.155900002"/>
    <n v="1085.5471618254892"/>
    <n v="605"/>
    <s v="Low Value"/>
    <s v="Jan-2024"/>
    <s v="Bedroom Table Lamp"/>
    <x v="3"/>
  </r>
  <r>
    <s v="PROD35"/>
    <s v="STORE2"/>
    <n v="2"/>
    <n v="355.3"/>
    <n v="0.17"/>
    <s v="PayPal"/>
    <n v="589.798"/>
    <n v="1890842.574500002"/>
    <n v="1086.0669583572671"/>
    <n v="605"/>
    <s v="Low Value"/>
    <s v="Apr-2025"/>
    <s v="Bedroom Table Lamp"/>
    <x v="3"/>
  </r>
  <r>
    <s v="PROD89"/>
    <s v="STORE19"/>
    <n v="4"/>
    <n v="611.29999999999995"/>
    <n v="0.11"/>
    <s v="PayPal"/>
    <n v="2176.2280000000001"/>
    <n v="1890252.776500002"/>
    <n v="1086.3521704023001"/>
    <n v="604"/>
    <s v="High Value"/>
    <s v="Jul-2024"/>
    <s v="Face Foundation Kit"/>
    <x v="2"/>
  </r>
  <r>
    <s v="PROD0"/>
    <s v="STORE8"/>
    <n v="4"/>
    <n v="849.21"/>
    <n v="7.0000000000000007E-2"/>
    <s v="Credit Card"/>
    <n v="3159.0612000000001"/>
    <n v="1888076.5485000019"/>
    <n v="1085.7254447958608"/>
    <n v="603"/>
    <s v="High Value"/>
    <s v="Mar-2025"/>
    <s v="Brother Laser Printer"/>
    <x v="1"/>
  </r>
  <r>
    <s v="PROD42"/>
    <s v="STORE7"/>
    <n v="3"/>
    <n v="553.12"/>
    <n v="0.28000000000000003"/>
    <s v="COD"/>
    <n v="1194.7392"/>
    <n v="1884917.4873000022"/>
    <n v="1084.5325013233614"/>
    <n v="603"/>
    <s v="High Value"/>
    <s v="Feb-2025"/>
    <s v="Smart Home WiFi Camera"/>
    <x v="1"/>
  </r>
  <r>
    <s v="PROD91"/>
    <s v="STORE9"/>
    <n v="2"/>
    <n v="903.08"/>
    <n v="0.18"/>
    <s v="COD"/>
    <n v="1481.0512000000001"/>
    <n v="1883722.7481000021"/>
    <n v="1084.4690547495693"/>
    <n v="603"/>
    <s v="High Value"/>
    <s v="Jun-2025"/>
    <s v="Women's High Heels"/>
    <x v="4"/>
  </r>
  <r>
    <s v="PROD16"/>
    <s v="STORE11"/>
    <n v="4"/>
    <n v="640.23"/>
    <n v="0.06"/>
    <s v="COD"/>
    <n v="2407.2647999999999"/>
    <n v="1882241.696900002"/>
    <n v="1084.2406088133653"/>
    <n v="603"/>
    <s v="High Value"/>
    <s v="Dec-2024"/>
    <s v="Beard Grooming Kit"/>
    <x v="2"/>
  </r>
  <r>
    <s v="PROD21"/>
    <s v="STORE6"/>
    <n v="1"/>
    <n v="518"/>
    <n v="0.25"/>
    <s v="Credit Card"/>
    <n v="388.5"/>
    <n v="1879834.432100002"/>
    <n v="1083.4780588472634"/>
    <n v="603"/>
    <s v="Low Value"/>
    <s v="Jun-2025"/>
    <s v="Multi-Purpose Storage Box"/>
    <x v="3"/>
  </r>
  <r>
    <s v="PROD64"/>
    <s v="STORE4"/>
    <n v="4"/>
    <n v="779.25"/>
    <n v="0.25"/>
    <s v="Credit Card"/>
    <n v="2337.75"/>
    <n v="1879445.932100002"/>
    <n v="1083.8788535755491"/>
    <n v="603"/>
    <s v="High Value"/>
    <s v="May-2024"/>
    <s v="Matte Lipstick Set"/>
    <x v="2"/>
  </r>
  <r>
    <s v="PROD83"/>
    <s v="STORE7"/>
    <n v="2"/>
    <n v="467.75"/>
    <n v="0.26"/>
    <s v="Credit Card"/>
    <n v="692.27"/>
    <n v="1877108.1821000015"/>
    <n v="1083.1553272360077"/>
    <n v="603"/>
    <s v="Low Value"/>
    <s v="May-2025"/>
    <s v="Hydrating Face Cleanser"/>
    <x v="2"/>
  </r>
  <r>
    <s v="PROD90"/>
    <s v="STORE18"/>
    <n v="3"/>
    <n v="111.79"/>
    <n v="0.06"/>
    <s v="Credit Card"/>
    <n v="315.24779999999998"/>
    <n v="1876415.9121000017"/>
    <n v="1083.3810116050818"/>
    <n v="603"/>
    <s v="Low Value"/>
    <s v="Sep-2024"/>
    <s v="Gaming Mouse Pad XL"/>
    <x v="1"/>
  </r>
  <r>
    <s v="PROD37"/>
    <s v="STORE0"/>
    <n v="4"/>
    <n v="747.01"/>
    <n v="0.13"/>
    <s v="PayPal"/>
    <n v="2599.5947999999999"/>
    <n v="1876100.6643000017"/>
    <n v="1083.8247627383025"/>
    <n v="603"/>
    <s v="High Value"/>
    <s v="May-2025"/>
    <s v="Men's Casual Sneakers"/>
    <x v="4"/>
  </r>
  <r>
    <s v="PROD89"/>
    <s v="STORE12"/>
    <n v="4"/>
    <n v="461.83"/>
    <n v="0.28000000000000003"/>
    <s v="PayPal"/>
    <n v="1330.0704000000001"/>
    <n v="1873501.0695000018"/>
    <n v="1082.9485950867063"/>
    <n v="602"/>
    <s v="High Value"/>
    <s v="Mar-2025"/>
    <s v="Face Foundation Kit"/>
    <x v="2"/>
  </r>
  <r>
    <s v="PROD70"/>
    <s v="STORE8"/>
    <n v="2"/>
    <n v="105.15"/>
    <n v="0.06"/>
    <s v="Credit Card"/>
    <n v="197.68199999999999"/>
    <n v="1872170.999100002"/>
    <n v="1082.8056674956633"/>
    <n v="601"/>
    <s v="Low Value"/>
    <s v="Apr-2025"/>
    <s v="Kitchen Storage Rack"/>
    <x v="3"/>
  </r>
  <r>
    <s v="PROD23"/>
    <s v="STORE3"/>
    <n v="3"/>
    <n v="610.24"/>
    <n v="0.17"/>
    <s v="COD"/>
    <n v="1519.4975999999999"/>
    <n v="1871973.317100002"/>
    <n v="1083.3178918402789"/>
    <n v="601"/>
    <s v="High Value"/>
    <s v="Feb-2025"/>
    <s v="Men's Formal Shirt"/>
    <x v="4"/>
  </r>
  <r>
    <s v="PROD74"/>
    <s v="STORE8"/>
    <n v="1"/>
    <n v="872.12"/>
    <n v="7.0000000000000007E-2"/>
    <s v="PayPal"/>
    <n v="811.07159999999999"/>
    <n v="1870453.8195000021"/>
    <n v="1083.0653268674014"/>
    <n v="601"/>
    <s v="Low Value"/>
    <s v="Jan-2025"/>
    <s v="Bluetooth Car Audio System"/>
    <x v="1"/>
  </r>
  <r>
    <s v="PROD10"/>
    <s v="STORE1"/>
    <n v="1"/>
    <n v="406.79"/>
    <n v="0.03"/>
    <s v="COD"/>
    <n v="394.58629999999999"/>
    <n v="1869642.7479000019"/>
    <n v="1083.2229130359224"/>
    <n v="600"/>
    <s v="Low Value"/>
    <s v="Jan-2024"/>
    <s v="Ceramic Kitchen Bowl Set"/>
    <x v="3"/>
  </r>
  <r>
    <s v="PROD54"/>
    <s v="STORE14"/>
    <n v="1"/>
    <n v="606.01"/>
    <n v="0.04"/>
    <s v="PayPal"/>
    <n v="581.76959999999997"/>
    <n v="1869248.1616000019"/>
    <n v="1083.6221226666678"/>
    <n v="600"/>
    <s v="Low Value"/>
    <s v="Oct-2025"/>
    <s v="Sports Stopwatch Pro"/>
    <x v="0"/>
  </r>
  <r>
    <s v="PROD17"/>
    <s v="STORE5"/>
    <n v="4"/>
    <n v="322.58"/>
    <n v="0.06"/>
    <s v="Credit Card"/>
    <n v="1212.9007999999999"/>
    <n v="1868666.3920000019"/>
    <n v="1083.9132204176344"/>
    <n v="599"/>
    <s v="High Value"/>
    <s v="Jul-2024"/>
    <s v="Soccer Training Cone Set"/>
    <x v="0"/>
  </r>
  <r>
    <s v="PROD77"/>
    <s v="STORE18"/>
    <n v="4"/>
    <n v="463.17"/>
    <n v="0.06"/>
    <s v="PayPal"/>
    <n v="1741.5192"/>
    <n v="1867453.4912000019"/>
    <n v="1083.8383582124213"/>
    <n v="599"/>
    <s v="High Value"/>
    <s v="Jan-2025"/>
    <s v="WiFi Mesh Router"/>
    <x v="1"/>
  </r>
  <r>
    <s v="PROD25"/>
    <s v="STORE7"/>
    <n v="4"/>
    <n v="285.82"/>
    <n v="0.18"/>
    <s v="PayPal"/>
    <n v="937.4896"/>
    <n v="1865711.9720000017"/>
    <n v="1083.4564297328698"/>
    <n v="598"/>
    <s v="Low Value"/>
    <s v="May-2025"/>
    <s v="Women's Scarf Set"/>
    <x v="4"/>
  </r>
  <r>
    <s v="PROD37"/>
    <s v="STORE11"/>
    <n v="3"/>
    <n v="995.38"/>
    <n v="0.1"/>
    <s v="PayPal"/>
    <n v="2687.5259999999998"/>
    <n v="1864774.482400002"/>
    <n v="1083.5412448576421"/>
    <n v="597"/>
    <s v="High Value"/>
    <s v="Jul-2025"/>
    <s v="Men's Casual Sneakers"/>
    <x v="4"/>
  </r>
  <r>
    <s v="PROD62"/>
    <s v="STORE8"/>
    <n v="1"/>
    <n v="329.31"/>
    <n v="0.09"/>
    <s v="Credit Card"/>
    <n v="299.6721"/>
    <n v="1862086.9564000021"/>
    <n v="1082.6086955813967"/>
    <n v="596"/>
    <s v="Low Value"/>
    <s v="Apr-2025"/>
    <s v="Laptop Cooling Pad"/>
    <x v="1"/>
  </r>
  <r>
    <s v="PROD47"/>
    <s v="STORE16"/>
    <n v="3"/>
    <n v="64.2"/>
    <n v="0.08"/>
    <s v="COD"/>
    <n v="177.19200000000001"/>
    <n v="1861787.284300002"/>
    <n v="1083.0641560791169"/>
    <n v="596"/>
    <s v="Low Value"/>
    <s v="Jul-2024"/>
    <s v="Makeup Brush Set"/>
    <x v="2"/>
  </r>
  <r>
    <s v="PROD11"/>
    <s v="STORE13"/>
    <n v="3"/>
    <n v="697.13"/>
    <n v="0.25"/>
    <s v="COD"/>
    <n v="1568.5425"/>
    <n v="1861610.0923000022"/>
    <n v="1083.5914390570445"/>
    <n v="596"/>
    <s v="High Value"/>
    <s v="Jun-2025"/>
    <s v="HD Smart TV Stick"/>
    <x v="1"/>
  </r>
  <r>
    <s v="PROD9"/>
    <s v="STORE5"/>
    <n v="3"/>
    <n v="134.30000000000001"/>
    <n v="0.14000000000000001"/>
    <s v="Credit Card"/>
    <n v="346.49400000000003"/>
    <n v="1860041.549800002"/>
    <n v="1083.3089981362855"/>
    <n v="596"/>
    <s v="Low Value"/>
    <s v="Dec-2024"/>
    <s v="Adjustable Dumbbell Set"/>
    <x v="0"/>
  </r>
  <r>
    <s v="PROD84"/>
    <s v="STORE13"/>
    <n v="1"/>
    <n v="520.92999999999995"/>
    <n v="0.15"/>
    <s v="Credit Card"/>
    <n v="442.79050000000001"/>
    <n v="1859695.0558000021"/>
    <n v="1083.7383775058288"/>
    <n v="596"/>
    <s v="Low Value"/>
    <s v="Aug-2024"/>
    <s v="Wooden Bookshelf"/>
    <x v="3"/>
  </r>
  <r>
    <s v="PROD19"/>
    <s v="STORE7"/>
    <n v="2"/>
    <n v="350.12"/>
    <n v="0.21"/>
    <s v="COD"/>
    <n v="553.18960000000004"/>
    <n v="1859252.2653000022"/>
    <n v="1084.1121080466485"/>
    <n v="596"/>
    <s v="Low Value"/>
    <s v="Mar-2025"/>
    <s v="Knee Support Brace"/>
    <x v="0"/>
  </r>
  <r>
    <s v="PROD48"/>
    <s v="STORE19"/>
    <n v="3"/>
    <n v="807.95"/>
    <n v="0.1"/>
    <s v="PayPal"/>
    <n v="2181.4650000000011"/>
    <n v="1858699.075700002"/>
    <n v="1084.4218644690793"/>
    <n v="596"/>
    <s v="High Value"/>
    <s v="Jan-2024"/>
    <s v="Car Dashboard Phone Holder"/>
    <x v="1"/>
  </r>
  <r>
    <s v="PROD38"/>
    <s v="STORE6"/>
    <n v="4"/>
    <n v="766.03"/>
    <n v="0.28999999999999998"/>
    <s v="PayPal"/>
    <n v="2175.5252"/>
    <n v="1856517.6107000019"/>
    <n v="1083.7814423234104"/>
    <n v="595"/>
    <s v="High Value"/>
    <s v="Aug-2025"/>
    <s v="Sports Water Hydration Pack"/>
    <x v="0"/>
  </r>
  <r>
    <s v="PROD57"/>
    <s v="STORE8"/>
    <n v="3"/>
    <n v="545.1"/>
    <n v="0.08"/>
    <s v="COD"/>
    <n v="1504.4760000000001"/>
    <n v="1854342.0855000021"/>
    <n v="1083.1437415303751"/>
    <n v="594"/>
    <s v="High Value"/>
    <s v="Apr-2024"/>
    <s v="Foam Roller"/>
    <x v="0"/>
  </r>
  <r>
    <s v="PROD65"/>
    <s v="STORE7"/>
    <n v="1"/>
    <n v="203.61"/>
    <n v="0.24"/>
    <s v="COD"/>
    <n v="154.74359999999999"/>
    <n v="1852837.6095000021"/>
    <n v="1082.8974924021052"/>
    <n v="594"/>
    <s v="Low Value"/>
    <s v="May-2024"/>
    <s v="Adjustable Dumbbells 20kg"/>
    <x v="0"/>
  </r>
  <r>
    <s v="PROD97"/>
    <s v="STORE15"/>
    <n v="4"/>
    <n v="493.8"/>
    <n v="0.24"/>
    <s v="COD"/>
    <n v="1501.152"/>
    <n v="1852682.865900002"/>
    <n v="1083.4402724561414"/>
    <n v="594"/>
    <s v="High Value"/>
    <s v="Jul-2025"/>
    <s v="Cricket Bat"/>
    <x v="0"/>
  </r>
  <r>
    <s v="PROD41"/>
    <s v="STORE17"/>
    <n v="1"/>
    <n v="640.54999999999995"/>
    <n v="0.25"/>
    <s v="Credit Card"/>
    <n v="480.41250000000002"/>
    <n v="1851181.7139000022"/>
    <n v="1083.1958536571108"/>
    <n v="594"/>
    <s v="Low Value"/>
    <s v="Jul-2024"/>
    <s v="Yoga Exercise Mat"/>
    <x v="0"/>
  </r>
  <r>
    <s v="PROD74"/>
    <s v="STORE4"/>
    <n v="1"/>
    <n v="702.53"/>
    <n v="0.3"/>
    <s v="Credit Card"/>
    <n v="491.77100000000002"/>
    <n v="1850701.3014000021"/>
    <n v="1083.5487713114767"/>
    <n v="594"/>
    <s v="Low Value"/>
    <s v="Sep-2024"/>
    <s v="Bluetooth Car Audio System"/>
    <x v="1"/>
  </r>
  <r>
    <s v="PROD39"/>
    <s v="STORE8"/>
    <n v="4"/>
    <n v="139.94"/>
    <n v="0.24"/>
    <s v="Credit Card"/>
    <n v="425.41759999999999"/>
    <n v="1850209.5304000019"/>
    <n v="1083.8954483889877"/>
    <n v="594"/>
    <s v="Low Value"/>
    <s v="Jun-2025"/>
    <s v="Portable Power Bank"/>
    <x v="1"/>
  </r>
  <r>
    <s v="PROD19"/>
    <s v="STORE8"/>
    <n v="2"/>
    <n v="230.85"/>
    <n v="0.18"/>
    <s v="Credit Card"/>
    <n v="378.59399999999999"/>
    <n v="1849784.1128000021"/>
    <n v="1084.2814260257926"/>
    <n v="594"/>
    <s v="Low Value"/>
    <s v="Dec-2024"/>
    <s v="Knee Support Brace"/>
    <x v="0"/>
  </r>
  <r>
    <s v="PROD85"/>
    <s v="STORE17"/>
    <n v="4"/>
    <n v="626.35"/>
    <n v="0.25"/>
    <s v="COD"/>
    <n v="1879.05"/>
    <n v="1849405.5188000023"/>
    <n v="1084.6953189442829"/>
    <n v="594"/>
    <s v="High Value"/>
    <s v="Sep-2024"/>
    <s v="Women's Beanie Hat"/>
    <x v="4"/>
  </r>
  <r>
    <s v="PROD41"/>
    <s v="STORE14"/>
    <n v="4"/>
    <n v="108.55"/>
    <n v="0.18"/>
    <s v="PayPal"/>
    <n v="356.04399999999998"/>
    <n v="1847526.4688000022"/>
    <n v="1084.2291483568088"/>
    <n v="594"/>
    <s v="Low Value"/>
    <s v="May-2024"/>
    <s v="Yoga Exercise Mat"/>
    <x v="0"/>
  </r>
  <r>
    <s v="PROD17"/>
    <s v="STORE1"/>
    <n v="4"/>
    <n v="353.67"/>
    <n v="0.03"/>
    <s v="COD"/>
    <n v="1372.2396000000001"/>
    <n v="1847170.4248000022"/>
    <n v="1084.6567379917806"/>
    <n v="593"/>
    <s v="High Value"/>
    <s v="Aug-2025"/>
    <s v="Soccer Training Cone Set"/>
    <x v="0"/>
  </r>
  <r>
    <s v="PROD90"/>
    <s v="STORE1"/>
    <n v="4"/>
    <n v="61.98"/>
    <n v="0.16"/>
    <s v="Credit Card"/>
    <n v="208.25280000000001"/>
    <n v="1845798.1852000025"/>
    <n v="1084.4877703877805"/>
    <n v="593"/>
    <s v="Low Value"/>
    <s v="Oct-2024"/>
    <s v="Gaming Mouse Pad XL"/>
    <x v="1"/>
  </r>
  <r>
    <s v="PROD22"/>
    <s v="STORE19"/>
    <n v="2"/>
    <n v="873.1"/>
    <n v="0.12"/>
    <s v="PayPal"/>
    <n v="1536.6559999999999"/>
    <n v="1845589.9324000024"/>
    <n v="1085.0028997060567"/>
    <n v="593"/>
    <s v="High Value"/>
    <s v="Feb-2024"/>
    <s v="Carbon Fiber Tennis Racket"/>
    <x v="0"/>
  </r>
  <r>
    <s v="PROD12"/>
    <s v="STORE15"/>
    <n v="4"/>
    <n v="889.47"/>
    <n v="0.24"/>
    <s v="Credit Card"/>
    <n v="2703.9888000000001"/>
    <n v="1844053.2764000022"/>
    <n v="1084.7372214117661"/>
    <n v="592"/>
    <s v="High Value"/>
    <s v="Dec-2023"/>
    <s v="Hair Strengthening Shampoo"/>
    <x v="2"/>
  </r>
  <r>
    <s v="PROD74"/>
    <s v="STORE11"/>
    <n v="3"/>
    <n v="803.76"/>
    <n v="0.19"/>
    <s v="COD"/>
    <n v="1953.1368"/>
    <n v="1841349.2876000025"/>
    <n v="1083.784159858742"/>
    <n v="592"/>
    <s v="High Value"/>
    <s v="Oct-2024"/>
    <s v="Bluetooth Car Audio System"/>
    <x v="1"/>
  </r>
  <r>
    <s v="PROD75"/>
    <s v="STORE5"/>
    <n v="2"/>
    <n v="865.14"/>
    <n v="0.2"/>
    <s v="PayPal"/>
    <n v="1384.2239999999999"/>
    <n v="1839396.1508000025"/>
    <n v="1083.2721736160204"/>
    <n v="592"/>
    <s v="High Value"/>
    <s v="Nov-2024"/>
    <s v="Women's Ankle Boots"/>
    <x v="4"/>
  </r>
  <r>
    <s v="PROD31"/>
    <s v="STORE9"/>
    <n v="2"/>
    <n v="916.49"/>
    <n v="0.3"/>
    <s v="COD"/>
    <n v="1283.086"/>
    <n v="1838011.9268000023"/>
    <n v="1083.0948301708911"/>
    <n v="591"/>
    <s v="High Value"/>
    <s v="Jun-2025"/>
    <s v="Basketball"/>
    <x v="0"/>
  </r>
  <r>
    <s v="PROD51"/>
    <s v="STORE12"/>
    <n v="3"/>
    <n v="781.39"/>
    <n v="0.12"/>
    <s v="Credit Card"/>
    <n v="2062.8696"/>
    <n v="1836728.8408000025"/>
    <n v="1082.976910849058"/>
    <n v="591"/>
    <s v="High Value"/>
    <s v="Nov-2024"/>
    <s v="HDMI Cable – 2m"/>
    <x v="1"/>
  </r>
  <r>
    <s v="PROD38"/>
    <s v="STORE12"/>
    <n v="4"/>
    <n v="619.74"/>
    <n v="0.13"/>
    <s v="COD"/>
    <n v="2156.6952000000001"/>
    <n v="1834665.9712000024"/>
    <n v="1082.3988030678479"/>
    <n v="591"/>
    <s v="High Value"/>
    <s v="May-2024"/>
    <s v="Sports Water Hydration Pack"/>
    <x v="0"/>
  </r>
  <r>
    <s v="PROD62"/>
    <s v="STORE14"/>
    <n v="2"/>
    <n v="837.76"/>
    <n v="0.03"/>
    <s v="COD"/>
    <n v="1625.2544"/>
    <n v="1832509.2760000024"/>
    <n v="1081.7646257378999"/>
    <n v="591"/>
    <s v="High Value"/>
    <s v="Jan-2025"/>
    <s v="Laptop Cooling Pad"/>
    <x v="1"/>
  </r>
  <r>
    <s v="PROD90"/>
    <s v="STORE1"/>
    <n v="3"/>
    <n v="135.94"/>
    <n v="0.2"/>
    <s v="Credit Card"/>
    <n v="326.25599999999997"/>
    <n v="1830884.0216000024"/>
    <n v="1081.4436040165401"/>
    <n v="591"/>
    <s v="Low Value"/>
    <s v="Jul-2025"/>
    <s v="Gaming Mouse Pad XL"/>
    <x v="1"/>
  </r>
  <r>
    <s v="PROD74"/>
    <s v="STORE1"/>
    <n v="4"/>
    <n v="396.53"/>
    <n v="7.0000000000000007E-2"/>
    <s v="PayPal"/>
    <n v="1475.0916"/>
    <n v="1830557.7656000024"/>
    <n v="1081.8899323877083"/>
    <n v="591"/>
    <s v="High Value"/>
    <s v="May-2025"/>
    <s v="Bluetooth Car Audio System"/>
    <x v="1"/>
  </r>
  <r>
    <s v="PROD29"/>
    <s v="STORE14"/>
    <n v="2"/>
    <n v="722.45"/>
    <n v="0.22"/>
    <s v="PayPal"/>
    <n v="1127.0219999999999"/>
    <n v="1829082.6740000027"/>
    <n v="1081.6574062684817"/>
    <n v="590"/>
    <s v="High Value"/>
    <s v="Dec-2023"/>
    <s v="Fabric Sofa Throw Blanket"/>
    <x v="3"/>
  </r>
  <r>
    <s v="PROD64"/>
    <s v="STORE2"/>
    <n v="2"/>
    <n v="138.41"/>
    <n v="0.02"/>
    <s v="Credit Card"/>
    <n v="271.28359999999998"/>
    <n v="1827955.6520000028"/>
    <n v="1081.6305633136112"/>
    <n v="589"/>
    <s v="Low Value"/>
    <s v="Jul-2024"/>
    <s v="Matte Lipstick Set"/>
    <x v="2"/>
  </r>
  <r>
    <s v="PROD80"/>
    <s v="STORE2"/>
    <n v="4"/>
    <n v="741.51"/>
    <n v="0.09"/>
    <s v="COD"/>
    <n v="2699.0963999999999"/>
    <n v="1827684.3684000028"/>
    <n v="1082.1103424511562"/>
    <n v="589"/>
    <s v="High Value"/>
    <s v="Jan-2025"/>
    <s v="Wall-Mounted Spice Rack"/>
    <x v="3"/>
  </r>
  <r>
    <s v="PROD80"/>
    <s v="STORE17"/>
    <n v="2"/>
    <n v="588.9"/>
    <n v="0.19"/>
    <s v="PayPal"/>
    <n v="954.01800000000003"/>
    <n v="1824985.2720000027"/>
    <n v="1081.1524123222764"/>
    <n v="589"/>
    <s v="Low Value"/>
    <s v="Nov-2024"/>
    <s v="Wall-Mounted Spice Rack"/>
    <x v="3"/>
  </r>
  <r>
    <s v="PROD50"/>
    <s v="STORE2"/>
    <n v="1"/>
    <n v="88.92"/>
    <n v="0.19"/>
    <s v="PayPal"/>
    <n v="72.025200000000012"/>
    <n v="1824031.2540000025"/>
    <n v="1081.2277735625385"/>
    <n v="588"/>
    <s v="Low Value"/>
    <s v="Apr-2024"/>
    <s v="Boxing Hand Wraps"/>
    <x v="0"/>
  </r>
  <r>
    <s v="PROD61"/>
    <s v="STORE16"/>
    <n v="1"/>
    <n v="299.13"/>
    <n v="0.1"/>
    <s v="COD"/>
    <n v="269.21699999999998"/>
    <n v="1823959.2288000027"/>
    <n v="1081.8263516014251"/>
    <n v="587"/>
    <s v="Low Value"/>
    <s v="Feb-2024"/>
    <s v="Tennis Ball 3-Pack"/>
    <x v="0"/>
  </r>
  <r>
    <s v="PROD77"/>
    <s v="STORE3"/>
    <n v="2"/>
    <n v="548.29999999999995"/>
    <n v="0.23"/>
    <s v="Credit Card"/>
    <n v="844.38199999999995"/>
    <n v="1823690.0118000025"/>
    <n v="1082.3086123442151"/>
    <n v="587"/>
    <s v="Low Value"/>
    <s v="May-2024"/>
    <s v="WiFi Mesh Router"/>
    <x v="1"/>
  </r>
  <r>
    <s v="PROD54"/>
    <s v="STORE10"/>
    <n v="3"/>
    <n v="977.55"/>
    <n v="0.02"/>
    <s v="PayPal"/>
    <n v="2873.9969999999989"/>
    <n v="1822845.6298000026"/>
    <n v="1082.449898931118"/>
    <n v="587"/>
    <s v="High Value"/>
    <s v="May-2024"/>
    <s v="Sports Stopwatch Pro"/>
    <x v="0"/>
  </r>
  <r>
    <s v="PROD44"/>
    <s v="STORE18"/>
    <n v="1"/>
    <n v="459.42"/>
    <n v="0.28000000000000003"/>
    <s v="COD"/>
    <n v="330.7824"/>
    <n v="1819971.6328000023"/>
    <n v="1081.3854027332159"/>
    <n v="586"/>
    <s v="Low Value"/>
    <s v="Jun-2025"/>
    <s v="Adjustable Jump Rope"/>
    <x v="0"/>
  </r>
  <r>
    <s v="PROD2"/>
    <s v="STORE4"/>
    <n v="2"/>
    <n v="123.19"/>
    <n v="0.19"/>
    <s v="Credit Card"/>
    <n v="199.56780000000001"/>
    <n v="1819640.8504000022"/>
    <n v="1081.8316589774092"/>
    <n v="586"/>
    <s v="Low Value"/>
    <s v="Jan-2025"/>
    <s v="Women's Casual Hoodie"/>
    <x v="4"/>
  </r>
  <r>
    <s v="PROD55"/>
    <s v="STORE19"/>
    <n v="1"/>
    <n v="222.95"/>
    <n v="0.02"/>
    <s v="PayPal"/>
    <n v="218.49100000000001"/>
    <n v="1819441.2826000024"/>
    <n v="1082.3565036287937"/>
    <n v="586"/>
    <s v="Low Value"/>
    <s v="Aug-2025"/>
    <s v="Ceramic Plant Pot"/>
    <x v="3"/>
  </r>
  <r>
    <s v="PROD32"/>
    <s v="STORE4"/>
    <n v="3"/>
    <n v="601.92999999999995"/>
    <n v="0.14000000000000001"/>
    <s v="Credit Card"/>
    <n v="1552.9793999999999"/>
    <n v="1819222.7916000022"/>
    <n v="1082.8707092857155"/>
    <n v="585"/>
    <s v="High Value"/>
    <s v="Jul-2025"/>
    <s v="Vitamin C Face Serum"/>
    <x v="2"/>
  </r>
  <r>
    <s v="PROD69"/>
    <s v="STORE2"/>
    <n v="1"/>
    <n v="564.1"/>
    <n v="0.03"/>
    <s v="Credit Card"/>
    <n v="547.17700000000002"/>
    <n v="1817669.8122000021"/>
    <n v="1082.5907160214426"/>
    <n v="585"/>
    <s v="Low Value"/>
    <s v="Mar-2024"/>
    <s v="Men's Sports Shorts"/>
    <x v="4"/>
  </r>
  <r>
    <s v="PROD80"/>
    <s v="STORE5"/>
    <n v="1"/>
    <n v="516.62"/>
    <n v="0.18"/>
    <s v="Credit Card"/>
    <n v="423.62840000000011"/>
    <n v="1817122.6352000022"/>
    <n v="1082.9097945172839"/>
    <n v="585"/>
    <s v="Low Value"/>
    <s v="Jan-2025"/>
    <s v="Wall-Mounted Spice Rack"/>
    <x v="3"/>
  </r>
  <r>
    <s v="PROD63"/>
    <s v="STORE12"/>
    <n v="1"/>
    <n v="934.75"/>
    <n v="0.11"/>
    <s v="PayPal"/>
    <n v="831.92750000000001"/>
    <n v="1816699.0068000022"/>
    <n v="1083.3029259391783"/>
    <n v="585"/>
    <s v="Low Value"/>
    <s v="Jul-2024"/>
    <s v="Organic Sunscreen Lotion"/>
    <x v="2"/>
  </r>
  <r>
    <s v="PROD98"/>
    <s v="STORE7"/>
    <n v="4"/>
    <n v="548.44000000000005"/>
    <n v="0.05"/>
    <s v="PayPal"/>
    <n v="2084.0720000000001"/>
    <n v="1815867.079300002"/>
    <n v="1083.4529112768507"/>
    <n v="584"/>
    <s v="High Value"/>
    <s v="Apr-2024"/>
    <s v="Portable Bluetooth Speaker"/>
    <x v="1"/>
  </r>
  <r>
    <s v="PROD37"/>
    <s v="STORE3"/>
    <n v="3"/>
    <n v="361.11"/>
    <n v="0.06"/>
    <s v="Credit Card"/>
    <n v="1018.3302"/>
    <n v="1813783.007300002"/>
    <n v="1082.8555267462698"/>
    <n v="583"/>
    <s v="High Value"/>
    <s v="Apr-2025"/>
    <s v="Men's Casual Sneakers"/>
    <x v="4"/>
  </r>
  <r>
    <s v="PROD13"/>
    <s v="STORE1"/>
    <n v="2"/>
    <n v="610.37"/>
    <n v="0.1"/>
    <s v="PayPal"/>
    <n v="1098.6659999999999"/>
    <n v="1812764.6771000018"/>
    <n v="1082.8940723416977"/>
    <n v="583"/>
    <s v="High Value"/>
    <s v="Sep-2025"/>
    <s v="USB-C Fast Charger"/>
    <x v="1"/>
  </r>
  <r>
    <s v="PROD51"/>
    <s v="STORE16"/>
    <n v="1"/>
    <n v="272.2"/>
    <n v="0.3"/>
    <s v="Credit Card"/>
    <n v="190.54"/>
    <n v="1811666.0111000019"/>
    <n v="1082.884645008967"/>
    <n v="582"/>
    <s v="Low Value"/>
    <s v="Nov-2023"/>
    <s v="HDMI Cable – 2m"/>
    <x v="1"/>
  </r>
  <r>
    <s v="PROD77"/>
    <s v="STORE6"/>
    <n v="3"/>
    <n v="573.1"/>
    <n v="0.16"/>
    <s v="COD"/>
    <n v="1444.212"/>
    <n v="1811475.4711000018"/>
    <n v="1083.4183439593312"/>
    <n v="582"/>
    <s v="High Value"/>
    <s v="Feb-2024"/>
    <s v="WiFi Mesh Router"/>
    <x v="1"/>
  </r>
  <r>
    <s v="PROD6"/>
    <s v="STORE0"/>
    <n v="4"/>
    <n v="24.72"/>
    <n v="0.28000000000000003"/>
    <s v="Credit Card"/>
    <n v="71.193599999999989"/>
    <n v="1810031.2591000018"/>
    <n v="1083.202429144226"/>
    <n v="582"/>
    <s v="Low Value"/>
    <s v="Apr-2025"/>
    <s v="Herbal Face Moisturizer"/>
    <x v="2"/>
  </r>
  <r>
    <s v="PROD9"/>
    <s v="STORE9"/>
    <n v="3"/>
    <n v="268.89"/>
    <n v="7.0000000000000007E-2"/>
    <s v="COD"/>
    <n v="750.20309999999995"/>
    <n v="1809960.0655000017"/>
    <n v="1083.8084224550907"/>
    <n v="582"/>
    <s v="Low Value"/>
    <s v="Jul-2024"/>
    <s v="Adjustable Dumbbell Set"/>
    <x v="0"/>
  </r>
  <r>
    <s v="PROD68"/>
    <s v="STORE9"/>
    <n v="1"/>
    <n v="78.5"/>
    <n v="0.17"/>
    <s v="COD"/>
    <n v="65.155000000000001"/>
    <n v="1809209.8624000016"/>
    <n v="1084.0083058118644"/>
    <n v="582"/>
    <s v="Low Value"/>
    <s v="Aug-2025"/>
    <s v="Wooden Nightstand"/>
    <x v="3"/>
  </r>
  <r>
    <s v="PROD36"/>
    <s v="STORE4"/>
    <n v="3"/>
    <n v="399.42"/>
    <n v="0.02"/>
    <s v="Credit Card"/>
    <n v="1174.2947999999999"/>
    <n v="1809144.7074000016"/>
    <n v="1084.6191291366915"/>
    <n v="582"/>
    <s v="High Value"/>
    <s v="Jun-2025"/>
    <s v="Women's Summer Dress"/>
    <x v="4"/>
  </r>
  <r>
    <s v="PROD31"/>
    <s v="STORE19"/>
    <n v="3"/>
    <n v="455.82"/>
    <n v="0.01"/>
    <s v="PayPal"/>
    <n v="1353.7854"/>
    <n v="1807970.4126000013"/>
    <n v="1084.5653344931022"/>
    <n v="582"/>
    <s v="High Value"/>
    <s v="Aug-2025"/>
    <s v="Basketball"/>
    <x v="0"/>
  </r>
  <r>
    <s v="PROD50"/>
    <s v="STORE5"/>
    <n v="2"/>
    <n v="613.23"/>
    <n v="0.15"/>
    <s v="PayPal"/>
    <n v="1042.491"/>
    <n v="1806616.6272000014"/>
    <n v="1084.403737815127"/>
    <n v="581"/>
    <s v="High Value"/>
    <s v="Nov-2024"/>
    <s v="Boxing Hand Wraps"/>
    <x v="0"/>
  </r>
  <r>
    <s v="PROD2"/>
    <s v="STORE14"/>
    <n v="4"/>
    <n v="971.9"/>
    <n v="0.28000000000000003"/>
    <s v="PayPal"/>
    <n v="2799.0720000000001"/>
    <n v="1805574.1362000015"/>
    <n v="1084.4289106306314"/>
    <n v="580"/>
    <s v="High Value"/>
    <s v="Jan-2024"/>
    <s v="Women's Casual Hoodie"/>
    <x v="4"/>
  </r>
  <r>
    <s v="PROD28"/>
    <s v="STORE7"/>
    <n v="3"/>
    <n v="884.92"/>
    <n v="0.06"/>
    <s v="PayPal"/>
    <n v="2495.4744000000001"/>
    <n v="1802775.0642000013"/>
    <n v="1083.3984760817316"/>
    <n v="579"/>
    <s v="High Value"/>
    <s v="Aug-2024"/>
    <s v="Sports Stopwatch Timer"/>
    <x v="0"/>
  </r>
  <r>
    <s v="PROD8"/>
    <s v="STORE9"/>
    <n v="1"/>
    <n v="125"/>
    <n v="0.23"/>
    <s v="Credit Card"/>
    <n v="96.25"/>
    <n v="1800279.5898000011"/>
    <n v="1082.549362477451"/>
    <n v="578"/>
    <s v="Low Value"/>
    <s v="Sep-2025"/>
    <s v="Wireless Bluetooth Earbuds"/>
    <x v="1"/>
  </r>
  <r>
    <s v="PROD10"/>
    <s v="STORE15"/>
    <n v="2"/>
    <n v="188.25"/>
    <n v="0.08"/>
    <s v="PayPal"/>
    <n v="346.38"/>
    <n v="1800183.3398000011"/>
    <n v="1083.1428037304458"/>
    <n v="578"/>
    <s v="Low Value"/>
    <s v="Jun-2024"/>
    <s v="Ceramic Kitchen Bowl Set"/>
    <x v="3"/>
  </r>
  <r>
    <s v="PROD46"/>
    <s v="STORE6"/>
    <n v="4"/>
    <n v="344.12"/>
    <n v="0.25"/>
    <s v="PayPal"/>
    <n v="1032.3599999999999"/>
    <n v="1799836.9598000012"/>
    <n v="1083.5863695364246"/>
    <n v="577"/>
    <s v="High Value"/>
    <s v="Jan-2024"/>
    <s v="Men's Winter Jacket"/>
    <x v="4"/>
  </r>
  <r>
    <s v="PROD17"/>
    <s v="STORE19"/>
    <n v="3"/>
    <n v="997.95"/>
    <n v="0.09"/>
    <s v="COD"/>
    <n v="2724.4034999999999"/>
    <n v="1798804.5998000014"/>
    <n v="1083.6172287951815"/>
    <n v="576"/>
    <s v="High Value"/>
    <s v="Oct-2023"/>
    <s v="Soccer Training Cone Set"/>
    <x v="0"/>
  </r>
  <r>
    <s v="PROD11"/>
    <s v="STORE15"/>
    <n v="3"/>
    <n v="121.64"/>
    <n v="7.0000000000000007E-2"/>
    <s v="PayPal"/>
    <n v="339.37560000000002"/>
    <n v="1796080.1963000013"/>
    <n v="1082.6282075346603"/>
    <n v="576"/>
    <s v="Low Value"/>
    <s v="Mar-2025"/>
    <s v="HD Smart TV Stick"/>
    <x v="1"/>
  </r>
  <r>
    <s v="PROD68"/>
    <s v="STORE10"/>
    <n v="2"/>
    <n v="692.72"/>
    <n v="0.13"/>
    <s v="PayPal"/>
    <n v="1205.3327999999999"/>
    <n v="1795740.8207000012"/>
    <n v="1083.076490168879"/>
    <n v="575"/>
    <s v="High Value"/>
    <s v="Sep-2024"/>
    <s v="Wooden Nightstand"/>
    <x v="3"/>
  </r>
  <r>
    <s v="PROD24"/>
    <s v="STORE19"/>
    <n v="3"/>
    <n v="794.59"/>
    <n v="0.03"/>
    <s v="PayPal"/>
    <n v="2312.2568999999999"/>
    <n v="1794535.4879000015"/>
    <n v="1083.002708449005"/>
    <n v="574"/>
    <s v="High Value"/>
    <s v="Nov-2024"/>
    <s v="Foldable Camping Chair"/>
    <x v="0"/>
  </r>
  <r>
    <s v="PROD26"/>
    <s v="STORE9"/>
    <n v="1"/>
    <n v="907.95"/>
    <n v="0.1"/>
    <s v="PayPal"/>
    <n v="817.15500000000009"/>
    <n v="1792223.2310000013"/>
    <n v="1082.2604051932376"/>
    <n v="573"/>
    <s v="Low Value"/>
    <s v="Oct-2023"/>
    <s v="Wireless Bluetooth Speaker"/>
    <x v="1"/>
  </r>
  <r>
    <s v="PROD50"/>
    <s v="STORE0"/>
    <n v="2"/>
    <n v="660.81"/>
    <n v="0.18"/>
    <s v="Credit Card"/>
    <n v="1083.7284"/>
    <n v="1791406.0760000015"/>
    <n v="1082.4205897280976"/>
    <n v="572"/>
    <s v="High Value"/>
    <s v="Oct-2025"/>
    <s v="Boxing Hand Wraps"/>
    <x v="0"/>
  </r>
  <r>
    <s v="PROD51"/>
    <s v="STORE8"/>
    <n v="3"/>
    <n v="564.94000000000005"/>
    <n v="0.22"/>
    <s v="COD"/>
    <n v="1321.9595999999999"/>
    <n v="1790322.3476000014"/>
    <n v="1082.4197990326491"/>
    <n v="572"/>
    <s v="High Value"/>
    <s v="Sep-2025"/>
    <s v="HDMI Cable – 2m"/>
    <x v="1"/>
  </r>
  <r>
    <s v="PROD15"/>
    <s v="STORE15"/>
    <n v="2"/>
    <n v="280.37"/>
    <n v="0.22"/>
    <s v="COD"/>
    <n v="437.37720000000002"/>
    <n v="1789000.3880000012"/>
    <n v="1082.274886872354"/>
    <n v="572"/>
    <s v="Low Value"/>
    <s v="Sep-2024"/>
    <s v="4K Home Projector"/>
    <x v="1"/>
  </r>
  <r>
    <s v="PROD50"/>
    <s v="STORE3"/>
    <n v="2"/>
    <n v="85.23"/>
    <n v="0.13"/>
    <s v="Credit Card"/>
    <n v="148.30019999999999"/>
    <n v="1788563.0108000012"/>
    <n v="1082.6652607748192"/>
    <n v="572"/>
    <s v="Low Value"/>
    <s v="Jul-2024"/>
    <s v="Boxing Hand Wraps"/>
    <x v="0"/>
  </r>
  <r>
    <s v="PROD27"/>
    <s v="STORE13"/>
    <n v="2"/>
    <n v="563.29999999999995"/>
    <n v="0.26"/>
    <s v="Credit Card"/>
    <n v="833.68399999999997"/>
    <n v="1788414.710600001"/>
    <n v="1083.2311996365845"/>
    <n v="572"/>
    <s v="Low Value"/>
    <s v="Apr-2025"/>
    <s v="Decorative Floor Vase"/>
    <x v="3"/>
  </r>
  <r>
    <s v="PROD80"/>
    <s v="STORE18"/>
    <n v="2"/>
    <n v="827.81"/>
    <n v="0.04"/>
    <s v="PayPal"/>
    <n v="1589.3951999999999"/>
    <n v="1787581.0266000011"/>
    <n v="1083.382440363637"/>
    <n v="572"/>
    <s v="High Value"/>
    <s v="Jan-2024"/>
    <s v="Wall-Mounted Spice Rack"/>
    <x v="3"/>
  </r>
  <r>
    <s v="PROD12"/>
    <s v="STORE18"/>
    <n v="3"/>
    <n v="877.71"/>
    <n v="0.12"/>
    <s v="PayPal"/>
    <n v="2317.1543999999999"/>
    <n v="1785991.631400001"/>
    <n v="1083.0755799878721"/>
    <n v="571"/>
    <s v="High Value"/>
    <s v="Nov-2024"/>
    <s v="Hair Strengthening Shampoo"/>
    <x v="2"/>
  </r>
  <r>
    <s v="PROD57"/>
    <s v="STORE9"/>
    <n v="4"/>
    <n v="488.56"/>
    <n v="0.26"/>
    <s v="COD"/>
    <n v="1446.1376"/>
    <n v="1783674.4770000011"/>
    <n v="1082.3267457524278"/>
    <n v="570"/>
    <s v="High Value"/>
    <s v="Nov-2024"/>
    <s v="Foam Roller"/>
    <x v="0"/>
  </r>
  <r>
    <s v="PROD25"/>
    <s v="STORE12"/>
    <n v="4"/>
    <n v="175.91"/>
    <n v="0.13"/>
    <s v="PayPal"/>
    <n v="612.16679999999997"/>
    <n v="1782228.3394000011"/>
    <n v="1082.1058527018829"/>
    <n v="570"/>
    <s v="Low Value"/>
    <s v="Jul-2024"/>
    <s v="Women's Scarf Set"/>
    <x v="4"/>
  </r>
  <r>
    <s v="PROD87"/>
    <s v="STORE8"/>
    <n v="4"/>
    <n v="289.66000000000003"/>
    <n v="0.25"/>
    <s v="COD"/>
    <n v="868.98"/>
    <n v="1781616.1726000011"/>
    <n v="1082.3913563791016"/>
    <n v="569"/>
    <s v="Low Value"/>
    <s v="Apr-2024"/>
    <s v="LED Bedside Lamp"/>
    <x v="3"/>
  </r>
  <r>
    <s v="PROD15"/>
    <s v="STORE15"/>
    <n v="2"/>
    <n v="899.27"/>
    <n v="0.17"/>
    <s v="Credit Card"/>
    <n v="1492.7882"/>
    <n v="1780747.1926000011"/>
    <n v="1082.5210897264444"/>
    <n v="569"/>
    <s v="High Value"/>
    <s v="Jan-2024"/>
    <s v="4K Home Projector"/>
    <x v="1"/>
  </r>
  <r>
    <s v="PROD18"/>
    <s v="STORE1"/>
    <n v="1"/>
    <n v="691.38"/>
    <n v="0.11"/>
    <s v="COD"/>
    <n v="615.32820000000004"/>
    <n v="1779254.4044000013"/>
    <n v="1082.2715355231151"/>
    <n v="569"/>
    <s v="Low Value"/>
    <s v="Jan-2024"/>
    <s v="Women's Denim Jeans"/>
    <x v="4"/>
  </r>
  <r>
    <s v="PROD27"/>
    <s v="STORE0"/>
    <n v="3"/>
    <n v="158.72"/>
    <n v="0.13"/>
    <s v="Credit Card"/>
    <n v="414.25920000000002"/>
    <n v="1778639.0762000012"/>
    <n v="1082.5557371880714"/>
    <n v="569"/>
    <s v="Low Value"/>
    <s v="Sep-2024"/>
    <s v="Decorative Floor Vase"/>
    <x v="3"/>
  </r>
  <r>
    <s v="PROD60"/>
    <s v="STORE16"/>
    <n v="4"/>
    <n v="537.15"/>
    <n v="0.06"/>
    <s v="COD"/>
    <n v="2019.684"/>
    <n v="1778224.8170000012"/>
    <n v="1082.9627387332528"/>
    <n v="569"/>
    <s v="High Value"/>
    <s v="May-2024"/>
    <s v="Luxury Perfume Spray"/>
    <x v="2"/>
  </r>
  <r>
    <s v="PROD41"/>
    <s v="STORE9"/>
    <n v="3"/>
    <n v="771.7"/>
    <n v="0.05"/>
    <s v="COD"/>
    <n v="2199.3449999999998"/>
    <n v="1776205.1330000015"/>
    <n v="1082.3919152955525"/>
    <n v="569"/>
    <s v="High Value"/>
    <s v="Jul-2024"/>
    <s v="Yoga Exercise Mat"/>
    <x v="0"/>
  </r>
  <r>
    <s v="PROD88"/>
    <s v="STORE1"/>
    <n v="4"/>
    <n v="677.25"/>
    <n v="0.14000000000000001"/>
    <s v="PayPal"/>
    <n v="2329.7399999999998"/>
    <n v="1774005.7880000016"/>
    <n v="1081.7108463414643"/>
    <n v="569"/>
    <s v="High Value"/>
    <s v="Nov-2024"/>
    <s v="Sports Wrist Sweatbands"/>
    <x v="0"/>
  </r>
  <r>
    <s v="PROD98"/>
    <s v="STORE11"/>
    <n v="1"/>
    <n v="645.48"/>
    <n v="0.26"/>
    <s v="COD"/>
    <n v="477.65519999999998"/>
    <n v="1771676.0480000013"/>
    <n v="1080.9493886516177"/>
    <n v="568"/>
    <s v="Low Value"/>
    <s v="Apr-2025"/>
    <s v="Portable Bluetooth Speaker"/>
    <x v="1"/>
  </r>
  <r>
    <s v="PROD73"/>
    <s v="STORE2"/>
    <n v="2"/>
    <n v="934"/>
    <n v="0.3"/>
    <s v="COD"/>
    <n v="1307.5999999999999"/>
    <n v="1771198.3928000014"/>
    <n v="1081.3177001221011"/>
    <n v="568"/>
    <s v="High Value"/>
    <s v="Jul-2025"/>
    <s v="Shin Guards – Adult"/>
    <x v="0"/>
  </r>
  <r>
    <s v="PROD46"/>
    <s v="STORE2"/>
    <n v="1"/>
    <n v="669.53"/>
    <n v="0.2"/>
    <s v="Credit Card"/>
    <n v="535.62400000000002"/>
    <n v="1769890.7928000016"/>
    <n v="1081.1794702504592"/>
    <n v="568"/>
    <s v="Low Value"/>
    <s v="Feb-2025"/>
    <s v="Men's Winter Jacket"/>
    <x v="4"/>
  </r>
  <r>
    <s v="PROD35"/>
    <s v="STORE18"/>
    <n v="1"/>
    <n v="213.69"/>
    <n v="0.28000000000000003"/>
    <s v="COD"/>
    <n v="153.85679999999999"/>
    <n v="1769355.1688000015"/>
    <n v="1081.5129393643042"/>
    <n v="568"/>
    <s v="Low Value"/>
    <s v="Mar-2025"/>
    <s v="Bedroom Table Lamp"/>
    <x v="3"/>
  </r>
  <r>
    <s v="PROD21"/>
    <s v="STORE19"/>
    <n v="2"/>
    <n v="99.1"/>
    <n v="0.2"/>
    <s v="PayPal"/>
    <n v="158.56"/>
    <n v="1769201.3120000015"/>
    <n v="1082.0803131498481"/>
    <n v="568"/>
    <s v="Low Value"/>
    <s v="Feb-2025"/>
    <s v="Multi-Purpose Storage Box"/>
    <x v="3"/>
  </r>
  <r>
    <s v="PROD37"/>
    <s v="STORE16"/>
    <n v="1"/>
    <n v="628.98"/>
    <n v="0.03"/>
    <s v="COD"/>
    <n v="610.11059999999998"/>
    <n v="1769042.7520000015"/>
    <n v="1082.6455030599764"/>
    <n v="567"/>
    <s v="Low Value"/>
    <s v="Jun-2024"/>
    <s v="Men's Casual Sneakers"/>
    <x v="4"/>
  </r>
  <r>
    <s v="PROD84"/>
    <s v="STORE4"/>
    <n v="3"/>
    <n v="944.64"/>
    <n v="0.26"/>
    <s v="Credit Card"/>
    <n v="2097.1008000000002"/>
    <n v="1768432.6414000015"/>
    <n v="1082.9348691977964"/>
    <n v="567"/>
    <s v="High Value"/>
    <s v="Feb-2025"/>
    <s v="Wooden Bookshelf"/>
    <x v="3"/>
  </r>
  <r>
    <s v="PROD93"/>
    <s v="STORE12"/>
    <n v="2"/>
    <n v="121.7"/>
    <n v="0.06"/>
    <s v="COD"/>
    <n v="228.79599999999999"/>
    <n v="1766335.5406000013"/>
    <n v="1082.3134439950989"/>
    <n v="567"/>
    <s v="Low Value"/>
    <s v="Jun-2025"/>
    <s v="USB-C Laptop Charger"/>
    <x v="1"/>
  </r>
  <r>
    <s v="PROD65"/>
    <s v="STORE3"/>
    <n v="4"/>
    <n v="269.49"/>
    <n v="7.0000000000000007E-2"/>
    <s v="PayPal"/>
    <n v="1002.5028"/>
    <n v="1766106.7446000015"/>
    <n v="1082.8367532801972"/>
    <n v="567"/>
    <s v="High Value"/>
    <s v="Oct-2023"/>
    <s v="Adjustable Dumbbells 20kg"/>
    <x v="0"/>
  </r>
  <r>
    <s v="PROD22"/>
    <s v="STORE18"/>
    <n v="1"/>
    <n v="678.2"/>
    <n v="0.14000000000000001"/>
    <s v="Credit Card"/>
    <n v="583.25200000000007"/>
    <n v="1765104.2418000016"/>
    <n v="1082.8860379141115"/>
    <n v="566"/>
    <s v="Low Value"/>
    <s v="Mar-2025"/>
    <s v="Carbon Fiber Tennis Racket"/>
    <x v="0"/>
  </r>
  <r>
    <s v="PROD90"/>
    <s v="STORE13"/>
    <n v="1"/>
    <n v="752.45"/>
    <n v="0.21"/>
    <s v="COD"/>
    <n v="594.43550000000005"/>
    <n v="1764520.9898000015"/>
    <n v="1083.1927500306947"/>
    <n v="566"/>
    <s v="Low Value"/>
    <s v="Aug-2024"/>
    <s v="Gaming Mouse Pad XL"/>
    <x v="1"/>
  </r>
  <r>
    <s v="PROD94"/>
    <s v="STORE13"/>
    <n v="2"/>
    <n v="209.66"/>
    <n v="0.21"/>
    <s v="Credit Card"/>
    <n v="331.26280000000003"/>
    <n v="1763926.5543000014"/>
    <n v="1083.4929694717453"/>
    <n v="566"/>
    <s v="Low Value"/>
    <s v="Mar-2024"/>
    <s v="Vitamin E Body Lotion"/>
    <x v="2"/>
  </r>
  <r>
    <s v="PROD97"/>
    <s v="STORE19"/>
    <n v="2"/>
    <n v="739.95"/>
    <n v="0.1"/>
    <s v="COD"/>
    <n v="1331.91"/>
    <n v="1763595.2915000012"/>
    <n v="1083.9553113091588"/>
    <n v="566"/>
    <s v="High Value"/>
    <s v="Jan-2025"/>
    <s v="Cricket Bat"/>
    <x v="0"/>
  </r>
  <r>
    <s v="PROD45"/>
    <s v="STORE15"/>
    <n v="1"/>
    <n v="496.19"/>
    <n v="0.08"/>
    <s v="COD"/>
    <n v="456.4948"/>
    <n v="1762263.3815000013"/>
    <n v="1083.8028176506773"/>
    <n v="566"/>
    <s v="Low Value"/>
    <s v="Dec-2023"/>
    <s v="High-Grip Football"/>
    <x v="0"/>
  </r>
  <r>
    <s v="PROD9"/>
    <s v="STORE12"/>
    <n v="1"/>
    <n v="306.36"/>
    <n v="0.01"/>
    <s v="PayPal"/>
    <n v="303.29640000000001"/>
    <n v="1761806.8867000013"/>
    <n v="1084.188853353847"/>
    <n v="566"/>
    <s v="Low Value"/>
    <s v="Apr-2025"/>
    <s v="Adjustable Dumbbell Set"/>
    <x v="0"/>
  </r>
  <r>
    <s v="PROD73"/>
    <s v="STORE4"/>
    <n v="4"/>
    <n v="693.16"/>
    <n v="0.05"/>
    <s v="PayPal"/>
    <n v="2634.0079999999998"/>
    <n v="1761503.5903000012"/>
    <n v="1084.6696984605919"/>
    <n v="565"/>
    <s v="High Value"/>
    <s v="Jan-2024"/>
    <s v="Shin Guards – Adult"/>
    <x v="0"/>
  </r>
  <r>
    <s v="PROD83"/>
    <s v="STORE10"/>
    <n v="1"/>
    <n v="995.52"/>
    <n v="0.22"/>
    <s v="PayPal"/>
    <n v="776.50559999999996"/>
    <n v="1758869.5823000011"/>
    <n v="1083.715084596427"/>
    <n v="564"/>
    <s v="Low Value"/>
    <s v="Mar-2025"/>
    <s v="Hydrating Face Cleanser"/>
    <x v="2"/>
  </r>
  <r>
    <s v="PROD7"/>
    <s v="STORE18"/>
    <n v="4"/>
    <n v="241.32"/>
    <n v="0.28999999999999998"/>
    <s v="COD"/>
    <n v="685.34879999999998"/>
    <n v="1758093.076700001"/>
    <n v="1083.904486251542"/>
    <n v="563"/>
    <s v="Low Value"/>
    <s v="Aug-2024"/>
    <s v="LED Table Lamp"/>
    <x v="3"/>
  </r>
  <r>
    <s v="PROD78"/>
    <s v="STORE1"/>
    <n v="3"/>
    <n v="636.03"/>
    <n v="0.06"/>
    <s v="COD"/>
    <n v="1793.6045999999999"/>
    <n v="1757407.727900001"/>
    <n v="1084.1503565083287"/>
    <n v="563"/>
    <s v="High Value"/>
    <s v="Nov-2023"/>
    <s v="Essential Oil Diffuser"/>
    <x v="3"/>
  </r>
  <r>
    <s v="PROD4"/>
    <s v="STORE19"/>
    <n v="4"/>
    <n v="603.30999999999995"/>
    <n v="0.15"/>
    <s v="Credit Card"/>
    <n v="2051.2539999999999"/>
    <n v="1755614.123300001"/>
    <n v="1083.7124217901242"/>
    <n v="563"/>
    <s v="High Value"/>
    <s v="Dec-2023"/>
    <s v="Women's Yoga Pants"/>
    <x v="4"/>
  </r>
  <r>
    <s v="PROD89"/>
    <s v="STORE10"/>
    <n v="3"/>
    <n v="437.96"/>
    <n v="0.27"/>
    <s v="COD"/>
    <n v="959.13239999999985"/>
    <n v="1753562.8693000011"/>
    <n v="1083.114805003089"/>
    <n v="563"/>
    <s v="Low Value"/>
    <s v="May-2024"/>
    <s v="Face Foundation Kit"/>
    <x v="2"/>
  </r>
  <r>
    <s v="PROD34"/>
    <s v="STORE4"/>
    <n v="2"/>
    <n v="56.91"/>
    <n v="0.08"/>
    <s v="COD"/>
    <n v="104.7144"/>
    <n v="1752603.7369000011"/>
    <n v="1083.191431953029"/>
    <n v="563"/>
    <s v="Low Value"/>
    <s v="Jan-2024"/>
    <s v="Gaming Mechanical Keyboard"/>
    <x v="1"/>
  </r>
  <r>
    <s v="PROD76"/>
    <s v="STORE6"/>
    <n v="1"/>
    <n v="141.79"/>
    <n v="0.1"/>
    <s v="Credit Card"/>
    <n v="127.611"/>
    <n v="1752499.0225000011"/>
    <n v="1083.7965507111942"/>
    <n v="563"/>
    <s v="Low Value"/>
    <s v="Dec-2023"/>
    <s v="Wireless Mouse"/>
    <x v="1"/>
  </r>
  <r>
    <s v="PROD9"/>
    <s v="STORE15"/>
    <n v="4"/>
    <n v="355.14"/>
    <n v="0.16"/>
    <s v="COD"/>
    <n v="1193.2704000000001"/>
    <n v="1752371.4115000011"/>
    <n v="1084.3882496905946"/>
    <n v="563"/>
    <s v="High Value"/>
    <s v="Jan-2024"/>
    <s v="Adjustable Dumbbell Set"/>
    <x v="0"/>
  </r>
  <r>
    <s v="PROD38"/>
    <s v="STORE6"/>
    <n v="4"/>
    <n v="960.38"/>
    <n v="0.15"/>
    <s v="COD"/>
    <n v="3265.2919999999999"/>
    <n v="1751178.1411000011"/>
    <n v="1084.3208304024774"/>
    <n v="563"/>
    <s v="High Value"/>
    <s v="Sep-2025"/>
    <s v="Sports Water Hydration Pack"/>
    <x v="0"/>
  </r>
  <r>
    <s v="PROD69"/>
    <s v="STORE16"/>
    <n v="3"/>
    <n v="847.21"/>
    <n v="0.06"/>
    <s v="PayPal"/>
    <n v="2389.1322"/>
    <n v="1747912.8491000014"/>
    <n v="1082.969547149939"/>
    <n v="563"/>
    <s v="High Value"/>
    <s v="May-2024"/>
    <s v="Men's Sports Shorts"/>
    <x v="4"/>
  </r>
  <r>
    <s v="PROD80"/>
    <s v="STORE10"/>
    <n v="4"/>
    <n v="773.81"/>
    <n v="0.08"/>
    <s v="COD"/>
    <n v="2847.6208000000001"/>
    <n v="1745523.716900001"/>
    <n v="1082.1597748915071"/>
    <n v="562"/>
    <s v="High Value"/>
    <s v="Aug-2025"/>
    <s v="Wall-Mounted Spice Rack"/>
    <x v="3"/>
  </r>
  <r>
    <s v="PROD63"/>
    <s v="STORE16"/>
    <n v="1"/>
    <n v="664.71"/>
    <n v="0.1"/>
    <s v="PayPal"/>
    <n v="598.23900000000003"/>
    <n v="1742676.0961000011"/>
    <n v="1081.0645757444177"/>
    <n v="562"/>
    <s v="Low Value"/>
    <s v="May-2025"/>
    <s v="Organic Sunscreen Lotion"/>
    <x v="2"/>
  </r>
  <r>
    <s v="PROD37"/>
    <s v="STORE7"/>
    <n v="4"/>
    <n v="482.06"/>
    <n v="7.0000000000000007E-2"/>
    <s v="PayPal"/>
    <n v="1793.2632000000001"/>
    <n v="1742077.8571000011"/>
    <n v="1081.3642812538803"/>
    <n v="561"/>
    <s v="High Value"/>
    <s v="Nov-2023"/>
    <s v="Men's Casual Sneakers"/>
    <x v="4"/>
  </r>
  <r>
    <s v="PROD57"/>
    <s v="STORE3"/>
    <n v="4"/>
    <n v="995.55"/>
    <n v="0.19"/>
    <s v="PayPal"/>
    <n v="3225.5819999999999"/>
    <n v="1740284.5939000011"/>
    <n v="1080.922108012423"/>
    <n v="560"/>
    <s v="High Value"/>
    <s v="Mar-2025"/>
    <s v="Foam Roller"/>
    <x v="0"/>
  </r>
  <r>
    <s v="PROD93"/>
    <s v="STORE13"/>
    <n v="2"/>
    <n v="153.84"/>
    <n v="0.27"/>
    <s v="PayPal"/>
    <n v="224.60640000000001"/>
    <n v="1737059.0119000012"/>
    <n v="1079.5891932256068"/>
    <n v="559"/>
    <s v="Low Value"/>
    <s v="Jul-2024"/>
    <s v="USB-C Laptop Charger"/>
    <x v="1"/>
  </r>
  <r>
    <s v="PROD78"/>
    <s v="STORE6"/>
    <n v="3"/>
    <n v="362.11"/>
    <n v="0.23"/>
    <s v="COD"/>
    <n v="836.47409999999991"/>
    <n v="1736834.405500001"/>
    <n v="1080.1208989427867"/>
    <n v="558"/>
    <s v="Low Value"/>
    <s v="May-2025"/>
    <s v="Essential Oil Diffuser"/>
    <x v="3"/>
  </r>
  <r>
    <s v="PROD43"/>
    <s v="STORE8"/>
    <n v="3"/>
    <n v="112.26"/>
    <n v="0.11"/>
    <s v="Credit Card"/>
    <n v="299.73419999999999"/>
    <n v="1735997.931400001"/>
    <n v="1080.2725148724337"/>
    <n v="558"/>
    <s v="Low Value"/>
    <s v="Sep-2024"/>
    <s v="USB External Hard Drive"/>
    <x v="1"/>
  </r>
  <r>
    <s v="PROD94"/>
    <s v="STORE19"/>
    <n v="2"/>
    <n v="962.81"/>
    <n v="0.06"/>
    <s v="COD"/>
    <n v="1810.0827999999999"/>
    <n v="1735698.1972000012"/>
    <n v="1080.7585287671241"/>
    <n v="558"/>
    <s v="High Value"/>
    <s v="Mar-2024"/>
    <s v="Vitamin E Body Lotion"/>
    <x v="2"/>
  </r>
  <r>
    <s v="PROD21"/>
    <s v="STORE0"/>
    <n v="4"/>
    <n v="276.23"/>
    <n v="0.12"/>
    <s v="Credit Card"/>
    <n v="972.32960000000003"/>
    <n v="1733888.114400001"/>
    <n v="1080.3041211214959"/>
    <n v="558"/>
    <s v="Low Value"/>
    <s v="Jan-2024"/>
    <s v="Multi-Purpose Storage Box"/>
    <x v="3"/>
  </r>
  <r>
    <s v="PROD18"/>
    <s v="STORE14"/>
    <n v="3"/>
    <n v="991.37"/>
    <n v="0.1"/>
    <s v="PayPal"/>
    <n v="2676.6990000000001"/>
    <n v="1732915.784800001"/>
    <n v="1080.3714369077313"/>
    <n v="558"/>
    <s v="High Value"/>
    <s v="Apr-2024"/>
    <s v="Women's Denim Jeans"/>
    <x v="4"/>
  </r>
  <r>
    <s v="PROD21"/>
    <s v="STORE13"/>
    <n v="3"/>
    <n v="977.47"/>
    <n v="0.05"/>
    <s v="Credit Card"/>
    <n v="2785.7894999999999"/>
    <n v="1730239.0858000009"/>
    <n v="1079.3755993761702"/>
    <n v="557"/>
    <s v="High Value"/>
    <s v="Sep-2025"/>
    <s v="Multi-Purpose Storage Box"/>
    <x v="3"/>
  </r>
  <r>
    <s v="PROD94"/>
    <s v="STORE12"/>
    <n v="2"/>
    <n v="308.7"/>
    <n v="0.2"/>
    <s v="PayPal"/>
    <n v="493.92"/>
    <n v="1727453.296300001"/>
    <n v="1078.310422159801"/>
    <n v="557"/>
    <s v="Low Value"/>
    <s v="Jul-2025"/>
    <s v="Vitamin E Body Lotion"/>
    <x v="2"/>
  </r>
  <r>
    <s v="PROD6"/>
    <s v="STORE16"/>
    <n v="2"/>
    <n v="733.87"/>
    <n v="0.1"/>
    <s v="PayPal"/>
    <n v="1320.9659999999999"/>
    <n v="1726959.3763000008"/>
    <n v="1078.6754380387263"/>
    <n v="556"/>
    <s v="High Value"/>
    <s v="Oct-2024"/>
    <s v="Herbal Face Moisturizer"/>
    <x v="2"/>
  </r>
  <r>
    <s v="PROD19"/>
    <s v="STORE16"/>
    <n v="2"/>
    <n v="22.47"/>
    <n v="0.22"/>
    <s v="PayPal"/>
    <n v="35.053199999999997"/>
    <n v="1725638.4103000008"/>
    <n v="1078.5240064375005"/>
    <n v="555"/>
    <s v="Low Value"/>
    <s v="Oct-2023"/>
    <s v="Knee Support Brace"/>
    <x v="0"/>
  </r>
  <r>
    <s v="PROD57"/>
    <s v="STORE13"/>
    <n v="4"/>
    <n v="651.36"/>
    <n v="0.13"/>
    <s v="Credit Card"/>
    <n v="2266.7328000000002"/>
    <n v="1725603.3571000008"/>
    <n v="1079.1765835522206"/>
    <n v="554"/>
    <s v="High Value"/>
    <s v="Mar-2024"/>
    <s v="Foam Roller"/>
    <x v="0"/>
  </r>
  <r>
    <s v="PROD14"/>
    <s v="STORE10"/>
    <n v="1"/>
    <n v="753.39"/>
    <n v="0.04"/>
    <s v="COD"/>
    <n v="723.25439999999992"/>
    <n v="1723336.624300001"/>
    <n v="1078.4334319774725"/>
    <n v="554"/>
    <s v="Low Value"/>
    <s v="Jun-2025"/>
    <s v="Decorative Wall Mirror"/>
    <x v="3"/>
  </r>
  <r>
    <s v="PROD71"/>
    <s v="STORE12"/>
    <n v="4"/>
    <n v="849.17"/>
    <n v="0.12"/>
    <s v="COD"/>
    <n v="2989.0783999999999"/>
    <n v="1722613.369900001"/>
    <n v="1078.6558358797752"/>
    <n v="554"/>
    <s v="High Value"/>
    <s v="Oct-2024"/>
    <s v="Hair Repair Oil Treatment"/>
    <x v="2"/>
  </r>
  <r>
    <s v="PROD20"/>
    <s v="STORE0"/>
    <n v="4"/>
    <n v="585.45000000000005"/>
    <n v="0.25"/>
    <s v="COD"/>
    <n v="1756.35"/>
    <n v="1719624.2915000007"/>
    <n v="1077.458829260652"/>
    <n v="554"/>
    <s v="High Value"/>
    <s v="Jul-2024"/>
    <s v="Outdoor Sports Water Bottle"/>
    <x v="0"/>
  </r>
  <r>
    <s v="PROD75"/>
    <s v="STORE16"/>
    <n v="1"/>
    <n v="745.15"/>
    <n v="0.25"/>
    <s v="COD"/>
    <n v="558.86249999999995"/>
    <n v="1717867.9415000007"/>
    <n v="1077.0331921630097"/>
    <n v="554"/>
    <s v="Low Value"/>
    <s v="Dec-2024"/>
    <s v="Women's Ankle Boots"/>
    <x v="4"/>
  </r>
  <r>
    <s v="PROD99"/>
    <s v="STORE2"/>
    <n v="1"/>
    <n v="848.69"/>
    <n v="0.04"/>
    <s v="COD"/>
    <n v="814.74239999999998"/>
    <n v="1717309.0790000006"/>
    <n v="1077.3582678795487"/>
    <n v="554"/>
    <s v="Low Value"/>
    <s v="Nov-2023"/>
    <s v="Stainless Steel Cookware Set"/>
    <x v="3"/>
  </r>
  <r>
    <s v="PROD70"/>
    <s v="STORE14"/>
    <n v="2"/>
    <n v="247.67"/>
    <n v="0.1"/>
    <s v="PayPal"/>
    <n v="445.80599999999998"/>
    <n v="1716494.3366000005"/>
    <n v="1077.523124042687"/>
    <n v="554"/>
    <s v="Low Value"/>
    <s v="Feb-2024"/>
    <s v="Kitchen Storage Rack"/>
    <x v="3"/>
  </r>
  <r>
    <s v="PROD74"/>
    <s v="STORE3"/>
    <n v="3"/>
    <n v="220.51"/>
    <n v="0.02"/>
    <s v="PayPal"/>
    <n v="648.29939999999999"/>
    <n v="1716048.5306000004"/>
    <n v="1077.9199312814073"/>
    <n v="553"/>
    <s v="Low Value"/>
    <s v="Jun-2024"/>
    <s v="Bluetooth Car Audio System"/>
    <x v="1"/>
  </r>
  <r>
    <s v="PROD15"/>
    <s v="STORE16"/>
    <n v="4"/>
    <n v="370.63"/>
    <n v="0.08"/>
    <s v="Credit Card"/>
    <n v="1363.9184"/>
    <n v="1715400.2312000005"/>
    <n v="1078.1899630421121"/>
    <n v="552"/>
    <s v="High Value"/>
    <s v="Jun-2025"/>
    <s v="4K Home Projector"/>
    <x v="1"/>
  </r>
  <r>
    <s v="PROD29"/>
    <s v="STORE19"/>
    <n v="4"/>
    <n v="349.84"/>
    <n v="0.11"/>
    <s v="Credit Card"/>
    <n v="1245.4304"/>
    <n v="1714036.3128000004"/>
    <n v="1078.0102596226418"/>
    <n v="552"/>
    <s v="High Value"/>
    <s v="Feb-2025"/>
    <s v="Fabric Sofa Throw Blanket"/>
    <x v="3"/>
  </r>
  <r>
    <s v="PROD39"/>
    <s v="STORE12"/>
    <n v="1"/>
    <n v="770.87"/>
    <n v="0.1"/>
    <s v="COD"/>
    <n v="693.78300000000002"/>
    <n v="1712790.8824000002"/>
    <n v="1077.9048976714917"/>
    <n v="552"/>
    <s v="Low Value"/>
    <s v="Jun-2025"/>
    <s v="Portable Power Bank"/>
    <x v="1"/>
  </r>
  <r>
    <s v="PROD99"/>
    <s v="STORE17"/>
    <n v="3"/>
    <n v="507.33"/>
    <n v="0.06"/>
    <s v="PayPal"/>
    <n v="1430.6705999999999"/>
    <n v="1712097.0994000002"/>
    <n v="1078.1467880352645"/>
    <n v="552"/>
    <s v="High Value"/>
    <s v="Aug-2024"/>
    <s v="Stainless Steel Cookware Set"/>
    <x v="3"/>
  </r>
  <r>
    <s v="PROD66"/>
    <s v="STORE9"/>
    <n v="1"/>
    <n v="87.78"/>
    <n v="0.06"/>
    <s v="Credit Card"/>
    <n v="82.513199999999998"/>
    <n v="1710666.4288000003"/>
    <n v="1077.9246558286077"/>
    <n v="551"/>
    <s v="Low Value"/>
    <s v="Jul-2025"/>
    <s v="Women's Hair Dryer Brush"/>
    <x v="2"/>
  </r>
  <r>
    <s v="PROD93"/>
    <s v="STORE4"/>
    <n v="2"/>
    <n v="772.24"/>
    <n v="0.22"/>
    <s v="Credit Card"/>
    <n v="1204.6944000000001"/>
    <n v="1710583.9156000004"/>
    <n v="1078.5522796973521"/>
    <n v="551"/>
    <s v="High Value"/>
    <s v="Jan-2025"/>
    <s v="USB-C Laptop Charger"/>
    <x v="1"/>
  </r>
  <r>
    <s v="PROD70"/>
    <s v="STORE14"/>
    <n v="1"/>
    <n v="108.27"/>
    <n v="0.1"/>
    <s v="COD"/>
    <n v="97.442999999999998"/>
    <n v="1709379.2212000003"/>
    <n v="1078.4726947634072"/>
    <n v="551"/>
    <s v="Low Value"/>
    <s v="Jun-2025"/>
    <s v="Kitchen Storage Rack"/>
    <x v="3"/>
  </r>
  <r>
    <s v="PROD38"/>
    <s v="STORE17"/>
    <n v="2"/>
    <n v="839.24"/>
    <n v="0.21"/>
    <s v="PayPal"/>
    <n v="1325.9992"/>
    <n v="1709281.7782000003"/>
    <n v="1079.0920316919194"/>
    <n v="551"/>
    <s v="High Value"/>
    <s v="Dec-2024"/>
    <s v="Sports Water Hydration Pack"/>
    <x v="0"/>
  </r>
  <r>
    <s v="PROD58"/>
    <s v="STORE10"/>
    <n v="2"/>
    <n v="466.27"/>
    <n v="0.11"/>
    <s v="PayPal"/>
    <n v="829.9606"/>
    <n v="1707955.7790000003"/>
    <n v="1078.9360574857867"/>
    <n v="550"/>
    <s v="Low Value"/>
    <s v="Feb-2024"/>
    <s v="Womens Cotton Scarf"/>
    <x v="4"/>
  </r>
  <r>
    <s v="PROD62"/>
    <s v="STORE14"/>
    <n v="3"/>
    <n v="969.83"/>
    <n v="0.02"/>
    <s v="Credit Card"/>
    <n v="2851.3002000000001"/>
    <n v="1707125.8184000002"/>
    <n v="1079.0934376738307"/>
    <n v="549"/>
    <s v="High Value"/>
    <s v="Oct-2025"/>
    <s v="Laptop Cooling Pad"/>
    <x v="1"/>
  </r>
  <r>
    <s v="PROD91"/>
    <s v="STORE19"/>
    <n v="2"/>
    <n v="782.11"/>
    <n v="0.17"/>
    <s v="PayPal"/>
    <n v="1298.3026"/>
    <n v="1704274.5182"/>
    <n v="1077.9724972802023"/>
    <n v="549"/>
    <s v="High Value"/>
    <s v="Jun-2025"/>
    <s v="Women's High Heels"/>
    <x v="4"/>
  </r>
  <r>
    <s v="PROD40"/>
    <s v="STORE11"/>
    <n v="2"/>
    <n v="74.63"/>
    <n v="0.01"/>
    <s v="PayPal"/>
    <n v="147.76740000000001"/>
    <n v="1702976.2155999998"/>
    <n v="1077.8330478481012"/>
    <n v="548"/>
    <s v="Low Value"/>
    <s v="Sep-2025"/>
    <s v="Noise-Canceling Headphones"/>
    <x v="1"/>
  </r>
  <r>
    <s v="PROD85"/>
    <s v="STORE6"/>
    <n v="3"/>
    <n v="522.78"/>
    <n v="0.25"/>
    <s v="PayPal"/>
    <n v="1176.2550000000001"/>
    <n v="1702828.4481999998"/>
    <n v="1078.4220697910068"/>
    <n v="547"/>
    <s v="High Value"/>
    <s v="Sep-2025"/>
    <s v="Women's Beanie Hat"/>
    <x v="4"/>
  </r>
  <r>
    <s v="PROD13"/>
    <s v="STORE15"/>
    <n v="1"/>
    <n v="206.45"/>
    <n v="0.15"/>
    <s v="PayPal"/>
    <n v="175.48249999999999"/>
    <n v="1701652.1931999999"/>
    <n v="1078.3600717363752"/>
    <n v="546"/>
    <s v="Low Value"/>
    <s v="Jul-2025"/>
    <s v="USB-C Fast Charger"/>
    <x v="1"/>
  </r>
  <r>
    <s v="PROD69"/>
    <s v="STORE5"/>
    <n v="1"/>
    <n v="815.53"/>
    <n v="0.3"/>
    <s v="PayPal"/>
    <n v="570.87099999999998"/>
    <n v="1701476.7106999997"/>
    <n v="1078.9326003170574"/>
    <n v="545"/>
    <s v="Low Value"/>
    <s v="Oct-2024"/>
    <s v="Men's Sports Shorts"/>
    <x v="4"/>
  </r>
  <r>
    <s v="PROD79"/>
    <s v="STORE13"/>
    <n v="1"/>
    <n v="823.61"/>
    <n v="0.28000000000000003"/>
    <s v="COD"/>
    <n v="592.99919999999997"/>
    <n v="1700905.8396999997"/>
    <n v="1079.2549744289338"/>
    <n v="544"/>
    <s v="Low Value"/>
    <s v="Oct-2023"/>
    <s v="Decorative Lamp Shade"/>
    <x v="3"/>
  </r>
  <r>
    <s v="PROD87"/>
    <s v="STORE9"/>
    <n v="2"/>
    <n v="209.96"/>
    <n v="0"/>
    <s v="Credit Card"/>
    <n v="419.92"/>
    <n v="1700312.8404999997"/>
    <n v="1079.5637082539681"/>
    <n v="544"/>
    <s v="Low Value"/>
    <s v="May-2025"/>
    <s v="LED Bedside Lamp"/>
    <x v="3"/>
  </r>
  <r>
    <s v="PROD0"/>
    <s v="STORE16"/>
    <n v="4"/>
    <n v="897.93"/>
    <n v="0.05"/>
    <s v="COD"/>
    <n v="3412.134"/>
    <n v="1699892.9204999998"/>
    <n v="1079.982795743329"/>
    <n v="544"/>
    <s v="High Value"/>
    <s v="Jun-2024"/>
    <s v="Brother Laser Printer"/>
    <x v="1"/>
  </r>
  <r>
    <s v="PROD63"/>
    <s v="STORE0"/>
    <n v="4"/>
    <n v="925.95"/>
    <n v="0.16"/>
    <s v="COD"/>
    <n v="3111.192"/>
    <n v="1696480.7864999999"/>
    <n v="1078.5001821360456"/>
    <n v="544"/>
    <s v="High Value"/>
    <s v="Dec-2024"/>
    <s v="Organic Sunscreen Lotion"/>
    <x v="2"/>
  </r>
  <r>
    <s v="PROD51"/>
    <s v="STORE6"/>
    <n v="2"/>
    <n v="573.09"/>
    <n v="0.03"/>
    <s v="COD"/>
    <n v="1111.7945999999999"/>
    <n v="1693369.5945000001"/>
    <n v="1077.2071211832063"/>
    <n v="544"/>
    <s v="High Value"/>
    <s v="Aug-2024"/>
    <s v="HDMI Cable – 2m"/>
    <x v="1"/>
  </r>
  <r>
    <s v="PROD7"/>
    <s v="STORE4"/>
    <n v="4"/>
    <n v="149.83000000000001"/>
    <n v="0.02"/>
    <s v="Credit Card"/>
    <n v="587.33360000000005"/>
    <n v="1692257.7999"/>
    <n v="1077.1851049649904"/>
    <n v="544"/>
    <s v="Low Value"/>
    <s v="Mar-2025"/>
    <s v="LED Table Lamp"/>
    <x v="3"/>
  </r>
  <r>
    <s v="PROD51"/>
    <s v="STORE14"/>
    <n v="3"/>
    <n v="287.70999999999998"/>
    <n v="0.03"/>
    <s v="COD"/>
    <n v="837.23609999999985"/>
    <n v="1691670.4663000002"/>
    <n v="1077.4971122929937"/>
    <n v="544"/>
    <s v="Low Value"/>
    <s v="Jun-2024"/>
    <s v="HDMI Cable – 2m"/>
    <x v="1"/>
  </r>
  <r>
    <s v="PROD67"/>
    <s v="STORE6"/>
    <n v="2"/>
    <n v="849.8"/>
    <n v="0.06"/>
    <s v="COD"/>
    <n v="1597.624"/>
    <n v="1690833.2301999999"/>
    <n v="1077.650242319949"/>
    <n v="544"/>
    <s v="High Value"/>
    <s v="Jul-2025"/>
    <s v="Smart LED Light Strip"/>
    <x v="1"/>
  </r>
  <r>
    <s v="PROD41"/>
    <s v="STORE3"/>
    <n v="3"/>
    <n v="482.58"/>
    <n v="0.28000000000000003"/>
    <s v="PayPal"/>
    <n v="1042.3728000000001"/>
    <n v="1689235.6062"/>
    <n v="1077.3186264030612"/>
    <n v="544"/>
    <s v="High Value"/>
    <s v="Mar-2025"/>
    <s v="Yoga Exercise Mat"/>
    <x v="0"/>
  </r>
  <r>
    <s v="PROD59"/>
    <s v="STORE2"/>
    <n v="2"/>
    <n v="64.7"/>
    <n v="0"/>
    <s v="Credit Card"/>
    <n v="129.4"/>
    <n v="1688193.2334"/>
    <n v="1077.3409275047861"/>
    <n v="543"/>
    <s v="Low Value"/>
    <s v="Feb-2025"/>
    <s v="Men's Hair Styling Gel"/>
    <x v="2"/>
  </r>
  <r>
    <s v="PROD5"/>
    <s v="STORE5"/>
    <n v="3"/>
    <n v="589.83000000000004"/>
    <n v="0.26"/>
    <s v="Credit Card"/>
    <n v="1309.4226000000001"/>
    <n v="1688063.8334000001"/>
    <n v="1077.9462537675608"/>
    <n v="543"/>
    <s v="High Value"/>
    <s v="Dec-2023"/>
    <s v="Men's Leather Belt"/>
    <x v="4"/>
  </r>
  <r>
    <s v="PROD3"/>
    <s v="STORE9"/>
    <n v="4"/>
    <n v="758.49"/>
    <n v="0.16"/>
    <s v="COD"/>
    <n v="2548.5264000000002"/>
    <n v="1686754.4108000002"/>
    <n v="1077.7983455591057"/>
    <n v="543"/>
    <s v="High Value"/>
    <s v="Aug-2025"/>
    <s v="Men's Running Jacket"/>
    <x v="4"/>
  </r>
  <r>
    <s v="PROD37"/>
    <s v="STORE12"/>
    <n v="4"/>
    <n v="747.56"/>
    <n v="0.09"/>
    <s v="COD"/>
    <n v="2721.1183999999998"/>
    <n v="1684205.8844000003"/>
    <n v="1076.8579823529415"/>
    <n v="543"/>
    <s v="High Value"/>
    <s v="Sep-2024"/>
    <s v="Men's Casual Sneakers"/>
    <x v="4"/>
  </r>
  <r>
    <s v="PROD40"/>
    <s v="STORE17"/>
    <n v="3"/>
    <n v="551.22"/>
    <n v="0.12"/>
    <s v="PayPal"/>
    <n v="1455.2208000000001"/>
    <n v="1681484.7660000003"/>
    <n v="1075.8059923224571"/>
    <n v="543"/>
    <s v="High Value"/>
    <s v="Jun-2025"/>
    <s v="Noise-Canceling Headphones"/>
    <x v="1"/>
  </r>
  <r>
    <s v="PROD69"/>
    <s v="STORE14"/>
    <n v="2"/>
    <n v="527.05999999999995"/>
    <n v="0.17"/>
    <s v="PayPal"/>
    <n v="874.91959999999983"/>
    <n v="1680029.5452000003"/>
    <n v="1075.5630891165174"/>
    <n v="542"/>
    <s v="Low Value"/>
    <s v="Jun-2025"/>
    <s v="Men's Sports Shorts"/>
    <x v="4"/>
  </r>
  <r>
    <s v="PROD62"/>
    <s v="STORE5"/>
    <n v="4"/>
    <n v="875.41"/>
    <n v="0.27"/>
    <s v="Credit Card"/>
    <n v="2556.1972000000001"/>
    <n v="1679154.6256000004"/>
    <n v="1075.6916243433698"/>
    <n v="541"/>
    <s v="High Value"/>
    <s v="Jan-2025"/>
    <s v="Laptop Cooling Pad"/>
    <x v="1"/>
  </r>
  <r>
    <s v="PROD85"/>
    <s v="STORE0"/>
    <n v="2"/>
    <n v="226.43"/>
    <n v="0.03"/>
    <s v="Credit Card"/>
    <n v="439.27420000000001"/>
    <n v="1676598.4284000003"/>
    <n v="1074.7425823076926"/>
    <n v="541"/>
    <s v="Low Value"/>
    <s v="Mar-2025"/>
    <s v="Women's Beanie Hat"/>
    <x v="4"/>
  </r>
  <r>
    <s v="PROD79"/>
    <s v="STORE5"/>
    <n v="2"/>
    <n v="285.39"/>
    <n v="0.1"/>
    <s v="Credit Card"/>
    <n v="513.702"/>
    <n v="1676159.1542000002"/>
    <n v="1075.1501951250802"/>
    <n v="541"/>
    <s v="Low Value"/>
    <s v="Jul-2024"/>
    <s v="Decorative Lamp Shade"/>
    <x v="3"/>
  </r>
  <r>
    <s v="PROD11"/>
    <s v="STORE15"/>
    <n v="2"/>
    <n v="298.01"/>
    <n v="0.05"/>
    <s v="Credit Card"/>
    <n v="566.21899999999994"/>
    <n v="1675645.4522000002"/>
    <n v="1075.5105598202824"/>
    <n v="541"/>
    <s v="Low Value"/>
    <s v="Sep-2025"/>
    <s v="HD Smart TV Stick"/>
    <x v="1"/>
  </r>
  <r>
    <s v="PROD40"/>
    <s v="STORE4"/>
    <n v="4"/>
    <n v="753.49"/>
    <n v="0.26"/>
    <s v="COD"/>
    <n v="2230.3303999999998"/>
    <n v="1675079.2332000004"/>
    <n v="1075.8376578034683"/>
    <n v="541"/>
    <s v="High Value"/>
    <s v="Nov-2024"/>
    <s v="Noise-Canceling Headphones"/>
    <x v="1"/>
  </r>
  <r>
    <s v="PROD78"/>
    <s v="STORE12"/>
    <n v="2"/>
    <n v="130.38999999999999"/>
    <n v="0.17"/>
    <s v="PayPal"/>
    <n v="216.44739999999999"/>
    <n v="1672848.9028000003"/>
    <n v="1075.0956958868896"/>
    <n v="541"/>
    <s v="Low Value"/>
    <s v="Jun-2024"/>
    <s v="Essential Oil Diffuser"/>
    <x v="3"/>
  </r>
  <r>
    <s v="PROD22"/>
    <s v="STORE9"/>
    <n v="4"/>
    <n v="164.02"/>
    <n v="0.01"/>
    <s v="PayPal"/>
    <n v="649.51920000000007"/>
    <n v="1672632.4554000003"/>
    <n v="1075.6478812861737"/>
    <n v="540"/>
    <s v="Low Value"/>
    <s v="Feb-2025"/>
    <s v="Carbon Fiber Tennis Racket"/>
    <x v="0"/>
  </r>
  <r>
    <s v="PROD29"/>
    <s v="STORE4"/>
    <n v="2"/>
    <n v="527.51"/>
    <n v="0.18"/>
    <s v="PayPal"/>
    <n v="865.1164"/>
    <n v="1671982.9362000003"/>
    <n v="1075.9220953667957"/>
    <n v="539"/>
    <s v="Low Value"/>
    <s v="Sep-2024"/>
    <s v="Fabric Sofa Throw Blanket"/>
    <x v="3"/>
  </r>
  <r>
    <s v="PROD57"/>
    <s v="STORE13"/>
    <n v="3"/>
    <n v="628.17999999999995"/>
    <n v="0.26"/>
    <s v="Credit Card"/>
    <n v="1394.5596"/>
    <n v="1671117.8198000004"/>
    <n v="1076.0578363168065"/>
    <n v="538"/>
    <s v="High Value"/>
    <s v="Oct-2025"/>
    <s v="Foam Roller"/>
    <x v="0"/>
  </r>
  <r>
    <s v="PROD56"/>
    <s v="STORE3"/>
    <n v="1"/>
    <n v="862.31"/>
    <n v="0.06"/>
    <s v="Credit Card"/>
    <n v="810.57139999999993"/>
    <n v="1669723.2602000001"/>
    <n v="1075.8526161082475"/>
    <n v="538"/>
    <s v="Low Value"/>
    <s v="Sep-2024"/>
    <s v="Premium Blanket Throw"/>
    <x v="3"/>
  </r>
  <r>
    <s v="PROD83"/>
    <s v="STORE14"/>
    <n v="2"/>
    <n v="541.39"/>
    <n v="0.03"/>
    <s v="COD"/>
    <n v="1050.2965999999999"/>
    <n v="1668912.6888000004"/>
    <n v="1076.023654932302"/>
    <n v="538"/>
    <s v="High Value"/>
    <s v="May-2025"/>
    <s v="Hydrating Face Cleanser"/>
    <x v="2"/>
  </r>
  <r>
    <s v="PROD76"/>
    <s v="STORE16"/>
    <n v="3"/>
    <n v="761.8"/>
    <n v="0.06"/>
    <s v="COD"/>
    <n v="2148.2759999999989"/>
    <n v="1667862.3922000004"/>
    <n v="1076.0402530322583"/>
    <n v="538"/>
    <s v="High Value"/>
    <s v="Jun-2025"/>
    <s v="Wireless Mouse"/>
    <x v="1"/>
  </r>
  <r>
    <s v="PROD49"/>
    <s v="STORE2"/>
    <n v="4"/>
    <n v="829.36"/>
    <n v="0.11"/>
    <s v="PayPal"/>
    <n v="2952.5216"/>
    <n v="1665714.1162000005"/>
    <n v="1075.3480414460946"/>
    <n v="538"/>
    <s v="High Value"/>
    <s v="Aug-2024"/>
    <s v="Men's Roll-On Perfume"/>
    <x v="2"/>
  </r>
  <r>
    <s v="PROD23"/>
    <s v="STORE16"/>
    <n v="2"/>
    <n v="425.06"/>
    <n v="0.09"/>
    <s v="PayPal"/>
    <n v="773.60919999999999"/>
    <n v="1662761.5946000007"/>
    <n v="1074.1353970284242"/>
    <n v="537"/>
    <s v="Low Value"/>
    <s v="Jun-2024"/>
    <s v="Men's Formal Shirt"/>
    <x v="4"/>
  </r>
  <r>
    <s v="PROD55"/>
    <s v="STORE0"/>
    <n v="2"/>
    <n v="911.14"/>
    <n v="0.1"/>
    <s v="Credit Card"/>
    <n v="1640.0519999999999"/>
    <n v="1661987.9854000008"/>
    <n v="1074.3296608920496"/>
    <n v="536"/>
    <s v="High Value"/>
    <s v="Jan-2024"/>
    <s v="Ceramic Plant Pot"/>
    <x v="3"/>
  </r>
  <r>
    <s v="PROD68"/>
    <s v="STORE8"/>
    <n v="3"/>
    <n v="811.96"/>
    <n v="0.28999999999999998"/>
    <s v="Credit Card"/>
    <n v="1729.4748"/>
    <n v="1660347.9334000009"/>
    <n v="1073.9637344113848"/>
    <n v="536"/>
    <s v="High Value"/>
    <s v="Sep-2025"/>
    <s v="Wooden Nightstand"/>
    <x v="3"/>
  </r>
  <r>
    <s v="PROD31"/>
    <s v="STORE10"/>
    <n v="2"/>
    <n v="780.05"/>
    <n v="0.12"/>
    <s v="COD"/>
    <n v="1372.8879999999999"/>
    <n v="1658618.4586000009"/>
    <n v="1073.5394554045313"/>
    <n v="536"/>
    <s v="High Value"/>
    <s v="Mar-2024"/>
    <s v="Basketball"/>
    <x v="0"/>
  </r>
  <r>
    <s v="PROD32"/>
    <s v="STORE9"/>
    <n v="4"/>
    <n v="315.95"/>
    <n v="0.19"/>
    <s v="COD"/>
    <n v="1023.678"/>
    <n v="1657245.5706000009"/>
    <n v="1073.345576813472"/>
    <n v="536"/>
    <s v="High Value"/>
    <s v="Aug-2024"/>
    <s v="Vitamin C Face Serum"/>
    <x v="2"/>
  </r>
  <r>
    <s v="PROD52"/>
    <s v="STORE9"/>
    <n v="2"/>
    <n v="810.17"/>
    <n v="0.27"/>
    <s v="Credit Card"/>
    <n v="1182.8481999999999"/>
    <n v="1656221.8926000011"/>
    <n v="1073.3777657809469"/>
    <n v="536"/>
    <s v="High Value"/>
    <s v="May-2025"/>
    <s v="Rugby Ball"/>
    <x v="0"/>
  </r>
  <r>
    <s v="PROD84"/>
    <s v="STORE4"/>
    <n v="3"/>
    <n v="505.01"/>
    <n v="0.02"/>
    <s v="PayPal"/>
    <n v="1484.7293999999999"/>
    <n v="1655039.0444000009"/>
    <n v="1073.3067732814532"/>
    <n v="536"/>
    <s v="High Value"/>
    <s v="Apr-2024"/>
    <s v="Wooden Bookshelf"/>
    <x v="3"/>
  </r>
  <r>
    <s v="PROD72"/>
    <s v="STORE17"/>
    <n v="2"/>
    <n v="736.75"/>
    <n v="0.18"/>
    <s v="Credit Card"/>
    <n v="1208.27"/>
    <n v="1653554.3150000009"/>
    <n v="1073.0397890979889"/>
    <n v="535"/>
    <s v="High Value"/>
    <s v="Jan-2024"/>
    <s v="Professional Jump Rope"/>
    <x v="0"/>
  </r>
  <r>
    <s v="PROD77"/>
    <s v="STORE9"/>
    <n v="4"/>
    <n v="700.31"/>
    <n v="0.2"/>
    <s v="PayPal"/>
    <n v="2240.9920000000002"/>
    <n v="1652346.0450000009"/>
    <n v="1072.9519772727278"/>
    <n v="535"/>
    <s v="High Value"/>
    <s v="Jan-2024"/>
    <s v="WiFi Mesh Router"/>
    <x v="1"/>
  </r>
  <r>
    <s v="PROD91"/>
    <s v="STORE11"/>
    <n v="4"/>
    <n v="202.46"/>
    <n v="0.24"/>
    <s v="Credit Card"/>
    <n v="615.47840000000008"/>
    <n v="1650105.0530000008"/>
    <n v="1072.1930168940876"/>
    <n v="534"/>
    <s v="Low Value"/>
    <s v="Dec-2023"/>
    <s v="Women's High Heels"/>
    <x v="4"/>
  </r>
  <r>
    <s v="PROD87"/>
    <s v="STORE1"/>
    <n v="2"/>
    <n v="291.83999999999997"/>
    <n v="0.25"/>
    <s v="PayPal"/>
    <n v="437.76"/>
    <n v="1649489.5746000006"/>
    <n v="1072.4899704811448"/>
    <n v="534"/>
    <s v="Low Value"/>
    <s v="Dec-2023"/>
    <s v="LED Bedside Lamp"/>
    <x v="3"/>
  </r>
  <r>
    <s v="PROD97"/>
    <s v="STORE5"/>
    <n v="2"/>
    <n v="261.48"/>
    <n v="0.17"/>
    <s v="Credit Card"/>
    <n v="434.05680000000001"/>
    <n v="1649051.8146000009"/>
    <n v="1072.9029372804171"/>
    <n v="533"/>
    <s v="Low Value"/>
    <s v="Nov-2023"/>
    <s v="Cricket Bat"/>
    <x v="0"/>
  </r>
  <r>
    <s v="PROD36"/>
    <s v="STORE14"/>
    <n v="1"/>
    <n v="850.83"/>
    <n v="0.28000000000000003"/>
    <s v="PayPal"/>
    <n v="612.59760000000006"/>
    <n v="1648617.7578000007"/>
    <n v="1073.3188527343755"/>
    <n v="533"/>
    <s v="Low Value"/>
    <s v="Oct-2025"/>
    <s v="Women's Summer Dress"/>
    <x v="4"/>
  </r>
  <r>
    <s v="PROD46"/>
    <s v="STORE9"/>
    <n v="1"/>
    <n v="83.83"/>
    <n v="0.05"/>
    <s v="Credit Card"/>
    <n v="79.638499999999993"/>
    <n v="1648005.1602000007"/>
    <n v="1073.6189968729645"/>
    <n v="532"/>
    <s v="Low Value"/>
    <s v="Feb-2025"/>
    <s v="Men's Winter Jacket"/>
    <x v="4"/>
  </r>
  <r>
    <s v="PROD88"/>
    <s v="STORE16"/>
    <n v="3"/>
    <n v="649.95000000000005"/>
    <n v="0.28000000000000003"/>
    <s v="COD"/>
    <n v="1403.8920000000001"/>
    <n v="1647925.5217000009"/>
    <n v="1074.2669632985665"/>
    <n v="532"/>
    <s v="High Value"/>
    <s v="Feb-2025"/>
    <s v="Sports Wrist Sweatbands"/>
    <x v="0"/>
  </r>
  <r>
    <s v="PROD73"/>
    <s v="STORE6"/>
    <n v="4"/>
    <n v="934.96"/>
    <n v="0.18"/>
    <s v="PayPal"/>
    <n v="3066.6687999999999"/>
    <n v="1646521.6297000009"/>
    <n v="1074.0519437051539"/>
    <n v="532"/>
    <s v="High Value"/>
    <s v="Sep-2024"/>
    <s v="Shin Guards – Adult"/>
    <x v="0"/>
  </r>
  <r>
    <s v="PROD17"/>
    <s v="STORE14"/>
    <n v="1"/>
    <n v="880.89"/>
    <n v="0.13"/>
    <s v="COD"/>
    <n v="766.37429999999995"/>
    <n v="1643454.960900001"/>
    <n v="1072.7512799608362"/>
    <n v="531"/>
    <s v="Low Value"/>
    <s v="Dec-2023"/>
    <s v="Soccer Training Cone Set"/>
    <x v="0"/>
  </r>
  <r>
    <s v="PROD98"/>
    <s v="STORE8"/>
    <n v="4"/>
    <n v="610.6"/>
    <n v="0.1"/>
    <s v="PayPal"/>
    <n v="2198.16"/>
    <n v="1642688.586600001"/>
    <n v="1072.9513955584591"/>
    <n v="531"/>
    <s v="High Value"/>
    <s v="Nov-2024"/>
    <s v="Portable Bluetooth Speaker"/>
    <x v="1"/>
  </r>
  <r>
    <s v="PROD28"/>
    <s v="STORE18"/>
    <n v="1"/>
    <n v="514.19000000000005"/>
    <n v="0.2"/>
    <s v="Credit Card"/>
    <n v="411.35200000000009"/>
    <n v="1640490.4266000011"/>
    <n v="1072.21596509804"/>
    <n v="530"/>
    <s v="Low Value"/>
    <s v="Sep-2025"/>
    <s v="Sports Stopwatch Timer"/>
    <x v="0"/>
  </r>
  <r>
    <s v="PROD37"/>
    <s v="STORE13"/>
    <n v="1"/>
    <n v="546.20000000000005"/>
    <n v="0.22"/>
    <s v="PayPal"/>
    <n v="426.03600000000012"/>
    <n v="1640079.0746000013"/>
    <n v="1072.6481848266849"/>
    <n v="530"/>
    <s v="Low Value"/>
    <s v="Jan-2025"/>
    <s v="Men's Casual Sneakers"/>
    <x v="4"/>
  </r>
  <r>
    <s v="PROD37"/>
    <s v="STORE0"/>
    <n v="3"/>
    <n v="416.01"/>
    <n v="0.02"/>
    <s v="Credit Card"/>
    <n v="1223.0694000000001"/>
    <n v="1639653.0386000013"/>
    <n v="1073.0713603403149"/>
    <n v="529"/>
    <s v="High Value"/>
    <s v="Oct-2024"/>
    <s v="Men's Casual Sneakers"/>
    <x v="4"/>
  </r>
  <r>
    <s v="PROD74"/>
    <s v="STORE10"/>
    <n v="1"/>
    <n v="30.94"/>
    <n v="0.21"/>
    <s v="COD"/>
    <n v="24.442599999999999"/>
    <n v="1638429.9692000011"/>
    <n v="1072.9731297969884"/>
    <n v="529"/>
    <s v="Low Value"/>
    <s v="Jul-2025"/>
    <s v="Bluetooth Car Audio System"/>
    <x v="1"/>
  </r>
  <r>
    <s v="PROD58"/>
    <s v="STORE16"/>
    <n v="3"/>
    <n v="666.39"/>
    <n v="0.21"/>
    <s v="COD"/>
    <n v="1579.3443"/>
    <n v="1638405.5266000011"/>
    <n v="1073.6602402359117"/>
    <n v="529"/>
    <s v="High Value"/>
    <s v="Aug-2025"/>
    <s v="Womens Cotton Scarf"/>
    <x v="4"/>
  </r>
  <r>
    <s v="PROD81"/>
    <s v="STORE10"/>
    <n v="2"/>
    <n v="145.26"/>
    <n v="0.19"/>
    <s v="PayPal"/>
    <n v="235.3212"/>
    <n v="1636826.1823000009"/>
    <n v="1073.3286441311482"/>
    <n v="529"/>
    <s v="Low Value"/>
    <s v="May-2025"/>
    <s v="Badminton Racket Set"/>
    <x v="0"/>
  </r>
  <r>
    <s v="PROD91"/>
    <s v="STORE5"/>
    <n v="4"/>
    <n v="940.77"/>
    <n v="0.24"/>
    <s v="COD"/>
    <n v="2859.9407999999999"/>
    <n v="1636590.861100001"/>
    <n v="1073.8785177821528"/>
    <n v="528"/>
    <s v="High Value"/>
    <s v="Mar-2024"/>
    <s v="Women's High Heels"/>
    <x v="4"/>
  </r>
  <r>
    <s v="PROD46"/>
    <s v="STORE17"/>
    <n v="1"/>
    <n v="708.88"/>
    <n v="0.09"/>
    <s v="Credit Card"/>
    <n v="645.08080000000007"/>
    <n v="1633730.9203000013"/>
    <n v="1072.7057913985564"/>
    <n v="528"/>
    <s v="Low Value"/>
    <s v="Feb-2025"/>
    <s v="Men's Winter Jacket"/>
    <x v="4"/>
  </r>
  <r>
    <s v="PROD30"/>
    <s v="STORE2"/>
    <n v="1"/>
    <n v="790.73"/>
    <n v="0.24"/>
    <s v="PayPal"/>
    <n v="600.95479999999998"/>
    <n v="1633085.8395000012"/>
    <n v="1072.9867539421821"/>
    <n v="528"/>
    <s v="Low Value"/>
    <s v="Sep-2025"/>
    <s v="Stainless Steel Cutlery Set"/>
    <x v="3"/>
  </r>
  <r>
    <s v="PROD15"/>
    <s v="STORE9"/>
    <n v="3"/>
    <n v="635.13"/>
    <n v="0.09"/>
    <s v="PayPal"/>
    <n v="1733.9049"/>
    <n v="1632484.8847000012"/>
    <n v="1073.2970971071672"/>
    <n v="527"/>
    <s v="High Value"/>
    <s v="Oct-2024"/>
    <s v="4K Home Projector"/>
    <x v="1"/>
  </r>
  <r>
    <s v="PROD93"/>
    <s v="STORE14"/>
    <n v="1"/>
    <n v="744.88"/>
    <n v="0.15"/>
    <s v="COD"/>
    <n v="633.14800000000002"/>
    <n v="1630750.9798000013"/>
    <n v="1072.862486710527"/>
    <n v="526"/>
    <s v="Low Value"/>
    <s v="Nov-2023"/>
    <s v="USB-C Laptop Charger"/>
    <x v="1"/>
  </r>
  <r>
    <s v="PROD28"/>
    <s v="STORE1"/>
    <n v="3"/>
    <n v="205.34"/>
    <n v="0.25"/>
    <s v="Credit Card"/>
    <n v="462.01499999999999"/>
    <n v="1630117.8318000012"/>
    <n v="1073.1519630019757"/>
    <n v="526"/>
    <s v="Low Value"/>
    <s v="Mar-2025"/>
    <s v="Sports Stopwatch Timer"/>
    <x v="0"/>
  </r>
  <r>
    <s v="PROD29"/>
    <s v="STORE8"/>
    <n v="2"/>
    <n v="756.8"/>
    <n v="0.15"/>
    <s v="Credit Card"/>
    <n v="1286.56"/>
    <n v="1629655.8168000013"/>
    <n v="1073.5545565217401"/>
    <n v="526"/>
    <s v="High Value"/>
    <s v="Jul-2025"/>
    <s v="Fabric Sofa Throw Blanket"/>
    <x v="3"/>
  </r>
  <r>
    <s v="PROD21"/>
    <s v="STORE10"/>
    <n v="1"/>
    <n v="771.73"/>
    <n v="0.2"/>
    <s v="Credit Card"/>
    <n v="617.38400000000001"/>
    <n v="1628369.2568000013"/>
    <n v="1073.4141442320376"/>
    <n v="526"/>
    <s v="Low Value"/>
    <s v="Jan-2024"/>
    <s v="Multi-Purpose Storage Box"/>
    <x v="3"/>
  </r>
  <r>
    <s v="PROD66"/>
    <s v="STORE17"/>
    <n v="1"/>
    <n v="440.19"/>
    <n v="0.03"/>
    <s v="PayPal"/>
    <n v="426.98430000000002"/>
    <n v="1627751.8728000012"/>
    <n v="1073.7149556728241"/>
    <n v="526"/>
    <s v="Low Value"/>
    <s v="Dec-2024"/>
    <s v="Women's Hair Dryer Brush"/>
    <x v="2"/>
  </r>
  <r>
    <s v="PROD4"/>
    <s v="STORE2"/>
    <n v="2"/>
    <n v="409"/>
    <n v="0.17"/>
    <s v="Credit Card"/>
    <n v="678.93999999999994"/>
    <n v="1627324.888500001"/>
    <n v="1074.1418405940601"/>
    <n v="525"/>
    <s v="Low Value"/>
    <s v="Sep-2025"/>
    <s v="Women's Yoga Pants"/>
    <x v="4"/>
  </r>
  <r>
    <s v="PROD38"/>
    <s v="STORE19"/>
    <n v="3"/>
    <n v="134.58000000000001"/>
    <n v="0.04"/>
    <s v="COD"/>
    <n v="387.59039999999999"/>
    <n v="1626645.9485000011"/>
    <n v="1074.4028721928673"/>
    <n v="525"/>
    <s v="Low Value"/>
    <s v="Feb-2024"/>
    <s v="Sports Water Hydration Pack"/>
    <x v="0"/>
  </r>
  <r>
    <s v="PROD39"/>
    <s v="STORE7"/>
    <n v="4"/>
    <n v="284.44"/>
    <n v="0.02"/>
    <s v="Credit Card"/>
    <n v="1115.0047999999999"/>
    <n v="1626258.358100001"/>
    <n v="1074.8568130204897"/>
    <n v="525"/>
    <s v="High Value"/>
    <s v="Jun-2025"/>
    <s v="Portable Power Bank"/>
    <x v="1"/>
  </r>
  <r>
    <s v="PROD73"/>
    <s v="STORE13"/>
    <n v="4"/>
    <n v="922.69"/>
    <n v="0.16"/>
    <s v="Credit Card"/>
    <n v="3100.2384000000002"/>
    <n v="1625143.353300001"/>
    <n v="1074.8302601190483"/>
    <n v="525"/>
    <s v="High Value"/>
    <s v="Mar-2025"/>
    <s v="Shin Guards – Adult"/>
    <x v="0"/>
  </r>
  <r>
    <s v="PROD36"/>
    <s v="STORE6"/>
    <n v="2"/>
    <n v="992.55"/>
    <n v="0.28000000000000003"/>
    <s v="Credit Card"/>
    <n v="1429.2719999999999"/>
    <n v="1622043.1149000011"/>
    <n v="1073.489817935143"/>
    <n v="525"/>
    <s v="High Value"/>
    <s v="Dec-2024"/>
    <s v="Women's Summer Dress"/>
    <x v="4"/>
  </r>
  <r>
    <s v="PROD89"/>
    <s v="STORE18"/>
    <n v="1"/>
    <n v="170.43"/>
    <n v="0.03"/>
    <s v="Credit Card"/>
    <n v="165.31710000000001"/>
    <n v="1620613.842900001"/>
    <n v="1073.2542005960272"/>
    <n v="525"/>
    <s v="Low Value"/>
    <s v="Mar-2024"/>
    <s v="Face Foundation Kit"/>
    <x v="2"/>
  </r>
  <r>
    <s v="PROD72"/>
    <s v="STORE2"/>
    <n v="3"/>
    <n v="480.51"/>
    <n v="0.03"/>
    <s v="Credit Card"/>
    <n v="1398.2841000000001"/>
    <n v="1620448.5258000009"/>
    <n v="1073.8558819085492"/>
    <n v="525"/>
    <s v="High Value"/>
    <s v="Jun-2024"/>
    <s v="Professional Jump Rope"/>
    <x v="0"/>
  </r>
  <r>
    <s v="PROD49"/>
    <s v="STORE7"/>
    <n v="2"/>
    <n v="955.66"/>
    <n v="0.28999999999999998"/>
    <s v="COD"/>
    <n v="1357.0372"/>
    <n v="1619050.2417000008"/>
    <n v="1073.6407438328918"/>
    <n v="525"/>
    <s v="High Value"/>
    <s v="Dec-2024"/>
    <s v="Men's Roll-On Perfume"/>
    <x v="2"/>
  </r>
  <r>
    <s v="PROD72"/>
    <s v="STORE0"/>
    <n v="2"/>
    <n v="488.02"/>
    <n v="0.27"/>
    <s v="PayPal"/>
    <n v="712.50919999999996"/>
    <n v="1617693.2045000007"/>
    <n v="1073.4526904445925"/>
    <n v="525"/>
    <s v="Low Value"/>
    <s v="Jul-2025"/>
    <s v="Professional Jump Rope"/>
    <x v="0"/>
  </r>
  <r>
    <s v="PROD18"/>
    <s v="STORE0"/>
    <n v="1"/>
    <n v="917.17"/>
    <n v="0.13"/>
    <s v="COD"/>
    <n v="797.93790000000001"/>
    <n v="1616980.695300001"/>
    <n v="1073.6923607569727"/>
    <n v="524"/>
    <s v="Low Value"/>
    <s v="Jul-2024"/>
    <s v="Women's Denim Jeans"/>
    <x v="4"/>
  </r>
  <r>
    <s v="PROD8"/>
    <s v="STORE5"/>
    <n v="2"/>
    <n v="406.46"/>
    <n v="0.3"/>
    <s v="PayPal"/>
    <n v="569.04399999999998"/>
    <n v="1616182.7574000007"/>
    <n v="1073.8755863122929"/>
    <n v="524"/>
    <s v="Low Value"/>
    <s v="Oct-2024"/>
    <s v="Wireless Bluetooth Earbuds"/>
    <x v="1"/>
  </r>
  <r>
    <s v="PROD95"/>
    <s v="STORE0"/>
    <n v="2"/>
    <n v="264.39"/>
    <n v="0.11"/>
    <s v="COD"/>
    <n v="470.61419999999998"/>
    <n v="1615613.7134000009"/>
    <n v="1074.2112456117027"/>
    <n v="523"/>
    <s v="Low Value"/>
    <s v="Nov-2023"/>
    <s v="Sports Stopwatch Basic"/>
    <x v="0"/>
  </r>
  <r>
    <s v="PROD68"/>
    <s v="STORE16"/>
    <n v="1"/>
    <n v="414.97"/>
    <n v="0.22"/>
    <s v="PayPal"/>
    <n v="323.67660000000001"/>
    <n v="1615143.099200001"/>
    <n v="1074.6128404524291"/>
    <n v="523"/>
    <s v="Low Value"/>
    <s v="Apr-2025"/>
    <s v="Wooden Nightstand"/>
    <x v="3"/>
  </r>
  <r>
    <s v="PROD25"/>
    <s v="STORE12"/>
    <n v="2"/>
    <n v="583.51"/>
    <n v="0.2"/>
    <s v="COD"/>
    <n v="933.61599999999999"/>
    <n v="1614819.4226000009"/>
    <n v="1075.1127980026638"/>
    <n v="522"/>
    <s v="Low Value"/>
    <s v="Dec-2023"/>
    <s v="Women's Scarf Set"/>
    <x v="4"/>
  </r>
  <r>
    <s v="PROD31"/>
    <s v="STORE17"/>
    <n v="1"/>
    <n v="659.27"/>
    <n v="0.15"/>
    <s v="PayPal"/>
    <n v="560.37950000000001"/>
    <n v="1613885.8066000009"/>
    <n v="1075.2070663557633"/>
    <n v="522"/>
    <s v="Low Value"/>
    <s v="Sep-2025"/>
    <s v="Basketball"/>
    <x v="0"/>
  </r>
  <r>
    <s v="PROD2"/>
    <s v="STORE4"/>
    <n v="4"/>
    <n v="106.66"/>
    <n v="0.2"/>
    <s v="COD"/>
    <n v="341.31200000000001"/>
    <n v="1613325.4271000009"/>
    <n v="1075.5502847333339"/>
    <n v="521"/>
    <s v="Low Value"/>
    <s v="Dec-2024"/>
    <s v="Women's Casual Hoodie"/>
    <x v="4"/>
  </r>
  <r>
    <s v="PROD10"/>
    <s v="STORE5"/>
    <n v="4"/>
    <n v="168.55"/>
    <n v="0.15"/>
    <s v="PayPal"/>
    <n v="573.07000000000005"/>
    <n v="1612984.1151000008"/>
    <n v="1076.0401034689799"/>
    <n v="521"/>
    <s v="Low Value"/>
    <s v="Nov-2024"/>
    <s v="Ceramic Kitchen Bowl Set"/>
    <x v="3"/>
  </r>
  <r>
    <s v="PROD44"/>
    <s v="STORE2"/>
    <n v="1"/>
    <n v="230.53"/>
    <n v="0.06"/>
    <s v="COD"/>
    <n v="216.69820000000001"/>
    <n v="1612411.0451000007"/>
    <n v="1076.3758645527375"/>
    <n v="520"/>
    <s v="Low Value"/>
    <s v="Aug-2025"/>
    <s v="Adjustable Jump Rope"/>
    <x v="0"/>
  </r>
  <r>
    <s v="PROD54"/>
    <s v="STORE1"/>
    <n v="2"/>
    <n v="355.41"/>
    <n v="0.13"/>
    <s v="COD"/>
    <n v="618.41340000000002"/>
    <n v="1612194.3469000007"/>
    <n v="1076.9501315297266"/>
    <n v="520"/>
    <s v="Low Value"/>
    <s v="Aug-2025"/>
    <s v="Sports Stopwatch Pro"/>
    <x v="0"/>
  </r>
  <r>
    <s v="PROD47"/>
    <s v="STORE2"/>
    <n v="3"/>
    <n v="843.44"/>
    <n v="0.22"/>
    <s v="Credit Card"/>
    <n v="1973.6496"/>
    <n v="1611575.9335000005"/>
    <n v="1077.2566400401072"/>
    <n v="520"/>
    <s v="High Value"/>
    <s v="Oct-2025"/>
    <s v="Makeup Brush Set"/>
    <x v="2"/>
  </r>
  <r>
    <s v="PROD95"/>
    <s v="STORE1"/>
    <n v="1"/>
    <n v="301.60000000000002"/>
    <n v="0.27"/>
    <s v="Credit Card"/>
    <n v="220.16800000000001"/>
    <n v="1609602.2839000006"/>
    <n v="1076.6570460869568"/>
    <n v="520"/>
    <s v="Low Value"/>
    <s v="Jan-2024"/>
    <s v="Sports Stopwatch Basic"/>
    <x v="0"/>
  </r>
  <r>
    <s v="PROD89"/>
    <s v="STORE2"/>
    <n v="3"/>
    <n v="21.59"/>
    <n v="0.16"/>
    <s v="COD"/>
    <n v="54.406799999999997"/>
    <n v="1609382.1159000008"/>
    <n v="1077.2303319277114"/>
    <n v="520"/>
    <s v="Low Value"/>
    <s v="Apr-2025"/>
    <s v="Face Foundation Kit"/>
    <x v="2"/>
  </r>
  <r>
    <s v="PROD13"/>
    <s v="STORE2"/>
    <n v="4"/>
    <n v="284.24"/>
    <n v="0.09"/>
    <s v="Credit Card"/>
    <n v="1034.6335999999999"/>
    <n v="1609327.7091000008"/>
    <n v="1077.9154113194916"/>
    <n v="520"/>
    <s v="High Value"/>
    <s v="Feb-2024"/>
    <s v="USB-C Fast Charger"/>
    <x v="1"/>
  </r>
  <r>
    <s v="PROD5"/>
    <s v="STORE9"/>
    <n v="1"/>
    <n v="191.6"/>
    <n v="0.27"/>
    <s v="PayPal"/>
    <n v="139.86799999999999"/>
    <n v="1608293.0755000007"/>
    <n v="1077.944420576408"/>
    <n v="520"/>
    <s v="Low Value"/>
    <s v="Dec-2024"/>
    <s v="Men's Leather Belt"/>
    <x v="4"/>
  </r>
  <r>
    <s v="PROD78"/>
    <s v="STORE12"/>
    <n v="2"/>
    <n v="616.97"/>
    <n v="0.22"/>
    <s v="Credit Card"/>
    <n v="962.47320000000002"/>
    <n v="1608153.2075000007"/>
    <n v="1078.5735798122071"/>
    <n v="519"/>
    <s v="Low Value"/>
    <s v="Apr-2025"/>
    <s v="Essential Oil Diffuser"/>
    <x v="3"/>
  </r>
  <r>
    <s v="PROD28"/>
    <s v="STORE10"/>
    <n v="3"/>
    <n v="125.68"/>
    <n v="0.26"/>
    <s v="COD"/>
    <n v="279.00959999999998"/>
    <n v="1607190.7343000008"/>
    <n v="1078.6514995302018"/>
    <n v="519"/>
    <s v="Low Value"/>
    <s v="Oct-2024"/>
    <s v="Sports Stopwatch Timer"/>
    <x v="0"/>
  </r>
  <r>
    <s v="PROD43"/>
    <s v="STORE4"/>
    <n v="3"/>
    <n v="307.48"/>
    <n v="0.24"/>
    <s v="Credit Card"/>
    <n v="701.0544000000001"/>
    <n v="1606911.7247000011"/>
    <n v="1079.1885323707193"/>
    <n v="519"/>
    <s v="Low Value"/>
    <s v="Jan-2025"/>
    <s v="USB External Hard Drive"/>
    <x v="1"/>
  </r>
  <r>
    <s v="PROD2"/>
    <s v="STORE19"/>
    <n v="1"/>
    <n v="505.23"/>
    <n v="0.11"/>
    <s v="Credit Card"/>
    <n v="449.65469999999999"/>
    <n v="1606210.6703000008"/>
    <n v="1079.4426547715059"/>
    <n v="519"/>
    <s v="Low Value"/>
    <s v="Jul-2024"/>
    <s v="Women's Casual Hoodie"/>
    <x v="4"/>
  </r>
  <r>
    <s v="PROD45"/>
    <s v="STORE16"/>
    <n v="1"/>
    <n v="853.12"/>
    <n v="0.19"/>
    <s v="COD"/>
    <n v="691.02719999999999"/>
    <n v="1605761.0156000007"/>
    <n v="1079.8661839946205"/>
    <n v="519"/>
    <s v="Low Value"/>
    <s v="Mar-2025"/>
    <s v="High-Grip Football"/>
    <x v="0"/>
  </r>
  <r>
    <s v="PROD0"/>
    <s v="STORE7"/>
    <n v="4"/>
    <n v="191.65"/>
    <n v="0.19"/>
    <s v="PayPal"/>
    <n v="620.94600000000003"/>
    <n v="1605069.9884000008"/>
    <n v="1080.1278522207274"/>
    <n v="519"/>
    <s v="Low Value"/>
    <s v="Jan-2024"/>
    <s v="Brother Laser Printer"/>
    <x v="1"/>
  </r>
  <r>
    <s v="PROD47"/>
    <s v="STORE3"/>
    <n v="1"/>
    <n v="169.69"/>
    <n v="0.22"/>
    <s v="Credit Card"/>
    <n v="132.35820000000001"/>
    <n v="1604449.0424000008"/>
    <n v="1080.4370655892262"/>
    <n v="518"/>
    <s v="Low Value"/>
    <s v="Dec-2023"/>
    <s v="Makeup Brush Set"/>
    <x v="2"/>
  </r>
  <r>
    <s v="PROD62"/>
    <s v="STORE14"/>
    <n v="1"/>
    <n v="145.43"/>
    <n v="0.08"/>
    <s v="Credit Card"/>
    <n v="133.79560000000001"/>
    <n v="1604316.6842000009"/>
    <n v="1081.0759327493267"/>
    <n v="518"/>
    <s v="Low Value"/>
    <s v="Mar-2024"/>
    <s v="Laptop Cooling Pad"/>
    <x v="1"/>
  </r>
  <r>
    <s v="PROD93"/>
    <s v="STORE12"/>
    <n v="4"/>
    <n v="828.35"/>
    <n v="0.17"/>
    <s v="Credit Card"/>
    <n v="2750.1219999999998"/>
    <n v="1604182.8886000009"/>
    <n v="1081.714692245449"/>
    <n v="518"/>
    <s v="High Value"/>
    <s v="Dec-2024"/>
    <s v="USB-C Laptop Charger"/>
    <x v="1"/>
  </r>
  <r>
    <s v="PROD95"/>
    <s v="STORE7"/>
    <n v="3"/>
    <n v="268.76"/>
    <n v="0.01"/>
    <s v="PayPal"/>
    <n v="798.21719999999993"/>
    <n v="1601432.7666000009"/>
    <n v="1080.5889113360331"/>
    <n v="518"/>
    <s v="Low Value"/>
    <s v="Nov-2024"/>
    <s v="Sports Stopwatch Basic"/>
    <x v="0"/>
  </r>
  <r>
    <s v="PROD88"/>
    <s v="STORE0"/>
    <n v="4"/>
    <n v="370.09"/>
    <n v="0.22"/>
    <s v="COD"/>
    <n v="1154.6808000000001"/>
    <n v="1600634.5494000008"/>
    <n v="1080.7795742066178"/>
    <n v="517"/>
    <s v="High Value"/>
    <s v="Jul-2024"/>
    <s v="Sports Wrist Sweatbands"/>
    <x v="0"/>
  </r>
  <r>
    <s v="PROD78"/>
    <s v="STORE6"/>
    <n v="3"/>
    <n v="679.22"/>
    <n v="0.11"/>
    <s v="PayPal"/>
    <n v="1813.5174"/>
    <n v="1599479.8686000006"/>
    <n v="1080.7296409459464"/>
    <n v="517"/>
    <s v="High Value"/>
    <s v="Oct-2023"/>
    <s v="Essential Oil Diffuser"/>
    <x v="3"/>
  </r>
  <r>
    <s v="PROD73"/>
    <s v="STORE0"/>
    <n v="3"/>
    <n v="780.69"/>
    <n v="0.1"/>
    <s v="COD"/>
    <n v="2107.8629999999998"/>
    <n v="1597666.3512000006"/>
    <n v="1080.2341793103453"/>
    <n v="516"/>
    <s v="High Value"/>
    <s v="May-2024"/>
    <s v="Shin Guards – Adult"/>
    <x v="0"/>
  </r>
  <r>
    <s v="PROD42"/>
    <s v="STORE2"/>
    <n v="2"/>
    <n v="42.97"/>
    <n v="0.18"/>
    <s v="PayPal"/>
    <n v="70.470799999999997"/>
    <n v="1595558.4882000007"/>
    <n v="1079.5388959404606"/>
    <n v="516"/>
    <s v="Low Value"/>
    <s v="Apr-2025"/>
    <s v="Smart Home WiFi Camera"/>
    <x v="1"/>
  </r>
  <r>
    <s v="PROD82"/>
    <s v="STORE0"/>
    <n v="4"/>
    <n v="854.37"/>
    <n v="7.0000000000000007E-2"/>
    <s v="PayPal"/>
    <n v="3178.2564000000002"/>
    <n v="1595488.0174000007"/>
    <n v="1080.2220835477324"/>
    <n v="515"/>
    <s v="High Value"/>
    <s v="Dec-2024"/>
    <s v="Fitness Resistance Bands"/>
    <x v="0"/>
  </r>
  <r>
    <s v="PROD24"/>
    <s v="STORE16"/>
    <n v="2"/>
    <n v="409.52"/>
    <n v="0.06"/>
    <s v="COD"/>
    <n v="769.8975999999999"/>
    <n v="1592309.7610000009"/>
    <n v="1078.8006510840114"/>
    <n v="514"/>
    <s v="Low Value"/>
    <s v="Apr-2025"/>
    <s v="Foldable Camping Chair"/>
    <x v="0"/>
  </r>
  <r>
    <s v="PROD74"/>
    <s v="STORE10"/>
    <n v="2"/>
    <n v="407.46"/>
    <n v="0.21"/>
    <s v="Credit Card"/>
    <n v="643.78679999999997"/>
    <n v="1591539.8634000008"/>
    <n v="1079.0100768813566"/>
    <n v="514"/>
    <s v="Low Value"/>
    <s v="Oct-2024"/>
    <s v="Bluetooth Car Audio System"/>
    <x v="1"/>
  </r>
  <r>
    <s v="PROD4"/>
    <s v="STORE8"/>
    <n v="1"/>
    <n v="728.84"/>
    <n v="0.28000000000000003"/>
    <s v="PayPal"/>
    <n v="524.76480000000004"/>
    <n v="1590896.076600001"/>
    <n v="1079.3053436906384"/>
    <n v="514"/>
    <s v="Low Value"/>
    <s v="Jul-2025"/>
    <s v="Women's Yoga Pants"/>
    <x v="4"/>
  </r>
  <r>
    <s v="PROD78"/>
    <s v="STORE6"/>
    <n v="4"/>
    <n v="467.24"/>
    <n v="0.08"/>
    <s v="PayPal"/>
    <n v="1719.4431999999999"/>
    <n v="1590371.3118000007"/>
    <n v="1079.6818138492877"/>
    <n v="513"/>
    <s v="High Value"/>
    <s v="Mar-2024"/>
    <s v="Essential Oil Diffuser"/>
    <x v="3"/>
  </r>
  <r>
    <s v="PROD10"/>
    <s v="STORE11"/>
    <n v="1"/>
    <n v="57.94"/>
    <n v="0.13"/>
    <s v="PayPal"/>
    <n v="50.407799999999988"/>
    <n v="1588651.8686000009"/>
    <n v="1079.2471933423919"/>
    <n v="512"/>
    <s v="Low Value"/>
    <s v="Jun-2024"/>
    <s v="Ceramic Kitchen Bowl Set"/>
    <x v="3"/>
  </r>
  <r>
    <s v="PROD49"/>
    <s v="STORE17"/>
    <n v="1"/>
    <n v="540.1"/>
    <n v="0.22"/>
    <s v="Credit Card"/>
    <n v="421.27800000000002"/>
    <n v="1588601.4608000009"/>
    <n v="1079.9466082936783"/>
    <n v="511"/>
    <s v="Low Value"/>
    <s v="Feb-2024"/>
    <s v="Men's Roll-On Perfume"/>
    <x v="2"/>
  </r>
  <r>
    <s v="PROD8"/>
    <s v="STORE19"/>
    <n v="4"/>
    <n v="816.28"/>
    <n v="0.15"/>
    <s v="COD"/>
    <n v="2775.3519999999999"/>
    <n v="1588180.1828000008"/>
    <n v="1080.3946821768714"/>
    <n v="511"/>
    <s v="High Value"/>
    <s v="Sep-2024"/>
    <s v="Wireless Bluetooth Earbuds"/>
    <x v="1"/>
  </r>
  <r>
    <s v="PROD42"/>
    <s v="STORE8"/>
    <n v="4"/>
    <n v="727.49"/>
    <n v="0.11"/>
    <s v="Credit Card"/>
    <n v="2589.8643999999999"/>
    <n v="1585404.8308000003"/>
    <n v="1079.2408650782847"/>
    <n v="511"/>
    <s v="High Value"/>
    <s v="Aug-2025"/>
    <s v="Smart Home WiFi Camera"/>
    <x v="1"/>
  </r>
  <r>
    <s v="PROD86"/>
    <s v="STORE13"/>
    <n v="4"/>
    <n v="817.92"/>
    <n v="0.21"/>
    <s v="Credit Card"/>
    <n v="2584.6271999999999"/>
    <n v="1582814.9664000007"/>
    <n v="1078.2118299727526"/>
    <n v="511"/>
    <s v="High Value"/>
    <s v="Jun-2024"/>
    <s v="Kitchen Cutting Board"/>
    <x v="3"/>
  </r>
  <r>
    <s v="PROD38"/>
    <s v="STORE7"/>
    <n v="2"/>
    <n v="358.45"/>
    <n v="7.0000000000000007E-2"/>
    <s v="COD"/>
    <n v="666.71699999999998"/>
    <n v="1580230.3392000003"/>
    <n v="1077.1849619631903"/>
    <n v="511"/>
    <s v="Low Value"/>
    <s v="Oct-2024"/>
    <s v="Sports Water Hydration Pack"/>
    <x v="0"/>
  </r>
  <r>
    <s v="PROD87"/>
    <s v="STORE9"/>
    <n v="1"/>
    <n v="972.06"/>
    <n v="0.3"/>
    <s v="COD"/>
    <n v="680.44199999999989"/>
    <n v="1579563.6222000003"/>
    <n v="1077.4649537517055"/>
    <n v="511"/>
    <s v="Low Value"/>
    <s v="Feb-2025"/>
    <s v="LED Bedside Lamp"/>
    <x v="3"/>
  </r>
  <r>
    <s v="PROD16"/>
    <s v="STORE0"/>
    <n v="1"/>
    <n v="791.36"/>
    <n v="0.06"/>
    <s v="PayPal"/>
    <n v="743.87839999999994"/>
    <n v="1578883.1802000003"/>
    <n v="1077.7359591808877"/>
    <n v="511"/>
    <s v="Low Value"/>
    <s v="Dec-2023"/>
    <s v="Beard Grooming Kit"/>
    <x v="2"/>
  </r>
  <r>
    <s v="PROD64"/>
    <s v="STORE5"/>
    <n v="4"/>
    <n v="839.65"/>
    <n v="0.26"/>
    <s v="COD"/>
    <n v="2485.364"/>
    <n v="1578139.3018000005"/>
    <n v="1077.9640039617489"/>
    <n v="510"/>
    <s v="High Value"/>
    <s v="Jul-2025"/>
    <s v="Matte Lipstick Set"/>
    <x v="2"/>
  </r>
  <r>
    <s v="PROD72"/>
    <s v="STORE2"/>
    <n v="2"/>
    <n v="245.52"/>
    <n v="0.11"/>
    <s v="COD"/>
    <n v="437.0256"/>
    <n v="1575653.9378000004"/>
    <n v="1077.0020080656188"/>
    <n v="510"/>
    <s v="Low Value"/>
    <s v="May-2025"/>
    <s v="Professional Jump Rope"/>
    <x v="0"/>
  </r>
  <r>
    <s v="PROD82"/>
    <s v="STORE8"/>
    <n v="3"/>
    <n v="787.91"/>
    <n v="0.06"/>
    <s v="PayPal"/>
    <n v="2221.9061999999999"/>
    <n v="1575216.9122000004"/>
    <n v="1077.4397484268129"/>
    <n v="510"/>
    <s v="High Value"/>
    <s v="Aug-2025"/>
    <s v="Fitness Resistance Bands"/>
    <x v="0"/>
  </r>
  <r>
    <s v="PROD75"/>
    <s v="STORE4"/>
    <n v="2"/>
    <n v="709.17"/>
    <n v="0.22"/>
    <s v="Credit Card"/>
    <n v="1106.3052"/>
    <n v="1572995.0060000003"/>
    <n v="1076.6564038329914"/>
    <n v="509"/>
    <s v="High Value"/>
    <s v="Aug-2025"/>
    <s v="Women's Ankle Boots"/>
    <x v="4"/>
  </r>
  <r>
    <s v="PROD91"/>
    <s v="STORE7"/>
    <n v="2"/>
    <n v="533.91999999999996"/>
    <n v="0.13"/>
    <s v="Credit Card"/>
    <n v="929.02079999999989"/>
    <n v="1571888.7008000002"/>
    <n v="1076.6360964383564"/>
    <n v="509"/>
    <s v="Low Value"/>
    <s v="Nov-2023"/>
    <s v="Women's High Heels"/>
    <x v="4"/>
  </r>
  <r>
    <s v="PROD42"/>
    <s v="STORE0"/>
    <n v="1"/>
    <n v="878.84"/>
    <n v="0.28000000000000003"/>
    <s v="COD"/>
    <n v="632.76480000000004"/>
    <n v="1570959.6800000006"/>
    <n v="1076.7372721041813"/>
    <n v="509"/>
    <s v="Low Value"/>
    <s v="Feb-2025"/>
    <s v="Smart Home WiFi Camera"/>
    <x v="1"/>
  </r>
  <r>
    <s v="PROD44"/>
    <s v="STORE16"/>
    <n v="1"/>
    <n v="442.36"/>
    <n v="0.14000000000000001"/>
    <s v="Credit Card"/>
    <n v="380.42959999999999"/>
    <n v="1570326.9152000004"/>
    <n v="1077.0417799725653"/>
    <n v="509"/>
    <s v="Low Value"/>
    <s v="Dec-2023"/>
    <s v="Adjustable Jump Rope"/>
    <x v="0"/>
  </r>
  <r>
    <s v="PROD35"/>
    <s v="STORE6"/>
    <n v="1"/>
    <n v="763.34"/>
    <n v="0.11"/>
    <s v="COD"/>
    <n v="679.37260000000003"/>
    <n v="1569946.4856000005"/>
    <n v="1077.5198940288267"/>
    <n v="509"/>
    <s v="Low Value"/>
    <s v="Feb-2025"/>
    <s v="Bedroom Table Lamp"/>
    <x v="3"/>
  </r>
  <r>
    <s v="PROD59"/>
    <s v="STORE18"/>
    <n v="3"/>
    <n v="178.22"/>
    <n v="0.15"/>
    <s v="COD"/>
    <n v="454.46100000000001"/>
    <n v="1569267.1130000004"/>
    <n v="1077.7933468406595"/>
    <n v="509"/>
    <s v="Low Value"/>
    <s v="Jul-2025"/>
    <s v="Men's Hair Styling Gel"/>
    <x v="2"/>
  </r>
  <r>
    <s v="PROD26"/>
    <s v="STORE1"/>
    <n v="4"/>
    <n v="90.32"/>
    <n v="0.08"/>
    <s v="PayPal"/>
    <n v="332.37759999999997"/>
    <n v="1568812.6520000002"/>
    <n v="1078.2217539518902"/>
    <n v="509"/>
    <s v="Low Value"/>
    <s v="Nov-2023"/>
    <s v="Wireless Bluetooth Speaker"/>
    <x v="1"/>
  </r>
  <r>
    <s v="PROD10"/>
    <s v="STORE6"/>
    <n v="3"/>
    <n v="370.93"/>
    <n v="0"/>
    <s v="Credit Card"/>
    <n v="1112.79"/>
    <n v="1568480.2744000002"/>
    <n v="1078.7347141678131"/>
    <n v="508"/>
    <s v="High Value"/>
    <s v="Feb-2025"/>
    <s v="Ceramic Kitchen Bowl Set"/>
    <x v="3"/>
  </r>
  <r>
    <s v="PROD23"/>
    <s v="STORE15"/>
    <n v="1"/>
    <n v="352.43"/>
    <n v="0.14000000000000001"/>
    <s v="PayPal"/>
    <n v="303.08980000000003"/>
    <n v="1567367.4844000002"/>
    <n v="1078.7112762560221"/>
    <n v="508"/>
    <s v="Low Value"/>
    <s v="Dec-2023"/>
    <s v="Men's Formal Shirt"/>
    <x v="4"/>
  </r>
  <r>
    <s v="PROD12"/>
    <s v="STORE15"/>
    <n v="2"/>
    <n v="562.97"/>
    <n v="0.2"/>
    <s v="Credit Card"/>
    <n v="900.75200000000007"/>
    <n v="1567064.3946000002"/>
    <n v="1079.2454508264464"/>
    <n v="507"/>
    <s v="Low Value"/>
    <s v="Jan-2024"/>
    <s v="Hair Strengthening Shampoo"/>
    <x v="2"/>
  </r>
  <r>
    <s v="PROD55"/>
    <s v="STORE7"/>
    <n v="1"/>
    <n v="522.85"/>
    <n v="0.12"/>
    <s v="PayPal"/>
    <n v="460.108"/>
    <n v="1566163.6426000001"/>
    <n v="1079.3684649207444"/>
    <n v="507"/>
    <s v="Low Value"/>
    <s v="Nov-2023"/>
    <s v="Ceramic Plant Pot"/>
    <x v="3"/>
  </r>
  <r>
    <s v="PROD21"/>
    <s v="STORE16"/>
    <n v="4"/>
    <n v="714.89"/>
    <n v="0.15"/>
    <s v="Credit Card"/>
    <n v="2430.6260000000002"/>
    <n v="1565703.5346000001"/>
    <n v="1079.7955411034484"/>
    <n v="506"/>
    <s v="High Value"/>
    <s v="Jul-2025"/>
    <s v="Multi-Purpose Storage Box"/>
    <x v="3"/>
  </r>
  <r>
    <s v="PROD43"/>
    <s v="STORE2"/>
    <n v="3"/>
    <n v="137.77000000000001"/>
    <n v="0.26"/>
    <s v="PayPal"/>
    <n v="305.84940000000012"/>
    <n v="1563272.9086000002"/>
    <n v="1078.8632909592825"/>
    <n v="506"/>
    <s v="Low Value"/>
    <s v="Oct-2023"/>
    <s v="USB External Hard Drive"/>
    <x v="1"/>
  </r>
  <r>
    <s v="PROD92"/>
    <s v="STORE11"/>
    <n v="3"/>
    <n v="862.18"/>
    <n v="0.22"/>
    <s v="PayPal"/>
    <n v="2017.5011999999999"/>
    <n v="1562967.0592"/>
    <n v="1079.3971403314918"/>
    <n v="505"/>
    <s v="High Value"/>
    <s v="Oct-2025"/>
    <s v="Microwave Oven"/>
    <x v="3"/>
  </r>
  <r>
    <s v="PROD38"/>
    <s v="STORE14"/>
    <n v="2"/>
    <n v="833.64"/>
    <n v="0.24"/>
    <s v="PayPal"/>
    <n v="1267.1328000000001"/>
    <n v="1560949.558"/>
    <n v="1078.7488306841742"/>
    <n v="504"/>
    <s v="High Value"/>
    <s v="Jun-2025"/>
    <s v="Sports Water Hydration Pack"/>
    <x v="0"/>
  </r>
  <r>
    <s v="PROD19"/>
    <s v="STORE15"/>
    <n v="3"/>
    <n v="543.22"/>
    <n v="0.05"/>
    <s v="COD"/>
    <n v="1548.1769999999999"/>
    <n v="1559682.4251999999"/>
    <n v="1078.6185513139694"/>
    <n v="503"/>
    <s v="High Value"/>
    <s v="Apr-2025"/>
    <s v="Knee Support Brace"/>
    <x v="0"/>
  </r>
  <r>
    <s v="PROD88"/>
    <s v="STORE2"/>
    <n v="3"/>
    <n v="691.02"/>
    <n v="0.12"/>
    <s v="COD"/>
    <n v="1824.2927999999999"/>
    <n v="1558134.2482"/>
    <n v="1078.2935973702422"/>
    <n v="503"/>
    <s v="High Value"/>
    <s v="Jan-2025"/>
    <s v="Sports Wrist Sweatbands"/>
    <x v="0"/>
  </r>
  <r>
    <s v="PROD86"/>
    <s v="STORE17"/>
    <n v="4"/>
    <n v="338.73"/>
    <n v="0.18"/>
    <s v="Credit Card"/>
    <n v="1111.0344"/>
    <n v="1556309.9554000001"/>
    <n v="1077.7769774238227"/>
    <n v="503"/>
    <s v="High Value"/>
    <s v="Nov-2023"/>
    <s v="Kitchen Cutting Board"/>
    <x v="3"/>
  </r>
  <r>
    <s v="PROD84"/>
    <s v="STORE16"/>
    <n v="3"/>
    <n v="366.08"/>
    <n v="0.05"/>
    <s v="Credit Card"/>
    <n v="1043.328"/>
    <n v="1555198.9210000001"/>
    <n v="1077.75393000693"/>
    <n v="503"/>
    <s v="High Value"/>
    <s v="Apr-2024"/>
    <s v="Wooden Bookshelf"/>
    <x v="3"/>
  </r>
  <r>
    <s v="PROD13"/>
    <s v="STORE13"/>
    <n v="4"/>
    <n v="539.48"/>
    <n v="0.28000000000000003"/>
    <s v="COD"/>
    <n v="1553.7023999999999"/>
    <n v="1554155.5929999999"/>
    <n v="1077.7778037447988"/>
    <n v="503"/>
    <s v="High Value"/>
    <s v="Jul-2025"/>
    <s v="USB-C Fast Charger"/>
    <x v="1"/>
  </r>
  <r>
    <s v="PROD91"/>
    <s v="STORE16"/>
    <n v="1"/>
    <n v="499.59"/>
    <n v="0.03"/>
    <s v="COD"/>
    <n v="484.60230000000001"/>
    <n v="1552601.8905999998"/>
    <n v="1077.4475299097846"/>
    <n v="503"/>
    <s v="Low Value"/>
    <s v="Nov-2023"/>
    <s v="Women's High Heels"/>
    <x v="4"/>
  </r>
  <r>
    <s v="PROD30"/>
    <s v="STORE8"/>
    <n v="3"/>
    <n v="330.04"/>
    <n v="0.2"/>
    <s v="Credit Card"/>
    <n v="792.09600000000012"/>
    <n v="1552117.2882999999"/>
    <n v="1077.8592279861111"/>
    <n v="503"/>
    <s v="Low Value"/>
    <s v="Feb-2024"/>
    <s v="Stainless Steel Cutlery Set"/>
    <x v="3"/>
  </r>
  <r>
    <s v="PROD11"/>
    <s v="STORE17"/>
    <n v="2"/>
    <n v="813.01"/>
    <n v="0.06"/>
    <s v="PayPal"/>
    <n v="1528.4588000000001"/>
    <n v="1551325.1922999998"/>
    <n v="1078.0578125781792"/>
    <n v="503"/>
    <s v="High Value"/>
    <s v="Jun-2024"/>
    <s v="HD Smart TV Stick"/>
    <x v="1"/>
  </r>
  <r>
    <s v="PROD1"/>
    <s v="STORE2"/>
    <n v="4"/>
    <n v="204.8"/>
    <n v="0.03"/>
    <s v="PayPal"/>
    <n v="794.62400000000002"/>
    <n v="1549796.7334999996"/>
    <n v="1077.7445990959664"/>
    <n v="502"/>
    <s v="Low Value"/>
    <s v="Feb-2025"/>
    <s v="Men's Graphic T-Shirt"/>
    <x v="4"/>
  </r>
  <r>
    <s v="PROD3"/>
    <s v="STORE3"/>
    <n v="3"/>
    <n v="728.32"/>
    <n v="0.01"/>
    <s v="Credit Card"/>
    <n v="2163.1104"/>
    <n v="1549002.1094999998"/>
    <n v="1077.9416210855948"/>
    <n v="501"/>
    <s v="High Value"/>
    <s v="Oct-2023"/>
    <s v="Men's Running Jacket"/>
    <x v="4"/>
  </r>
  <r>
    <s v="PROD59"/>
    <s v="STORE7"/>
    <n v="3"/>
    <n v="836.4"/>
    <n v="0"/>
    <s v="Credit Card"/>
    <n v="2509.1999999999998"/>
    <n v="1546838.9990999997"/>
    <n v="1077.1859325208911"/>
    <n v="501"/>
    <s v="High Value"/>
    <s v="Aug-2024"/>
    <s v="Men's Hair Styling Gel"/>
    <x v="2"/>
  </r>
  <r>
    <s v="PROD90"/>
    <s v="STORE12"/>
    <n v="1"/>
    <n v="780.16"/>
    <n v="0.02"/>
    <s v="COD"/>
    <n v="764.55679999999995"/>
    <n v="1544329.7990999995"/>
    <n v="1076.1880133101042"/>
    <n v="501"/>
    <s v="Low Value"/>
    <s v="Jul-2025"/>
    <s v="Gaming Mouse Pad XL"/>
    <x v="1"/>
  </r>
  <r>
    <s v="PROD46"/>
    <s v="STORE13"/>
    <n v="4"/>
    <n v="354.12"/>
    <n v="0.06"/>
    <s v="PayPal"/>
    <n v="1331.4911999999999"/>
    <n v="1543565.2422999993"/>
    <n v="1076.4053293584375"/>
    <n v="501"/>
    <s v="High Value"/>
    <s v="May-2025"/>
    <s v="Men's Winter Jacket"/>
    <x v="4"/>
  </r>
  <r>
    <s v="PROD63"/>
    <s v="STORE2"/>
    <n v="4"/>
    <n v="282.48"/>
    <n v="0.11"/>
    <s v="PayPal"/>
    <n v="1005.6288"/>
    <n v="1542233.7510999995"/>
    <n v="1076.2273210746682"/>
    <n v="500"/>
    <s v="High Value"/>
    <s v="Nov-2024"/>
    <s v="Organic Sunscreen Lotion"/>
    <x v="2"/>
  </r>
  <r>
    <s v="PROD20"/>
    <s v="STORE6"/>
    <n v="2"/>
    <n v="740.68"/>
    <n v="0.02"/>
    <s v="PayPal"/>
    <n v="1451.7328"/>
    <n v="1541228.1222999995"/>
    <n v="1076.2766217178767"/>
    <n v="499"/>
    <s v="High Value"/>
    <s v="Jun-2024"/>
    <s v="Outdoor Sports Water Bottle"/>
    <x v="0"/>
  </r>
  <r>
    <s v="PROD56"/>
    <s v="STORE9"/>
    <n v="3"/>
    <n v="600.58000000000004"/>
    <n v="0.28999999999999998"/>
    <s v="COD"/>
    <n v="1279.2354"/>
    <n v="1539776.3894999993"/>
    <n v="1076.0142484276726"/>
    <n v="498"/>
    <s v="High Value"/>
    <s v="Apr-2024"/>
    <s v="Premium Blanket Throw"/>
    <x v="3"/>
  </r>
  <r>
    <s v="PROD65"/>
    <s v="STORE3"/>
    <n v="3"/>
    <n v="345.58"/>
    <n v="0.22"/>
    <s v="Credit Card"/>
    <n v="808.65719999999999"/>
    <n v="1538497.154099999"/>
    <n v="1075.8721357342649"/>
    <n v="498"/>
    <s v="Low Value"/>
    <s v="Feb-2024"/>
    <s v="Adjustable Dumbbells 20kg"/>
    <x v="0"/>
  </r>
  <r>
    <s v="PROD18"/>
    <s v="STORE11"/>
    <n v="1"/>
    <n v="974.52"/>
    <n v="0.01"/>
    <s v="PayPal"/>
    <n v="964.77480000000003"/>
    <n v="1537688.4968999992"/>
    <n v="1076.0591300909721"/>
    <n v="498"/>
    <s v="Low Value"/>
    <s v="Jan-2025"/>
    <s v="Women's Denim Jeans"/>
    <x v="4"/>
  </r>
  <r>
    <s v="PROD17"/>
    <s v="STORE1"/>
    <n v="3"/>
    <n v="282.33"/>
    <n v="7.0000000000000007E-2"/>
    <s v="Credit Card"/>
    <n v="787.70069999999998"/>
    <n v="1536723.7220999992"/>
    <n v="1076.1370602941172"/>
    <n v="497"/>
    <s v="Low Value"/>
    <s v="Nov-2023"/>
    <s v="Soccer Training Cone Set"/>
    <x v="0"/>
  </r>
  <r>
    <s v="PROD76"/>
    <s v="STORE19"/>
    <n v="4"/>
    <n v="158.46"/>
    <n v="0.09"/>
    <s v="PayPal"/>
    <n v="576.7944"/>
    <n v="1535936.0213999993"/>
    <n v="1076.3391880868951"/>
    <n v="497"/>
    <s v="Low Value"/>
    <s v="Mar-2025"/>
    <s v="Wireless Mouse"/>
    <x v="1"/>
  </r>
  <r>
    <s v="PROD55"/>
    <s v="STORE7"/>
    <n v="2"/>
    <n v="778.56"/>
    <n v="0.11"/>
    <s v="COD"/>
    <n v="1385.8368"/>
    <n v="1535359.226999999"/>
    <n v="1076.6894999999993"/>
    <n v="496"/>
    <s v="High Value"/>
    <s v="Dec-2023"/>
    <s v="Ceramic Plant Pot"/>
    <x v="3"/>
  </r>
  <r>
    <s v="PROD50"/>
    <s v="STORE19"/>
    <n v="4"/>
    <n v="280.16000000000003"/>
    <n v="0.18"/>
    <s v="COD"/>
    <n v="918.92480000000012"/>
    <n v="1533973.3901999991"/>
    <n v="1076.4725545263152"/>
    <n v="496"/>
    <s v="Low Value"/>
    <s v="Mar-2024"/>
    <s v="Boxing Hand Wraps"/>
    <x v="0"/>
  </r>
  <r>
    <s v="PROD71"/>
    <s v="STORE13"/>
    <n v="2"/>
    <n v="649.54999999999995"/>
    <n v="0.28999999999999998"/>
    <s v="PayPal"/>
    <n v="922.36099999999988"/>
    <n v="1533054.4653999992"/>
    <n v="1076.5831919943814"/>
    <n v="496"/>
    <s v="Low Value"/>
    <s v="Oct-2024"/>
    <s v="Hair Repair Oil Treatment"/>
    <x v="2"/>
  </r>
  <r>
    <s v="PROD88"/>
    <s v="STORE2"/>
    <n v="2"/>
    <n v="994.32"/>
    <n v="0.27"/>
    <s v="PayPal"/>
    <n v="1451.7072000000001"/>
    <n v="1532132.1043999991"/>
    <n v="1076.6915702037943"/>
    <n v="495"/>
    <s v="High Value"/>
    <s v="Mar-2024"/>
    <s v="Sports Wrist Sweatbands"/>
    <x v="0"/>
  </r>
  <r>
    <s v="PROD81"/>
    <s v="STORE12"/>
    <n v="1"/>
    <n v="64.94"/>
    <n v="0.21"/>
    <s v="PayPal"/>
    <n v="51.302599999999998"/>
    <n v="1530680.3971999991"/>
    <n v="1076.4278461322076"/>
    <n v="494"/>
    <s v="Low Value"/>
    <s v="Dec-2024"/>
    <s v="Badminton Racket Set"/>
    <x v="0"/>
  </r>
  <r>
    <s v="PROD39"/>
    <s v="STORE7"/>
    <n v="2"/>
    <n v="507.66"/>
    <n v="0"/>
    <s v="COD"/>
    <n v="1015.32"/>
    <n v="1530629.094599999"/>
    <n v="1077.1492572836023"/>
    <n v="493"/>
    <s v="High Value"/>
    <s v="Feb-2025"/>
    <s v="Portable Power Bank"/>
    <x v="1"/>
  </r>
  <r>
    <s v="PROD81"/>
    <s v="STORE4"/>
    <n v="4"/>
    <n v="968.27"/>
    <n v="0.03"/>
    <s v="PayPal"/>
    <n v="3756.8876"/>
    <n v="1529613.7745999992"/>
    <n v="1077.1927990140839"/>
    <n v="493"/>
    <s v="High Value"/>
    <s v="Dec-2023"/>
    <s v="Badminton Racket Set"/>
    <x v="0"/>
  </r>
  <r>
    <s v="PROD88"/>
    <s v="STORE5"/>
    <n v="4"/>
    <n v="510.33"/>
    <n v="0.2"/>
    <s v="PayPal"/>
    <n v="1633.056"/>
    <n v="1525856.8869999989"/>
    <n v="1075.3043601127547"/>
    <n v="492"/>
    <s v="High Value"/>
    <s v="Nov-2023"/>
    <s v="Sports Wrist Sweatbands"/>
    <x v="0"/>
  </r>
  <r>
    <s v="PROD44"/>
    <s v="STORE19"/>
    <n v="2"/>
    <n v="156.72999999999999"/>
    <n v="0.18"/>
    <s v="COD"/>
    <n v="257.03719999999998"/>
    <n v="1524223.8309999991"/>
    <n v="1074.9110232722137"/>
    <n v="491"/>
    <s v="Low Value"/>
    <s v="Sep-2024"/>
    <s v="Adjustable Jump Rope"/>
    <x v="0"/>
  </r>
  <r>
    <s v="PROD99"/>
    <s v="STORE10"/>
    <n v="3"/>
    <n v="53.83"/>
    <n v="0.24"/>
    <s v="Credit Card"/>
    <n v="122.7324"/>
    <n v="1523966.7937999989"/>
    <n v="1075.4882101623141"/>
    <n v="491"/>
    <s v="Low Value"/>
    <s v="Jun-2025"/>
    <s v="Stainless Steel Cookware Set"/>
    <x v="3"/>
  </r>
  <r>
    <s v="PROD78"/>
    <s v="STORE4"/>
    <n v="1"/>
    <n v="34.71"/>
    <n v="0.1"/>
    <s v="COD"/>
    <n v="31.239000000000001"/>
    <n v="1523844.0613999991"/>
    <n v="1076.1610603107338"/>
    <n v="491"/>
    <s v="Low Value"/>
    <s v="Feb-2024"/>
    <s v="Essential Oil Diffuser"/>
    <x v="3"/>
  </r>
  <r>
    <s v="PROD77"/>
    <s v="STORE1"/>
    <n v="2"/>
    <n v="829.15"/>
    <n v="0.11"/>
    <s v="PayPal"/>
    <n v="1475.8869999999999"/>
    <n v="1523812.822399999"/>
    <n v="1076.8995211307413"/>
    <n v="491"/>
    <s v="High Value"/>
    <s v="Dec-2024"/>
    <s v="WiFi Mesh Router"/>
    <x v="1"/>
  </r>
  <r>
    <s v="PROD98"/>
    <s v="STORE3"/>
    <n v="2"/>
    <n v="481.86"/>
    <n v="0.1"/>
    <s v="COD"/>
    <n v="867.34800000000007"/>
    <n v="1522336.9353999989"/>
    <n v="1076.6173517680331"/>
    <n v="490"/>
    <s v="Low Value"/>
    <s v="May-2025"/>
    <s v="Portable Bluetooth Speaker"/>
    <x v="1"/>
  </r>
  <r>
    <s v="PROD52"/>
    <s v="STORE7"/>
    <n v="4"/>
    <n v="915.17"/>
    <n v="0.19"/>
    <s v="COD"/>
    <n v="2965.1507999999999"/>
    <n v="1521469.5873999989"/>
    <n v="1076.7654546355266"/>
    <n v="490"/>
    <s v="High Value"/>
    <s v="Mar-2024"/>
    <s v="Rugby Ball"/>
    <x v="0"/>
  </r>
  <r>
    <s v="PROD71"/>
    <s v="STORE18"/>
    <n v="1"/>
    <n v="250.95"/>
    <n v="0.03"/>
    <s v="PayPal"/>
    <n v="243.42150000000001"/>
    <n v="1518504.436599999"/>
    <n v="1075.4280712464581"/>
    <n v="490"/>
    <s v="Low Value"/>
    <s v="Mar-2024"/>
    <s v="Hair Repair Oil Treatment"/>
    <x v="2"/>
  </r>
  <r>
    <s v="PROD96"/>
    <s v="STORE5"/>
    <n v="3"/>
    <n v="882.84"/>
    <n v="0.1"/>
    <s v="Credit Card"/>
    <n v="2383.6680000000001"/>
    <n v="1518261.015099999"/>
    <n v="1076.017728632175"/>
    <n v="489"/>
    <s v="High Value"/>
    <s v="Nov-2023"/>
    <s v="Women's Formal Blazer"/>
    <x v="4"/>
  </r>
  <r>
    <s v="PROD19"/>
    <s v="STORE18"/>
    <n v="4"/>
    <n v="573.37"/>
    <n v="0.04"/>
    <s v="COD"/>
    <n v="2201.7408"/>
    <n v="1515877.3470999987"/>
    <n v="1075.0903170921977"/>
    <n v="489"/>
    <s v="High Value"/>
    <s v="Feb-2025"/>
    <s v="Knee Support Brace"/>
    <x v="0"/>
  </r>
  <r>
    <s v="PROD32"/>
    <s v="STORE12"/>
    <n v="3"/>
    <n v="622.72"/>
    <n v="0.04"/>
    <s v="Credit Card"/>
    <n v="1793.4336000000001"/>
    <n v="1513675.6062999987"/>
    <n v="1074.2907070972312"/>
    <n v="489"/>
    <s v="High Value"/>
    <s v="Jan-2024"/>
    <s v="Vitamin C Face Serum"/>
    <x v="2"/>
  </r>
  <r>
    <s v="PROD92"/>
    <s v="STORE17"/>
    <n v="3"/>
    <n v="259.74"/>
    <n v="0.24"/>
    <s v="Credit Card"/>
    <n v="592.20720000000006"/>
    <n v="1511882.1726999988"/>
    <n v="1073.7799522017037"/>
    <n v="489"/>
    <s v="Low Value"/>
    <s v="Oct-2025"/>
    <s v="Microwave Oven"/>
    <x v="3"/>
  </r>
  <r>
    <s v="PROD28"/>
    <s v="STORE13"/>
    <n v="4"/>
    <n v="951.09"/>
    <n v="0.14000000000000001"/>
    <s v="COD"/>
    <n v="3271.7496000000001"/>
    <n v="1511289.9654999988"/>
    <n v="1074.1222213930339"/>
    <n v="489"/>
    <s v="High Value"/>
    <s v="Apr-2025"/>
    <s v="Sports Stopwatch Timer"/>
    <x v="0"/>
  </r>
  <r>
    <s v="PROD99"/>
    <s v="STORE2"/>
    <n v="1"/>
    <n v="71.709999999999994"/>
    <n v="0.23"/>
    <s v="COD"/>
    <n v="55.216700000000003"/>
    <n v="1508018.2158999988"/>
    <n v="1072.5591862731144"/>
    <n v="489"/>
    <s v="Low Value"/>
    <s v="Apr-2025"/>
    <s v="Stainless Steel Cookware Set"/>
    <x v="3"/>
  </r>
  <r>
    <s v="PROD20"/>
    <s v="STORE7"/>
    <n v="4"/>
    <n v="894.93"/>
    <n v="0.05"/>
    <s v="COD"/>
    <n v="3400.733999999999"/>
    <n v="1507962.9991999988"/>
    <n v="1073.2832734519563"/>
    <n v="489"/>
    <s v="High Value"/>
    <s v="Aug-2025"/>
    <s v="Outdoor Sports Water Bottle"/>
    <x v="0"/>
  </r>
  <r>
    <s v="PROD78"/>
    <s v="STORE8"/>
    <n v="4"/>
    <n v="870.18"/>
    <n v="0.13"/>
    <s v="COD"/>
    <n v="3028.2264"/>
    <n v="1504562.2651999989"/>
    <n v="1071.6255450142442"/>
    <n v="489"/>
    <s v="High Value"/>
    <s v="Jul-2025"/>
    <s v="Essential Oil Diffuser"/>
    <x v="3"/>
  </r>
  <r>
    <s v="PROD64"/>
    <s v="STORE2"/>
    <n v="2"/>
    <n v="552.72"/>
    <n v="0.06"/>
    <s v="PayPal"/>
    <n v="1039.1135999999999"/>
    <n v="1501534.0387999988"/>
    <n v="1070.2309613684952"/>
    <n v="489"/>
    <s v="High Value"/>
    <s v="Mar-2024"/>
    <s v="Matte Lipstick Set"/>
    <x v="2"/>
  </r>
  <r>
    <s v="PROD39"/>
    <s v="STORE8"/>
    <n v="3"/>
    <n v="700.43"/>
    <n v="0.01"/>
    <s v="COD"/>
    <n v="2080.2770999999998"/>
    <n v="1500494.9251999988"/>
    <n v="1070.2531563480734"/>
    <n v="488"/>
    <s v="High Value"/>
    <s v="Nov-2023"/>
    <s v="Portable Power Bank"/>
    <x v="1"/>
  </r>
  <r>
    <s v="PROD9"/>
    <s v="STORE2"/>
    <n v="2"/>
    <n v="823.03"/>
    <n v="0.18"/>
    <s v="PayPal"/>
    <n v="1349.7692"/>
    <n v="1498414.6480999989"/>
    <n v="1069.5322256245531"/>
    <n v="488"/>
    <s v="High Value"/>
    <s v="May-2025"/>
    <s v="Adjustable Dumbbell Set"/>
    <x v="0"/>
  </r>
  <r>
    <s v="PROD92"/>
    <s v="STORE6"/>
    <n v="1"/>
    <n v="117.37"/>
    <n v="0.21"/>
    <s v="Credit Card"/>
    <n v="92.722300000000004"/>
    <n v="1497064.8788999992"/>
    <n v="1069.3320563571424"/>
    <n v="487"/>
    <s v="Low Value"/>
    <s v="Apr-2024"/>
    <s v="Microwave Oven"/>
    <x v="3"/>
  </r>
  <r>
    <s v="PROD56"/>
    <s v="STORE1"/>
    <n v="4"/>
    <n v="165.37"/>
    <n v="0.28999999999999998"/>
    <s v="Credit Card"/>
    <n v="469.6508"/>
    <n v="1496972.1565999992"/>
    <n v="1070.0301333809857"/>
    <n v="487"/>
    <s v="Low Value"/>
    <s v="Feb-2025"/>
    <s v="Premium Blanket Throw"/>
    <x v="3"/>
  </r>
  <r>
    <s v="PROD6"/>
    <s v="STORE10"/>
    <n v="3"/>
    <n v="483.06"/>
    <n v="0.05"/>
    <s v="Credit Card"/>
    <n v="1376.721"/>
    <n v="1496502.5057999992"/>
    <n v="1070.4595892703858"/>
    <n v="487"/>
    <s v="High Value"/>
    <s v="Mar-2025"/>
    <s v="Herbal Face Moisturizer"/>
    <x v="2"/>
  </r>
  <r>
    <s v="PROD81"/>
    <s v="STORE7"/>
    <n v="4"/>
    <n v="262.05"/>
    <n v="0.24"/>
    <s v="PayPal"/>
    <n v="796.63200000000006"/>
    <n v="1495125.7847999991"/>
    <n v="1070.2403613457402"/>
    <n v="487"/>
    <s v="Low Value"/>
    <s v="Mar-2024"/>
    <s v="Badminton Racket Set"/>
    <x v="0"/>
  </r>
  <r>
    <s v="PROD14"/>
    <s v="STORE14"/>
    <n v="3"/>
    <n v="970.89"/>
    <n v="0.11"/>
    <s v="COD"/>
    <n v="2592.2763"/>
    <n v="1494329.1527999991"/>
    <n v="1070.4363558739249"/>
    <n v="486"/>
    <s v="High Value"/>
    <s v="Dec-2024"/>
    <s v="Decorative Wall Mirror"/>
    <x v="3"/>
  </r>
  <r>
    <s v="PROD72"/>
    <s v="STORE0"/>
    <n v="1"/>
    <n v="61.11"/>
    <n v="0.1"/>
    <s v="PayPal"/>
    <n v="54.999000000000002"/>
    <n v="1491736.8764999991"/>
    <n v="1069.345431182795"/>
    <n v="486"/>
    <s v="Low Value"/>
    <s v="Oct-2023"/>
    <s v="Professional Jump Rope"/>
    <x v="0"/>
  </r>
  <r>
    <s v="PROD27"/>
    <s v="STORE8"/>
    <n v="3"/>
    <n v="827.88"/>
    <n v="0.19"/>
    <s v="PayPal"/>
    <n v="2011.7483999999999"/>
    <n v="1491681.877499999"/>
    <n v="1070.0730828550925"/>
    <n v="485"/>
    <s v="High Value"/>
    <s v="Sep-2024"/>
    <s v="Decorative Floor Vase"/>
    <x v="3"/>
  </r>
  <r>
    <s v="PROD87"/>
    <s v="STORE13"/>
    <n v="3"/>
    <n v="926.85"/>
    <n v="0.18"/>
    <s v="COD"/>
    <n v="2280.0509999999999"/>
    <n v="1489670.1290999993"/>
    <n v="1069.3970776022968"/>
    <n v="484"/>
    <s v="High Value"/>
    <s v="Oct-2024"/>
    <s v="LED Bedside Lamp"/>
    <x v="3"/>
  </r>
  <r>
    <s v="PROD10"/>
    <s v="STORE14"/>
    <n v="1"/>
    <n v="874.59"/>
    <n v="0.28999999999999998"/>
    <s v="PayPal"/>
    <n v="620.95889999999997"/>
    <n v="1487390.0780999991"/>
    <n v="1068.5273549568958"/>
    <n v="484"/>
    <s v="Low Value"/>
    <s v="Jan-2025"/>
    <s v="Ceramic Kitchen Bowl Set"/>
    <x v="3"/>
  </r>
  <r>
    <s v="PROD15"/>
    <s v="STORE1"/>
    <n v="4"/>
    <n v="479.11"/>
    <n v="0.24"/>
    <s v="PayPal"/>
    <n v="1456.4944"/>
    <n v="1486769.1191999991"/>
    <n v="1068.8491151689425"/>
    <n v="483"/>
    <s v="High Value"/>
    <s v="Sep-2025"/>
    <s v="4K Home Projector"/>
    <x v="1"/>
  </r>
  <r>
    <s v="PROD32"/>
    <s v="STORE17"/>
    <n v="3"/>
    <n v="182.91"/>
    <n v="0.28999999999999998"/>
    <s v="Credit Card"/>
    <n v="389.59829999999999"/>
    <n v="1485312.6247999992"/>
    <n v="1068.5702336690642"/>
    <n v="482"/>
    <s v="Low Value"/>
    <s v="Jul-2024"/>
    <s v="Vitamin C Face Serum"/>
    <x v="2"/>
  </r>
  <r>
    <s v="PROD34"/>
    <s v="STORE5"/>
    <n v="4"/>
    <n v="745.51"/>
    <n v="0.05"/>
    <s v="Credit Card"/>
    <n v="2832.9380000000001"/>
    <n v="1484923.026499999"/>
    <n v="1069.0590543556509"/>
    <n v="482"/>
    <s v="High Value"/>
    <s v="Dec-2024"/>
    <s v="Gaming Mechanical Keyboard"/>
    <x v="1"/>
  </r>
  <r>
    <s v="PROD88"/>
    <s v="STORE15"/>
    <n v="3"/>
    <n v="920.61"/>
    <n v="0.04"/>
    <s v="Credit Card"/>
    <n v="2651.3568"/>
    <n v="1482090.0884999989"/>
    <n v="1067.7882481988465"/>
    <n v="482"/>
    <s v="High Value"/>
    <s v="Nov-2024"/>
    <s v="Sports Wrist Sweatbands"/>
    <x v="0"/>
  </r>
  <r>
    <s v="PROD75"/>
    <s v="STORE10"/>
    <n v="4"/>
    <n v="659.03"/>
    <n v="0.15"/>
    <s v="Credit Card"/>
    <n v="2240.7020000000002"/>
    <n v="1479438.731699999"/>
    <n v="1066.6465260994946"/>
    <n v="482"/>
    <s v="High Value"/>
    <s v="Apr-2025"/>
    <s v="Women's Ankle Boots"/>
    <x v="4"/>
  </r>
  <r>
    <s v="PROD9"/>
    <s v="STORE2"/>
    <n v="1"/>
    <n v="312.91000000000003"/>
    <n v="0.12"/>
    <s v="PayPal"/>
    <n v="275.36079999999998"/>
    <n v="1477198.0296999989"/>
    <n v="1065.7994442279935"/>
    <n v="482"/>
    <s v="Low Value"/>
    <s v="Feb-2024"/>
    <s v="Adjustable Dumbbell Set"/>
    <x v="0"/>
  </r>
  <r>
    <s v="PROD12"/>
    <s v="STORE18"/>
    <n v="4"/>
    <n v="705.64"/>
    <n v="0.11"/>
    <s v="PayPal"/>
    <n v="2512.0783999999999"/>
    <n v="1476922.6688999988"/>
    <n v="1066.3701580505406"/>
    <n v="481"/>
    <s v="High Value"/>
    <s v="Aug-2024"/>
    <s v="Hair Strengthening Shampoo"/>
    <x v="2"/>
  </r>
  <r>
    <s v="PROD9"/>
    <s v="STORE10"/>
    <n v="4"/>
    <n v="386.41"/>
    <n v="0.13"/>
    <s v="COD"/>
    <n v="1344.7067999999999"/>
    <n v="1474410.590499999"/>
    <n v="1065.3255711705194"/>
    <n v="480"/>
    <s v="High Value"/>
    <s v="Jul-2024"/>
    <s v="Adjustable Dumbbell Set"/>
    <x v="0"/>
  </r>
  <r>
    <s v="PROD94"/>
    <s v="STORE11"/>
    <n v="3"/>
    <n v="265.89"/>
    <n v="0.08"/>
    <s v="COD"/>
    <n v="733.85640000000001"/>
    <n v="1473065.883699999"/>
    <n v="1065.1235601590738"/>
    <n v="480"/>
    <s v="Low Value"/>
    <s v="Aug-2024"/>
    <s v="Vitamin E Body Lotion"/>
    <x v="2"/>
  </r>
  <r>
    <s v="PROD30"/>
    <s v="STORE16"/>
    <n v="1"/>
    <n v="703.16"/>
    <n v="0.28999999999999998"/>
    <s v="Credit Card"/>
    <n v="499.24360000000001"/>
    <n v="1472332.0272999988"/>
    <n v="1065.3632614327053"/>
    <n v="480"/>
    <s v="Low Value"/>
    <s v="Sep-2025"/>
    <s v="Stainless Steel Cutlery Set"/>
    <x v="3"/>
  </r>
  <r>
    <s v="PROD97"/>
    <s v="STORE13"/>
    <n v="2"/>
    <n v="394.5"/>
    <n v="0.28999999999999998"/>
    <s v="COD"/>
    <n v="560.18999999999994"/>
    <n v="1471832.7836999986"/>
    <n v="1065.7731960173778"/>
    <n v="480"/>
    <s v="Low Value"/>
    <s v="Apr-2025"/>
    <s v="Cricket Bat"/>
    <x v="0"/>
  </r>
  <r>
    <s v="PROD97"/>
    <s v="STORE7"/>
    <n v="3"/>
    <n v="411.25"/>
    <n v="0.05"/>
    <s v="Credit Card"/>
    <n v="1172.0625"/>
    <n v="1471272.5936999987"/>
    <n v="1066.139560652173"/>
    <n v="480"/>
    <s v="High Value"/>
    <s v="Aug-2025"/>
    <s v="Cricket Bat"/>
    <x v="0"/>
  </r>
  <r>
    <s v="PROD48"/>
    <s v="STORE2"/>
    <n v="4"/>
    <n v="395.45"/>
    <n v="0.01"/>
    <s v="Credit Card"/>
    <n v="1565.982"/>
    <n v="1470100.5311999989"/>
    <n v="1066.0627492385779"/>
    <n v="480"/>
    <s v="High Value"/>
    <s v="Sep-2025"/>
    <s v="Car Dashboard Phone Holder"/>
    <x v="1"/>
  </r>
  <r>
    <s v="PROD90"/>
    <s v="STORE5"/>
    <n v="2"/>
    <n v="678.98"/>
    <n v="0.23"/>
    <s v="Credit Card"/>
    <n v="1045.6292000000001"/>
    <n v="1468534.5491999988"/>
    <n v="1065.6999631349775"/>
    <n v="480"/>
    <s v="High Value"/>
    <s v="May-2024"/>
    <s v="Gaming Mouse Pad XL"/>
    <x v="1"/>
  </r>
  <r>
    <s v="PROD27"/>
    <s v="STORE14"/>
    <n v="4"/>
    <n v="757.71"/>
    <n v="0.26"/>
    <s v="COD"/>
    <n v="2242.8216000000002"/>
    <n v="1467488.919999999"/>
    <n v="1065.7145388525773"/>
    <n v="480"/>
    <s v="High Value"/>
    <s v="Nov-2024"/>
    <s v="Decorative Floor Vase"/>
    <x v="3"/>
  </r>
  <r>
    <s v="PROD94"/>
    <s v="STORE4"/>
    <n v="1"/>
    <n v="647.86"/>
    <n v="0.05"/>
    <s v="COD"/>
    <n v="615.46699999999998"/>
    <n v="1465246.0983999986"/>
    <n v="1064.8590831395338"/>
    <n v="480"/>
    <s v="Low Value"/>
    <s v="Dec-2024"/>
    <s v="Vitamin E Body Lotion"/>
    <x v="2"/>
  </r>
  <r>
    <s v="PROD12"/>
    <s v="STORE6"/>
    <n v="2"/>
    <n v="179.64"/>
    <n v="0.1"/>
    <s v="PayPal"/>
    <n v="323.35199999999998"/>
    <n v="1464630.6313999989"/>
    <n v="1065.1859137454537"/>
    <n v="480"/>
    <s v="Low Value"/>
    <s v="Aug-2024"/>
    <s v="Hair Strengthening Shampoo"/>
    <x v="2"/>
  </r>
  <r>
    <s v="PROD62"/>
    <s v="STORE4"/>
    <n v="3"/>
    <n v="392.65"/>
    <n v="0.17"/>
    <s v="PayPal"/>
    <n v="977.69849999999985"/>
    <n v="1464307.279399999"/>
    <n v="1065.7258219796208"/>
    <n v="479"/>
    <s v="Low Value"/>
    <s v="Sep-2024"/>
    <s v="Laptop Cooling Pad"/>
    <x v="1"/>
  </r>
  <r>
    <s v="PROD91"/>
    <s v="STORE16"/>
    <n v="4"/>
    <n v="969.55"/>
    <n v="0.09"/>
    <s v="COD"/>
    <n v="3529.1619999999998"/>
    <n v="1463329.580899999"/>
    <n v="1065.7899351056074"/>
    <n v="478"/>
    <s v="High Value"/>
    <s v="Sep-2024"/>
    <s v="Women's High Heels"/>
    <x v="4"/>
  </r>
  <r>
    <s v="PROD74"/>
    <s v="STORE12"/>
    <n v="3"/>
    <n v="322.94"/>
    <n v="0.01"/>
    <s v="Credit Card"/>
    <n v="959.13179999999988"/>
    <n v="1459800.4188999988"/>
    <n v="1063.9944744169088"/>
    <n v="478"/>
    <s v="Low Value"/>
    <s v="May-2024"/>
    <s v="Bluetooth Car Audio System"/>
    <x v="1"/>
  </r>
  <r>
    <s v="PROD83"/>
    <s v="STORE0"/>
    <n v="1"/>
    <n v="92.83"/>
    <n v="0.26"/>
    <s v="PayPal"/>
    <n v="68.694199999999995"/>
    <n v="1458841.2870999987"/>
    <n v="1064.0709606856299"/>
    <n v="478"/>
    <s v="Low Value"/>
    <s v="May-2025"/>
    <s v="Hydrating Face Cleanser"/>
    <x v="2"/>
  </r>
  <r>
    <s v="PROD8"/>
    <s v="STORE3"/>
    <n v="4"/>
    <n v="432.29"/>
    <n v="0.16"/>
    <s v="COD"/>
    <n v="1452.4944"/>
    <n v="1458772.5928999986"/>
    <n v="1064.7975130656926"/>
    <n v="477"/>
    <s v="High Value"/>
    <s v="May-2025"/>
    <s v="Wireless Bluetooth Earbuds"/>
    <x v="1"/>
  </r>
  <r>
    <s v="PROD39"/>
    <s v="STORE13"/>
    <n v="2"/>
    <n v="925.78"/>
    <n v="0.14000000000000001"/>
    <s v="COD"/>
    <n v="1592.3416"/>
    <n v="1457320.0984999987"/>
    <n v="1064.5143159240313"/>
    <n v="477"/>
    <s v="High Value"/>
    <s v="Jan-2024"/>
    <s v="Portable Power Bank"/>
    <x v="1"/>
  </r>
  <r>
    <s v="PROD25"/>
    <s v="STORE11"/>
    <n v="2"/>
    <n v="151.47"/>
    <n v="0.21"/>
    <s v="PayPal"/>
    <n v="239.32259999999999"/>
    <n v="1455727.7568999985"/>
    <n v="1064.1284772660808"/>
    <n v="477"/>
    <s v="Low Value"/>
    <s v="Nov-2024"/>
    <s v="Women's Scarf Set"/>
    <x v="4"/>
  </r>
  <r>
    <s v="PROD83"/>
    <s v="STORE10"/>
    <n v="1"/>
    <n v="343.05"/>
    <n v="0.28000000000000003"/>
    <s v="PayPal"/>
    <n v="246.99600000000001"/>
    <n v="1455488.4342999985"/>
    <n v="1064.7318465983894"/>
    <n v="476"/>
    <s v="Low Value"/>
    <s v="Feb-2024"/>
    <s v="Hydrating Face Cleanser"/>
    <x v="2"/>
  </r>
  <r>
    <s v="PROD17"/>
    <s v="STORE4"/>
    <n v="1"/>
    <n v="373.06"/>
    <n v="0.11"/>
    <s v="PayPal"/>
    <n v="332.02339999999998"/>
    <n v="1455241.4382999984"/>
    <n v="1065.3304819180075"/>
    <n v="475"/>
    <s v="Low Value"/>
    <s v="Dec-2024"/>
    <s v="Soccer Training Cone Set"/>
    <x v="0"/>
  </r>
  <r>
    <s v="PROD18"/>
    <s v="STORE15"/>
    <n v="1"/>
    <n v="124.98"/>
    <n v="7.0000000000000007E-2"/>
    <s v="COD"/>
    <n v="116.23139999999999"/>
    <n v="1454909.4148999986"/>
    <n v="1065.8677032234423"/>
    <n v="474"/>
    <s v="Low Value"/>
    <s v="Feb-2025"/>
    <s v="Women's Denim Jeans"/>
    <x v="4"/>
  </r>
  <r>
    <s v="PROD73"/>
    <s v="STORE19"/>
    <n v="4"/>
    <n v="221.49"/>
    <n v="0.26"/>
    <s v="PayPal"/>
    <n v="655.61040000000003"/>
    <n v="1454793.1834999984"/>
    <n v="1066.5639175219931"/>
    <n v="474"/>
    <s v="Low Value"/>
    <s v="Apr-2025"/>
    <s v="Shin Guards – Adult"/>
    <x v="0"/>
  </r>
  <r>
    <s v="PROD23"/>
    <s v="STORE15"/>
    <n v="1"/>
    <n v="563.32000000000005"/>
    <n v="0.01"/>
    <s v="PayPal"/>
    <n v="557.68680000000006"/>
    <n v="1454137.5730999983"/>
    <n v="1066.8654241379297"/>
    <n v="473"/>
    <s v="Low Value"/>
    <s v="Oct-2024"/>
    <s v="Men's Formal Shirt"/>
    <x v="4"/>
  </r>
  <r>
    <s v="PROD11"/>
    <s v="STORE0"/>
    <n v="1"/>
    <n v="362.93"/>
    <n v="0.27"/>
    <s v="Credit Card"/>
    <n v="264.93889999999999"/>
    <n v="1453579.8862999983"/>
    <n v="1067.2392704111587"/>
    <n v="472"/>
    <s v="Low Value"/>
    <s v="Feb-2024"/>
    <s v="HD Smart TV Stick"/>
    <x v="1"/>
  </r>
  <r>
    <s v="PROD11"/>
    <s v="STORE15"/>
    <n v="4"/>
    <n v="369.22"/>
    <n v="0.18"/>
    <s v="COD"/>
    <n v="1211.0416"/>
    <n v="1453314.9473999983"/>
    <n v="1067.8287637031583"/>
    <n v="472"/>
    <s v="High Value"/>
    <s v="Mar-2024"/>
    <s v="HD Smart TV Stick"/>
    <x v="1"/>
  </r>
  <r>
    <s v="PROD96"/>
    <s v="STORE14"/>
    <n v="3"/>
    <n v="950.83"/>
    <n v="0.06"/>
    <s v="PayPal"/>
    <n v="2681.3406"/>
    <n v="1452103.9057999982"/>
    <n v="1067.7234601470575"/>
    <n v="472"/>
    <s v="High Value"/>
    <s v="Oct-2024"/>
    <s v="Women's Formal Blazer"/>
    <x v="4"/>
  </r>
  <r>
    <s v="PROD37"/>
    <s v="STORE13"/>
    <n v="3"/>
    <n v="338.79"/>
    <n v="0.01"/>
    <s v="Credit Card"/>
    <n v="1006.2063000000001"/>
    <n v="1449422.565199998"/>
    <n v="1066.5361038999249"/>
    <n v="471"/>
    <s v="High Value"/>
    <s v="Mar-2024"/>
    <s v="Men's Casual Sneakers"/>
    <x v="4"/>
  </r>
  <r>
    <s v="PROD90"/>
    <s v="STORE1"/>
    <n v="3"/>
    <n v="853.32"/>
    <n v="7.0000000000000007E-2"/>
    <s v="COD"/>
    <n v="2380.7628"/>
    <n v="1448416.3588999978"/>
    <n v="1066.5805293814417"/>
    <n v="471"/>
    <s v="High Value"/>
    <s v="Feb-2025"/>
    <s v="Gaming Mouse Pad XL"/>
    <x v="1"/>
  </r>
  <r>
    <s v="PROD76"/>
    <s v="STORE6"/>
    <n v="3"/>
    <n v="89.78"/>
    <n v="0.2"/>
    <s v="COD"/>
    <n v="215.47200000000001"/>
    <n v="1446035.5960999976"/>
    <n v="1065.612082608694"/>
    <n v="471"/>
    <s v="Low Value"/>
    <s v="Oct-2024"/>
    <s v="Wireless Mouse"/>
    <x v="1"/>
  </r>
  <r>
    <s v="PROD55"/>
    <s v="STORE1"/>
    <n v="1"/>
    <n v="172.04"/>
    <n v="0.04"/>
    <s v="PayPal"/>
    <n v="165.1584"/>
    <n v="1445820.1240999976"/>
    <n v="1066.2390295722696"/>
    <n v="471"/>
    <s v="Low Value"/>
    <s v="Feb-2024"/>
    <s v="Ceramic Plant Pot"/>
    <x v="3"/>
  </r>
  <r>
    <s v="PROD54"/>
    <s v="STORE1"/>
    <n v="1"/>
    <n v="389.2"/>
    <n v="0.05"/>
    <s v="Credit Card"/>
    <n v="369.74"/>
    <n v="1445654.9656999977"/>
    <n v="1066.9040337269355"/>
    <n v="470"/>
    <s v="Low Value"/>
    <s v="Feb-2024"/>
    <s v="Sports Stopwatch Pro"/>
    <x v="0"/>
  </r>
  <r>
    <s v="PROD77"/>
    <s v="STORE13"/>
    <n v="3"/>
    <n v="865.96"/>
    <n v="0.12"/>
    <s v="PayPal"/>
    <n v="2286.1343999999999"/>
    <n v="1445285.2256999977"/>
    <n v="1067.4189259231889"/>
    <n v="470"/>
    <s v="High Value"/>
    <s v="May-2025"/>
    <s v="WiFi Mesh Router"/>
    <x v="1"/>
  </r>
  <r>
    <s v="PROD19"/>
    <s v="STORE1"/>
    <n v="3"/>
    <n v="79.95"/>
    <n v="0.2"/>
    <s v="COD"/>
    <n v="191.88"/>
    <n v="1442999.0912999976"/>
    <n v="1066.5181753880249"/>
    <n v="469"/>
    <s v="Low Value"/>
    <s v="Oct-2024"/>
    <s v="Knee Support Brace"/>
    <x v="0"/>
  </r>
  <r>
    <s v="PROD26"/>
    <s v="STORE7"/>
    <n v="1"/>
    <n v="566.5"/>
    <n v="0.25"/>
    <s v="COD"/>
    <n v="424.875"/>
    <n v="1442807.2112999978"/>
    <n v="1067.1650971153829"/>
    <n v="469"/>
    <s v="Low Value"/>
    <s v="Nov-2023"/>
    <s v="Wireless Bluetooth Speaker"/>
    <x v="1"/>
  </r>
  <r>
    <s v="PROD21"/>
    <s v="STORE0"/>
    <n v="2"/>
    <n v="347.95"/>
    <n v="0.13"/>
    <s v="COD"/>
    <n v="605.43299999999999"/>
    <n v="1442382.3362999978"/>
    <n v="1067.6405153960013"/>
    <n v="469"/>
    <s v="Low Value"/>
    <s v="May-2025"/>
    <s v="Multi-Purpose Storage Box"/>
    <x v="3"/>
  </r>
  <r>
    <s v="PROD58"/>
    <s v="STORE3"/>
    <n v="2"/>
    <n v="250.83"/>
    <n v="0.15"/>
    <s v="PayPal"/>
    <n v="426.411"/>
    <n v="1441776.9032999978"/>
    <n v="1067.9828913333317"/>
    <n v="469"/>
    <s v="Low Value"/>
    <s v="Feb-2024"/>
    <s v="Womens Cotton Scarf"/>
    <x v="4"/>
  </r>
  <r>
    <s v="PROD71"/>
    <s v="STORE1"/>
    <n v="1"/>
    <n v="888.05"/>
    <n v="0.2"/>
    <s v="PayPal"/>
    <n v="710.44"/>
    <n v="1441350.4922999977"/>
    <n v="1068.458482060784"/>
    <n v="468"/>
    <s v="Low Value"/>
    <s v="Mar-2025"/>
    <s v="Hair Repair Oil Treatment"/>
    <x v="2"/>
  </r>
  <r>
    <s v="PROD39"/>
    <s v="STORE18"/>
    <n v="2"/>
    <n v="673.02"/>
    <n v="0.11"/>
    <s v="PayPal"/>
    <n v="1197.9756"/>
    <n v="1440640.0522999978"/>
    <n v="1068.7240744065266"/>
    <n v="467"/>
    <s v="High Value"/>
    <s v="Aug-2024"/>
    <s v="Portable Power Bank"/>
    <x v="1"/>
  </r>
  <r>
    <s v="PROD64"/>
    <s v="STORE3"/>
    <n v="2"/>
    <n v="492.62"/>
    <n v="0.26"/>
    <s v="COD"/>
    <n v="729.07759999999996"/>
    <n v="1439442.0766999978"/>
    <n v="1068.6281193021512"/>
    <n v="466"/>
    <s v="Low Value"/>
    <s v="Feb-2024"/>
    <s v="Matte Lipstick Set"/>
    <x v="2"/>
  </r>
  <r>
    <s v="PROD85"/>
    <s v="STORE3"/>
    <n v="4"/>
    <n v="986.93"/>
    <n v="0.01"/>
    <s v="Credit Card"/>
    <n v="3908.2428"/>
    <n v="1438712.9990999978"/>
    <n v="1068.8803856612169"/>
    <n v="466"/>
    <s v="High Value"/>
    <s v="Feb-2024"/>
    <s v="Women's Beanie Hat"/>
    <x v="4"/>
  </r>
  <r>
    <s v="PROD22"/>
    <s v="STORE12"/>
    <n v="4"/>
    <n v="411.68"/>
    <n v="0.06"/>
    <s v="PayPal"/>
    <n v="1547.9168"/>
    <n v="1434804.7562999979"/>
    <n v="1066.769335539032"/>
    <n v="466"/>
    <s v="High Value"/>
    <s v="Apr-2024"/>
    <s v="Carbon Fiber Tennis Racket"/>
    <x v="0"/>
  </r>
  <r>
    <s v="PROD36"/>
    <s v="STORE17"/>
    <n v="2"/>
    <n v="637.55999999999995"/>
    <n v="0.05"/>
    <s v="COD"/>
    <n v="1211.364"/>
    <n v="1433256.8394999977"/>
    <n v="1066.4113389136887"/>
    <n v="465"/>
    <s v="High Value"/>
    <s v="Apr-2024"/>
    <s v="Women's Summer Dress"/>
    <x v="4"/>
  </r>
  <r>
    <s v="PROD13"/>
    <s v="STORE3"/>
    <n v="3"/>
    <n v="706.87"/>
    <n v="0.27"/>
    <s v="Credit Card"/>
    <n v="1548.0453"/>
    <n v="1432045.4754999978"/>
    <n v="1066.3034069247935"/>
    <n v="465"/>
    <s v="High Value"/>
    <s v="Dec-2024"/>
    <s v="USB-C Fast Charger"/>
    <x v="1"/>
  </r>
  <r>
    <s v="PROD15"/>
    <s v="STORE6"/>
    <n v="2"/>
    <n v="884.48"/>
    <n v="0"/>
    <s v="COD"/>
    <n v="1768.96"/>
    <n v="1430497.430199998"/>
    <n v="1065.9444338301028"/>
    <n v="465"/>
    <s v="High Value"/>
    <s v="Dec-2024"/>
    <s v="4K Home Projector"/>
    <x v="1"/>
  </r>
  <r>
    <s v="PROD92"/>
    <s v="STORE4"/>
    <n v="3"/>
    <n v="718.23"/>
    <n v="0.19"/>
    <s v="PayPal"/>
    <n v="1745.2989"/>
    <n v="1428728.470199998"/>
    <n v="1065.4201865771797"/>
    <n v="465"/>
    <s v="High Value"/>
    <s v="Dec-2023"/>
    <s v="Microwave Oven"/>
    <x v="3"/>
  </r>
  <r>
    <s v="PROD90"/>
    <s v="STORE18"/>
    <n v="3"/>
    <n v="107.44"/>
    <n v="0.27"/>
    <s v="PayPal"/>
    <n v="235.2936"/>
    <n v="1426983.1712999979"/>
    <n v="1064.9128144029835"/>
    <n v="464"/>
    <s v="Low Value"/>
    <s v="Sep-2025"/>
    <s v="Gaming Mouse Pad XL"/>
    <x v="1"/>
  </r>
  <r>
    <s v="PROD46"/>
    <s v="STORE3"/>
    <n v="4"/>
    <n v="608.97"/>
    <n v="0.14000000000000001"/>
    <s v="COD"/>
    <n v="2094.8568"/>
    <n v="1426747.877699998"/>
    <n v="1065.5323955937251"/>
    <n v="463"/>
    <s v="High Value"/>
    <s v="Jan-2025"/>
    <s v="Men's Winter Jacket"/>
    <x v="4"/>
  </r>
  <r>
    <s v="PROD61"/>
    <s v="STORE6"/>
    <n v="3"/>
    <n v="260.45999999999998"/>
    <n v="0.09"/>
    <s v="Credit Card"/>
    <n v="711.05579999999986"/>
    <n v="1424653.020899998"/>
    <n v="1064.7630948430478"/>
    <n v="463"/>
    <s v="Low Value"/>
    <s v="Feb-2025"/>
    <s v="Tennis Ball 3-Pack"/>
    <x v="0"/>
  </r>
  <r>
    <s v="PROD22"/>
    <s v="STORE6"/>
    <n v="1"/>
    <n v="747.03"/>
    <n v="0.01"/>
    <s v="Credit Card"/>
    <n v="739.55970000000002"/>
    <n v="1423941.9650999978"/>
    <n v="1065.0276477935661"/>
    <n v="463"/>
    <s v="Low Value"/>
    <s v="Dec-2024"/>
    <s v="Carbon Fiber Tennis Racket"/>
    <x v="0"/>
  </r>
  <r>
    <s v="PROD16"/>
    <s v="STORE8"/>
    <n v="4"/>
    <n v="700.88"/>
    <n v="0.23"/>
    <s v="PayPal"/>
    <n v="2158.7103999999999"/>
    <n v="1423202.405399998"/>
    <n v="1065.2712615269445"/>
    <n v="463"/>
    <s v="High Value"/>
    <s v="Jul-2024"/>
    <s v="Beard Grooming Kit"/>
    <x v="2"/>
  </r>
  <r>
    <s v="PROD95"/>
    <s v="STORE14"/>
    <n v="4"/>
    <n v="20.09"/>
    <n v="0.16"/>
    <s v="PayPal"/>
    <n v="67.502399999999994"/>
    <n v="1421043.6949999982"/>
    <n v="1064.452205992508"/>
    <n v="462"/>
    <s v="Low Value"/>
    <s v="May-2025"/>
    <s v="Sports Stopwatch Basic"/>
    <x v="0"/>
  </r>
  <r>
    <s v="PROD37"/>
    <s v="STORE11"/>
    <n v="3"/>
    <n v="917.64"/>
    <n v="0.24"/>
    <s v="PayPal"/>
    <n v="2092.2192"/>
    <n v="1420976.1925999981"/>
    <n v="1065.1995446776598"/>
    <n v="461"/>
    <s v="High Value"/>
    <s v="Dec-2024"/>
    <s v="Men's Casual Sneakers"/>
    <x v="4"/>
  </r>
  <r>
    <s v="PROD21"/>
    <s v="STORE0"/>
    <n v="1"/>
    <n v="242.08"/>
    <n v="0.18"/>
    <s v="PayPal"/>
    <n v="198.50559999999999"/>
    <n v="1418883.9733999984"/>
    <n v="1064.4290873218292"/>
    <n v="460"/>
    <s v="Low Value"/>
    <s v="Oct-2024"/>
    <s v="Multi-Purpose Storage Box"/>
    <x v="3"/>
  </r>
  <r>
    <s v="PROD63"/>
    <s v="STORE7"/>
    <n v="1"/>
    <n v="536.67999999999995"/>
    <n v="0.27"/>
    <s v="Credit Card"/>
    <n v="391.77640000000002"/>
    <n v="1418685.4677999984"/>
    <n v="1065.0791800300287"/>
    <n v="459"/>
    <s v="Low Value"/>
    <s v="Oct-2024"/>
    <s v="Organic Sunscreen Lotion"/>
    <x v="2"/>
  </r>
  <r>
    <s v="PROD29"/>
    <s v="STORE4"/>
    <n v="2"/>
    <n v="145.18"/>
    <n v="0.26"/>
    <s v="PayPal"/>
    <n v="214.8664"/>
    <n v="1418293.6913999983"/>
    <n v="1065.5850423741535"/>
    <n v="459"/>
    <s v="Low Value"/>
    <s v="Apr-2025"/>
    <s v="Fabric Sofa Throw Blanket"/>
    <x v="3"/>
  </r>
  <r>
    <s v="PROD67"/>
    <s v="STORE4"/>
    <n v="2"/>
    <n v="132.77000000000001"/>
    <n v="0.13"/>
    <s v="COD"/>
    <n v="231.0198"/>
    <n v="1418078.8249999983"/>
    <n v="1066.2246804511265"/>
    <n v="458"/>
    <s v="Low Value"/>
    <s v="Mar-2024"/>
    <s v="Smart LED Light Strip"/>
    <x v="1"/>
  </r>
  <r>
    <s v="PROD41"/>
    <s v="STORE9"/>
    <n v="4"/>
    <n v="682.11"/>
    <n v="0.14000000000000001"/>
    <s v="Credit Card"/>
    <n v="2346.4584"/>
    <n v="1417847.8051999982"/>
    <n v="1066.8531265613231"/>
    <n v="458"/>
    <s v="High Value"/>
    <s v="Feb-2025"/>
    <s v="Yoga Exercise Mat"/>
    <x v="0"/>
  </r>
  <r>
    <s v="PROD40"/>
    <s v="STORE17"/>
    <n v="4"/>
    <n v="502.95"/>
    <n v="0.14000000000000001"/>
    <s v="COD"/>
    <n v="1730.1479999999999"/>
    <n v="1415501.3467999983"/>
    <n v="1065.8895683734927"/>
    <n v="458"/>
    <s v="High Value"/>
    <s v="Aug-2024"/>
    <s v="Noise-Canceling Headphones"/>
    <x v="1"/>
  </r>
  <r>
    <s v="PROD37"/>
    <s v="STORE16"/>
    <n v="2"/>
    <n v="472.08"/>
    <n v="7.0000000000000007E-2"/>
    <s v="Credit Card"/>
    <n v="878.0687999999999"/>
    <n v="1413771.1987999985"/>
    <n v="1065.3889968349649"/>
    <n v="458"/>
    <s v="Low Value"/>
    <s v="Sep-2024"/>
    <s v="Men's Casual Sneakers"/>
    <x v="4"/>
  </r>
  <r>
    <s v="PROD57"/>
    <s v="STORE17"/>
    <n v="2"/>
    <n v="218.11"/>
    <n v="0.02"/>
    <s v="COD"/>
    <n v="427.49560000000002"/>
    <n v="1412893.1299999985"/>
    <n v="1065.5302639517333"/>
    <n v="458"/>
    <s v="Low Value"/>
    <s v="Jan-2025"/>
    <s v="Foam Roller"/>
    <x v="0"/>
  </r>
  <r>
    <s v="PROD1"/>
    <s v="STORE6"/>
    <n v="4"/>
    <n v="845.58"/>
    <n v="0.06"/>
    <s v="PayPal"/>
    <n v="3179.3807999999999"/>
    <n v="1412465.6343999985"/>
    <n v="1066.0117995471687"/>
    <n v="458"/>
    <s v="High Value"/>
    <s v="Jul-2025"/>
    <s v="Men's Graphic T-Shirt"/>
    <x v="4"/>
  </r>
  <r>
    <s v="PROD80"/>
    <s v="STORE2"/>
    <n v="2"/>
    <n v="111.28"/>
    <n v="0.14000000000000001"/>
    <s v="Credit Card"/>
    <n v="191.4016"/>
    <n v="1409286.2535999983"/>
    <n v="1064.415599395769"/>
    <n v="457"/>
    <s v="Low Value"/>
    <s v="Nov-2023"/>
    <s v="Wall-Mounted Spice Rack"/>
    <x v="3"/>
  </r>
  <r>
    <s v="PROD59"/>
    <s v="STORE14"/>
    <n v="2"/>
    <n v="37.21"/>
    <n v="0.19"/>
    <s v="Credit Card"/>
    <n v="60.280200000000008"/>
    <n v="1409094.8519999983"/>
    <n v="1065.0754739229012"/>
    <n v="457"/>
    <s v="Low Value"/>
    <s v="Jul-2025"/>
    <s v="Men's Hair Styling Gel"/>
    <x v="2"/>
  </r>
  <r>
    <s v="PROD62"/>
    <s v="STORE13"/>
    <n v="1"/>
    <n v="331.73"/>
    <n v="0.04"/>
    <s v="Credit Card"/>
    <n v="318.46080000000001"/>
    <n v="1409034.5717999982"/>
    <n v="1065.8355308623284"/>
    <n v="457"/>
    <s v="Low Value"/>
    <s v="Oct-2023"/>
    <s v="Laptop Cooling Pad"/>
    <x v="1"/>
  </r>
  <r>
    <s v="PROD70"/>
    <s v="STORE12"/>
    <n v="3"/>
    <n v="306.70999999999998"/>
    <n v="0.09"/>
    <s v="PayPal"/>
    <n v="837.31829999999991"/>
    <n v="1408716.1109999982"/>
    <n v="1066.4012952308842"/>
    <n v="457"/>
    <s v="Low Value"/>
    <s v="Dec-2023"/>
    <s v="Kitchen Storage Rack"/>
    <x v="3"/>
  </r>
  <r>
    <s v="PROD25"/>
    <s v="STORE6"/>
    <n v="4"/>
    <n v="484.92"/>
    <n v="0.28000000000000003"/>
    <s v="PayPal"/>
    <n v="1396.5696"/>
    <n v="1407878.7926999982"/>
    <n v="1066.5748429545442"/>
    <n v="456"/>
    <s v="High Value"/>
    <s v="Jun-2024"/>
    <s v="Women's Scarf Set"/>
    <x v="4"/>
  </r>
  <r>
    <s v="PROD50"/>
    <s v="STORE5"/>
    <n v="2"/>
    <n v="42.04"/>
    <n v="7.0000000000000007E-2"/>
    <s v="Credit Card"/>
    <n v="78.194399999999987"/>
    <n v="1406482.2230999982"/>
    <n v="1066.3246573919623"/>
    <n v="455"/>
    <s v="Low Value"/>
    <s v="Jan-2024"/>
    <s v="Boxing Hand Wraps"/>
    <x v="0"/>
  </r>
  <r>
    <s v="PROD55"/>
    <s v="STORE6"/>
    <n v="3"/>
    <n v="599.48"/>
    <n v="0.22"/>
    <s v="PayPal"/>
    <n v="1402.7832000000001"/>
    <n v="1406404.0286999983"/>
    <n v="1067.0743768588757"/>
    <n v="455"/>
    <s v="High Value"/>
    <s v="Dec-2023"/>
    <s v="Ceramic Plant Pot"/>
    <x v="3"/>
  </r>
  <r>
    <s v="PROD17"/>
    <s v="STORE1"/>
    <n v="3"/>
    <n v="401.42"/>
    <n v="0.01"/>
    <s v="COD"/>
    <n v="1192.2174"/>
    <n v="1405001.2454999983"/>
    <n v="1066.8194726651468"/>
    <n v="454"/>
    <s v="High Value"/>
    <s v="Nov-2023"/>
    <s v="Soccer Training Cone Set"/>
    <x v="0"/>
  </r>
  <r>
    <s v="PROD46"/>
    <s v="STORE8"/>
    <n v="4"/>
    <n v="442.54"/>
    <n v="0.06"/>
    <s v="Credit Card"/>
    <n v="1663.9503999999999"/>
    <n v="1403809.0280999984"/>
    <n v="1066.7241854863209"/>
    <n v="454"/>
    <s v="High Value"/>
    <s v="Sep-2025"/>
    <s v="Men's Winter Jacket"/>
    <x v="4"/>
  </r>
  <r>
    <s v="PROD88"/>
    <s v="STORE13"/>
    <n v="4"/>
    <n v="451.41"/>
    <n v="0.06"/>
    <s v="PayPal"/>
    <n v="1697.3016"/>
    <n v="1402145.0776999984"/>
    <n v="1066.2700210646376"/>
    <n v="454"/>
    <s v="High Value"/>
    <s v="Dec-2023"/>
    <s v="Sports Wrist Sweatbands"/>
    <x v="0"/>
  </r>
  <r>
    <s v="PROD91"/>
    <s v="STORE9"/>
    <n v="4"/>
    <n v="547.21"/>
    <n v="0.25"/>
    <s v="Credit Card"/>
    <n v="1641.63"/>
    <n v="1400447.7760999985"/>
    <n v="1065.7897839421603"/>
    <n v="453"/>
    <s v="High Value"/>
    <s v="Oct-2025"/>
    <s v="Women's High Heels"/>
    <x v="4"/>
  </r>
  <r>
    <s v="PROD87"/>
    <s v="STORE4"/>
    <n v="1"/>
    <n v="979.28"/>
    <n v="0.2"/>
    <s v="PayPal"/>
    <n v="783.42399999999998"/>
    <n v="1398806.1460999984"/>
    <n v="1065.3512156130985"/>
    <n v="453"/>
    <s v="Low Value"/>
    <s v="Apr-2025"/>
    <s v="LED Bedside Lamp"/>
    <x v="3"/>
  </r>
  <r>
    <s v="PROD56"/>
    <s v="STORE7"/>
    <n v="4"/>
    <n v="263.58999999999997"/>
    <n v="0.04"/>
    <s v="Credit Card"/>
    <n v="1012.1856"/>
    <n v="1398022.7220999983"/>
    <n v="1065.5660991615841"/>
    <n v="452"/>
    <s v="High Value"/>
    <s v="Jan-2024"/>
    <s v="Premium Blanket Throw"/>
    <x v="3"/>
  </r>
  <r>
    <s v="PROD54"/>
    <s v="STORE5"/>
    <n v="1"/>
    <n v="692.75"/>
    <n v="0.11"/>
    <s v="COD"/>
    <n v="616.54750000000001"/>
    <n v="1397010.5364999983"/>
    <n v="1065.6068165522488"/>
    <n v="452"/>
    <s v="Low Value"/>
    <s v="Aug-2025"/>
    <s v="Sports Stopwatch Pro"/>
    <x v="0"/>
  </r>
  <r>
    <s v="PROD63"/>
    <s v="STORE3"/>
    <n v="3"/>
    <n v="142.83000000000001"/>
    <n v="0.01"/>
    <s v="Credit Card"/>
    <n v="424.20510000000002"/>
    <n v="1396393.9889999984"/>
    <n v="1065.9496099236628"/>
    <n v="452"/>
    <s v="Low Value"/>
    <s v="Jan-2024"/>
    <s v="Organic Sunscreen Lotion"/>
    <x v="2"/>
  </r>
  <r>
    <s v="PROD22"/>
    <s v="STORE2"/>
    <n v="2"/>
    <n v="419.25"/>
    <n v="0.17"/>
    <s v="PayPal"/>
    <n v="695.95499999999993"/>
    <n v="1395969.7838999983"/>
    <n v="1066.439865469823"/>
    <n v="452"/>
    <s v="Low Value"/>
    <s v="Jul-2025"/>
    <s v="Carbon Fiber Tennis Racket"/>
    <x v="0"/>
  </r>
  <r>
    <s v="PROD26"/>
    <s v="STORE19"/>
    <n v="2"/>
    <n v="800.84"/>
    <n v="0.27"/>
    <s v="COD"/>
    <n v="1169.2264"/>
    <n v="1395273.8288999985"/>
    <n v="1066.7231107798154"/>
    <n v="451"/>
    <s v="High Value"/>
    <s v="Dec-2024"/>
    <s v="Wireless Bluetooth Speaker"/>
    <x v="1"/>
  </r>
  <r>
    <s v="PROD48"/>
    <s v="STORE2"/>
    <n v="1"/>
    <n v="301.24"/>
    <n v="0.11"/>
    <s v="PayPal"/>
    <n v="268.10359999999997"/>
    <n v="1394104.6024999984"/>
    <n v="1066.6446843917356"/>
    <n v="451"/>
    <s v="Low Value"/>
    <s v="Aug-2024"/>
    <s v="Car Dashboard Phone Holder"/>
    <x v="1"/>
  </r>
  <r>
    <s v="PROD85"/>
    <s v="STORE5"/>
    <n v="2"/>
    <n v="701.49"/>
    <n v="0.09"/>
    <s v="PayPal"/>
    <n v="1276.7118"/>
    <n v="1393836.4988999984"/>
    <n v="1067.256124732005"/>
    <n v="450"/>
    <s v="High Value"/>
    <s v="Jul-2024"/>
    <s v="Women's Beanie Hat"/>
    <x v="4"/>
  </r>
  <r>
    <s v="PROD26"/>
    <s v="STORE10"/>
    <n v="4"/>
    <n v="413.48"/>
    <n v="0.02"/>
    <s v="PayPal"/>
    <n v="1620.8416"/>
    <n v="1392559.7870999984"/>
    <n v="1067.0956222988493"/>
    <n v="449"/>
    <s v="High Value"/>
    <s v="Nov-2024"/>
    <s v="Wireless Bluetooth Speaker"/>
    <x v="1"/>
  </r>
  <r>
    <s v="PROD8"/>
    <s v="STORE1"/>
    <n v="4"/>
    <n v="167.83"/>
    <n v="0.15"/>
    <s v="Credit Card"/>
    <n v="570.62200000000007"/>
    <n v="1390938.9454999985"/>
    <n v="1066.6709704754589"/>
    <n v="448"/>
    <s v="Low Value"/>
    <s v="Mar-2024"/>
    <s v="Wireless Bluetooth Earbuds"/>
    <x v="1"/>
  </r>
  <r>
    <s v="PROD15"/>
    <s v="STORE18"/>
    <n v="2"/>
    <n v="669.12"/>
    <n v="0.22"/>
    <s v="Credit Card"/>
    <n v="1043.8271999999999"/>
    <n v="1390368.3234999985"/>
    <n v="1067.051668073675"/>
    <n v="448"/>
    <s v="High Value"/>
    <s v="Jun-2025"/>
    <s v="4K Home Projector"/>
    <x v="1"/>
  </r>
  <r>
    <s v="PROD37"/>
    <s v="STORE7"/>
    <n v="3"/>
    <n v="346.77"/>
    <n v="0.18"/>
    <s v="PayPal"/>
    <n v="853.05420000000004"/>
    <n v="1389324.4962999986"/>
    <n v="1067.0695056067577"/>
    <n v="448"/>
    <s v="Low Value"/>
    <s v="Aug-2024"/>
    <s v="Men's Casual Sneakers"/>
    <x v="4"/>
  </r>
  <r>
    <s v="PROD23"/>
    <s v="STORE19"/>
    <n v="3"/>
    <n v="648.33000000000004"/>
    <n v="0.2"/>
    <s v="COD"/>
    <n v="1555.992"/>
    <n v="1388471.4420999987"/>
    <n v="1067.2340062259791"/>
    <n v="447"/>
    <s v="High Value"/>
    <s v="Oct-2025"/>
    <s v="Men's Formal Shirt"/>
    <x v="4"/>
  </r>
  <r>
    <s v="PROD6"/>
    <s v="STORE2"/>
    <n v="4"/>
    <n v="254.94"/>
    <n v="0.06"/>
    <s v="PayPal"/>
    <n v="958.57439999999997"/>
    <n v="1386915.4500999989"/>
    <n v="1066.8580385384607"/>
    <n v="447"/>
    <s v="Low Value"/>
    <s v="Apr-2024"/>
    <s v="Herbal Face Moisturizer"/>
    <x v="2"/>
  </r>
  <r>
    <s v="PROD81"/>
    <s v="STORE4"/>
    <n v="1"/>
    <n v="445.5"/>
    <n v="0.28000000000000003"/>
    <s v="Credit Card"/>
    <n v="320.76"/>
    <n v="1385956.8756999988"/>
    <n v="1066.9413977675126"/>
    <n v="446"/>
    <s v="Low Value"/>
    <s v="May-2024"/>
    <s v="Badminton Racket Set"/>
    <x v="0"/>
  </r>
  <r>
    <s v="PROD90"/>
    <s v="STORE4"/>
    <n v="1"/>
    <n v="900.94"/>
    <n v="0.1"/>
    <s v="Credit Card"/>
    <n v="810.84600000000012"/>
    <n v="1385636.1156999988"/>
    <n v="1067.5162678736508"/>
    <n v="446"/>
    <s v="Low Value"/>
    <s v="Jun-2024"/>
    <s v="Gaming Mouse Pad XL"/>
    <x v="1"/>
  </r>
  <r>
    <s v="PROD15"/>
    <s v="STORE16"/>
    <n v="3"/>
    <n v="262.69"/>
    <n v="0.04"/>
    <s v="PayPal"/>
    <n v="756.54719999999986"/>
    <n v="1384825.2696999989"/>
    <n v="1067.7141632228211"/>
    <n v="446"/>
    <s v="Low Value"/>
    <s v="May-2024"/>
    <s v="4K Home Projector"/>
    <x v="1"/>
  </r>
  <r>
    <s v="PROD68"/>
    <s v="STORE2"/>
    <n v="3"/>
    <n v="212.72"/>
    <n v="0.22"/>
    <s v="PayPal"/>
    <n v="497.76479999999998"/>
    <n v="1384068.722499999"/>
    <n v="1067.9542611882707"/>
    <n v="445"/>
    <s v="Low Value"/>
    <s v="Apr-2024"/>
    <s v="Wooden Nightstand"/>
    <x v="3"/>
  </r>
  <r>
    <s v="PROD24"/>
    <s v="STORE18"/>
    <n v="4"/>
    <n v="757.9"/>
    <n v="0.22"/>
    <s v="PayPal"/>
    <n v="2364.6480000000001"/>
    <n v="1383570.9576999987"/>
    <n v="1068.3945619305009"/>
    <n v="444"/>
    <s v="High Value"/>
    <s v="May-2025"/>
    <s v="Foldable Camping Chair"/>
    <x v="0"/>
  </r>
  <r>
    <s v="PROD80"/>
    <s v="STORE17"/>
    <n v="1"/>
    <n v="846.04"/>
    <n v="0.08"/>
    <s v="PayPal"/>
    <n v="778.35680000000002"/>
    <n v="1381206.3096999987"/>
    <n v="1067.3928204791334"/>
    <n v="443"/>
    <s v="Low Value"/>
    <s v="Feb-2024"/>
    <s v="Wall-Mounted Spice Rack"/>
    <x v="3"/>
  </r>
  <r>
    <s v="PROD38"/>
    <s v="STORE7"/>
    <n v="3"/>
    <n v="179.7"/>
    <n v="0.17"/>
    <s v="COD"/>
    <n v="447.45299999999992"/>
    <n v="1380427.9528999988"/>
    <n v="1067.6163595514299"/>
    <n v="442"/>
    <s v="Low Value"/>
    <s v="Dec-2023"/>
    <s v="Sports Water Hydration Pack"/>
    <x v="0"/>
  </r>
  <r>
    <s v="PROD31"/>
    <s v="STORE4"/>
    <n v="4"/>
    <n v="681.08"/>
    <n v="0"/>
    <s v="PayPal"/>
    <n v="2724.32"/>
    <n v="1379980.4998999988"/>
    <n v="1068.0963621517019"/>
    <n v="442"/>
    <s v="High Value"/>
    <s v="Oct-2024"/>
    <s v="Basketball"/>
    <x v="0"/>
  </r>
  <r>
    <s v="PROD4"/>
    <s v="STORE7"/>
    <n v="4"/>
    <n v="723.44"/>
    <n v="0.14000000000000001"/>
    <s v="PayPal"/>
    <n v="2488.6336000000001"/>
    <n v="1377256.1798999989"/>
    <n v="1066.813462354763"/>
    <n v="441"/>
    <s v="High Value"/>
    <s v="Nov-2023"/>
    <s v="Women's Yoga Pants"/>
    <x v="4"/>
  </r>
  <r>
    <s v="PROD31"/>
    <s v="STORE14"/>
    <n v="4"/>
    <n v="471.89"/>
    <n v="0.12"/>
    <s v="COD"/>
    <n v="1661.0527999999999"/>
    <n v="1374767.5462999991"/>
    <n v="1065.7112762015497"/>
    <n v="440"/>
    <s v="High Value"/>
    <s v="Oct-2025"/>
    <s v="Basketball"/>
    <x v="0"/>
  </r>
  <r>
    <s v="PROD71"/>
    <s v="STORE17"/>
    <n v="1"/>
    <n v="613.17999999999995"/>
    <n v="0.14000000000000001"/>
    <s v="COD"/>
    <n v="527.33479999999997"/>
    <n v="1373106.4934999992"/>
    <n v="1065.2494131109381"/>
    <n v="440"/>
    <s v="Low Value"/>
    <s v="Sep-2024"/>
    <s v="Hair Repair Oil Treatment"/>
    <x v="2"/>
  </r>
  <r>
    <s v="PROD43"/>
    <s v="STORE4"/>
    <n v="1"/>
    <n v="651.30999999999995"/>
    <n v="0.24"/>
    <s v="PayPal"/>
    <n v="494.99560000000002"/>
    <n v="1372579.1586999991"/>
    <n v="1065.6670486801236"/>
    <n v="440"/>
    <s v="Low Value"/>
    <s v="Oct-2023"/>
    <s v="USB External Hard Drive"/>
    <x v="1"/>
  </r>
  <r>
    <s v="PROD3"/>
    <s v="STORE6"/>
    <n v="2"/>
    <n v="635.14"/>
    <n v="0.1"/>
    <s v="COD"/>
    <n v="1143.252"/>
    <n v="1372084.1630999991"/>
    <n v="1066.1104608391602"/>
    <n v="439"/>
    <s v="High Value"/>
    <s v="Feb-2024"/>
    <s v="Men's Running Jacket"/>
    <x v="4"/>
  </r>
  <r>
    <s v="PROD98"/>
    <s v="STORE14"/>
    <n v="4"/>
    <n v="912.61"/>
    <n v="0.14000000000000001"/>
    <s v="Credit Card"/>
    <n v="3139.3784000000001"/>
    <n v="1370940.911099999"/>
    <n v="1066.0504751944004"/>
    <n v="439"/>
    <s v="High Value"/>
    <s v="Apr-2025"/>
    <s v="Portable Bluetooth Speaker"/>
    <x v="1"/>
  </r>
  <r>
    <s v="PROD47"/>
    <s v="STORE7"/>
    <n v="3"/>
    <n v="79.77"/>
    <n v="0.09"/>
    <s v="Credit Card"/>
    <n v="217.77209999999999"/>
    <n v="1367801.5326999992"/>
    <n v="1064.436990428015"/>
    <n v="439"/>
    <s v="Low Value"/>
    <s v="May-2025"/>
    <s v="Makeup Brush Set"/>
    <x v="2"/>
  </r>
  <r>
    <s v="PROD94"/>
    <s v="STORE15"/>
    <n v="4"/>
    <n v="603.52"/>
    <n v="0.25"/>
    <s v="Credit Card"/>
    <n v="1810.56"/>
    <n v="1367583.7605999992"/>
    <n v="1065.096386760124"/>
    <n v="439"/>
    <s v="High Value"/>
    <s v="Apr-2025"/>
    <s v="Vitamin E Body Lotion"/>
    <x v="2"/>
  </r>
  <r>
    <s v="PROD77"/>
    <s v="STORE12"/>
    <n v="4"/>
    <n v="453.12"/>
    <n v="0.23"/>
    <s v="COD"/>
    <n v="1395.6096"/>
    <n v="1365773.2005999994"/>
    <n v="1064.5153551052217"/>
    <n v="439"/>
    <s v="High Value"/>
    <s v="Nov-2024"/>
    <s v="WiFi Mesh Router"/>
    <x v="1"/>
  </r>
  <r>
    <s v="PROD33"/>
    <s v="STORE9"/>
    <n v="2"/>
    <n v="974.35"/>
    <n v="0.15"/>
    <s v="Credit Card"/>
    <n v="1656.395"/>
    <n v="1364377.5909999993"/>
    <n v="1064.25709126365"/>
    <n v="439"/>
    <s v="High Value"/>
    <s v="Dec-2024"/>
    <s v="Modern Wall Clock"/>
    <x v="3"/>
  </r>
  <r>
    <s v="PROD95"/>
    <s v="STORE17"/>
    <n v="4"/>
    <n v="52.35"/>
    <n v="0.23"/>
    <s v="COD"/>
    <n v="161.238"/>
    <n v="1362721.1959999993"/>
    <n v="1063.7948446526145"/>
    <n v="439"/>
    <s v="Low Value"/>
    <s v="Jun-2025"/>
    <s v="Sports Stopwatch Basic"/>
    <x v="0"/>
  </r>
  <r>
    <s v="PROD65"/>
    <s v="STORE17"/>
    <n v="3"/>
    <n v="681.58"/>
    <n v="0.23"/>
    <s v="Credit Card"/>
    <n v="1574.4498000000001"/>
    <n v="1362559.9579999994"/>
    <n v="1064.4999671874996"/>
    <n v="439"/>
    <s v="High Value"/>
    <s v="Jun-2025"/>
    <s v="Adjustable Dumbbells 20kg"/>
    <x v="0"/>
  </r>
  <r>
    <s v="PROD83"/>
    <s v="STORE15"/>
    <n v="3"/>
    <n v="71.23"/>
    <n v="0.03"/>
    <s v="Credit Card"/>
    <n v="207.27930000000001"/>
    <n v="1360985.5081999993"/>
    <n v="1064.1012573885844"/>
    <n v="439"/>
    <s v="Low Value"/>
    <s v="Apr-2024"/>
    <s v="Hydrating Face Cleanser"/>
    <x v="2"/>
  </r>
  <r>
    <s v="PROD15"/>
    <s v="STORE14"/>
    <n v="1"/>
    <n v="31.36"/>
    <n v="0.21"/>
    <s v="COD"/>
    <n v="24.7744"/>
    <n v="1360778.2288999993"/>
    <n v="1064.7716971048508"/>
    <n v="439"/>
    <s v="Low Value"/>
    <s v="Mar-2024"/>
    <s v="4K Home Projector"/>
    <x v="1"/>
  </r>
  <r>
    <s v="PROD41"/>
    <s v="STORE13"/>
    <n v="2"/>
    <n v="555.54999999999995"/>
    <n v="0.14000000000000001"/>
    <s v="Credit Card"/>
    <n v="955.54599999999994"/>
    <n v="1360753.4544999993"/>
    <n v="1065.5861037588093"/>
    <n v="439"/>
    <s v="Low Value"/>
    <s v="Jan-2025"/>
    <s v="Yoga Exercise Mat"/>
    <x v="0"/>
  </r>
  <r>
    <s v="PROD66"/>
    <s v="STORE16"/>
    <n v="4"/>
    <n v="805.99"/>
    <n v="0.06"/>
    <s v="Credit Card"/>
    <n v="3030.5223999999998"/>
    <n v="1359797.9084999994"/>
    <n v="1065.672342084639"/>
    <n v="439"/>
    <s v="High Value"/>
    <s v="Apr-2025"/>
    <s v="Women's Hair Dryer Brush"/>
    <x v="2"/>
  </r>
  <r>
    <s v="PROD71"/>
    <s v="STORE1"/>
    <n v="1"/>
    <n v="506.55"/>
    <n v="0.28000000000000003"/>
    <s v="Credit Card"/>
    <n v="364.71600000000001"/>
    <n v="1356767.3860999993"/>
    <n v="1064.1312832156857"/>
    <n v="439"/>
    <s v="Low Value"/>
    <s v="Jul-2024"/>
    <s v="Hair Repair Oil Treatment"/>
    <x v="2"/>
  </r>
  <r>
    <s v="PROD41"/>
    <s v="STORE11"/>
    <n v="3"/>
    <n v="28.69"/>
    <n v="0.02"/>
    <s v="Credit Card"/>
    <n v="84.348600000000005"/>
    <n v="1356402.6700999993"/>
    <n v="1064.6802748037671"/>
    <n v="439"/>
    <s v="Low Value"/>
    <s v="Dec-2024"/>
    <s v="Yoga Exercise Mat"/>
    <x v="0"/>
  </r>
  <r>
    <s v="PROD76"/>
    <s v="STORE4"/>
    <n v="1"/>
    <n v="106.07"/>
    <n v="0.23"/>
    <s v="COD"/>
    <n v="81.673900000000003"/>
    <n v="1356318.3214999991"/>
    <n v="1065.4503703849168"/>
    <n v="439"/>
    <s v="Low Value"/>
    <s v="Nov-2023"/>
    <s v="Wireless Mouse"/>
    <x v="1"/>
  </r>
  <r>
    <s v="PROD91"/>
    <s v="STORE0"/>
    <n v="4"/>
    <n v="289.77"/>
    <n v="0.06"/>
    <s v="PayPal"/>
    <n v="1089.5352"/>
    <n v="1356236.6475999993"/>
    <n v="1066.223779559748"/>
    <n v="439"/>
    <s v="High Value"/>
    <s v="Oct-2023"/>
    <s v="Women's High Heels"/>
    <x v="4"/>
  </r>
  <r>
    <s v="PROD83"/>
    <s v="STORE18"/>
    <n v="2"/>
    <n v="354.26"/>
    <n v="0.01"/>
    <s v="COD"/>
    <n v="701.4348"/>
    <n v="1355147.1123999991"/>
    <n v="1066.2054385523202"/>
    <n v="438"/>
    <s v="Low Value"/>
    <s v="Dec-2023"/>
    <s v="Hydrating Face Cleanser"/>
    <x v="2"/>
  </r>
  <r>
    <s v="PROD68"/>
    <s v="STORE14"/>
    <n v="1"/>
    <n v="522.72"/>
    <n v="0.25"/>
    <s v="PayPal"/>
    <n v="392.04"/>
    <n v="1354445.6775999991"/>
    <n v="1066.4926595275583"/>
    <n v="438"/>
    <s v="Low Value"/>
    <s v="Sep-2024"/>
    <s v="Wooden Nightstand"/>
    <x v="3"/>
  </r>
  <r>
    <s v="PROD5"/>
    <s v="STORE9"/>
    <n v="3"/>
    <n v="966.02"/>
    <n v="0.03"/>
    <s v="COD"/>
    <n v="2811.1181999999999"/>
    <n v="1354053.6375999991"/>
    <n v="1067.0241431048062"/>
    <n v="437"/>
    <s v="High Value"/>
    <s v="Oct-2024"/>
    <s v="Men's Leather Belt"/>
    <x v="4"/>
  </r>
  <r>
    <s v="PROD50"/>
    <s v="STORE17"/>
    <n v="1"/>
    <n v="498.61"/>
    <n v="0.04"/>
    <s v="PayPal"/>
    <n v="478.66559999999998"/>
    <n v="1351242.5193999992"/>
    <n v="1065.6486746056776"/>
    <n v="437"/>
    <s v="Low Value"/>
    <s v="Oct-2023"/>
    <s v="Boxing Hand Wraps"/>
    <x v="0"/>
  </r>
  <r>
    <s v="PROD42"/>
    <s v="STORE6"/>
    <n v="4"/>
    <n v="758.27"/>
    <n v="0.05"/>
    <s v="PayPal"/>
    <n v="2881.4259999999999"/>
    <n v="1350763.8537999992"/>
    <n v="1066.111960378847"/>
    <n v="436"/>
    <s v="High Value"/>
    <s v="May-2025"/>
    <s v="Smart Home WiFi Camera"/>
    <x v="1"/>
  </r>
  <r>
    <s v="PROD3"/>
    <s v="STORE2"/>
    <n v="2"/>
    <n v="371.03"/>
    <n v="0.23"/>
    <s v="PayPal"/>
    <n v="571.38619999999992"/>
    <n v="1347882.4277999988"/>
    <n v="1064.6780630331743"/>
    <n v="435"/>
    <s v="Low Value"/>
    <s v="Mar-2024"/>
    <s v="Men's Running Jacket"/>
    <x v="4"/>
  </r>
  <r>
    <s v="PROD91"/>
    <s v="STORE17"/>
    <n v="1"/>
    <n v="230.32"/>
    <n v="0.05"/>
    <s v="COD"/>
    <n v="218.804"/>
    <n v="1347311.0415999989"/>
    <n v="1065.0680170750979"/>
    <n v="434"/>
    <s v="Low Value"/>
    <s v="Jun-2024"/>
    <s v="Women's High Heels"/>
    <x v="4"/>
  </r>
  <r>
    <s v="PROD61"/>
    <s v="STORE6"/>
    <n v="2"/>
    <n v="985.43"/>
    <n v="0.28000000000000003"/>
    <s v="COD"/>
    <n v="1419.0192"/>
    <n v="1347092.2375999989"/>
    <n v="1065.7375297468345"/>
    <n v="434"/>
    <s v="High Value"/>
    <s v="Aug-2024"/>
    <s v="Tennis Ball 3-Pack"/>
    <x v="0"/>
  </r>
  <r>
    <s v="PROD9"/>
    <s v="STORE4"/>
    <n v="2"/>
    <n v="492.5"/>
    <n v="0.3"/>
    <s v="PayPal"/>
    <n v="689.5"/>
    <n v="1345673.218399999"/>
    <n v="1065.4578134600149"/>
    <n v="434"/>
    <s v="Low Value"/>
    <s v="Apr-2025"/>
    <s v="Adjustable Dumbbell Set"/>
    <x v="0"/>
  </r>
  <r>
    <s v="PROD46"/>
    <s v="STORE11"/>
    <n v="2"/>
    <n v="213.69"/>
    <n v="0.28000000000000003"/>
    <s v="PayPal"/>
    <n v="307.71359999999999"/>
    <n v="1344983.718399999"/>
    <n v="1065.7557198098248"/>
    <n v="433"/>
    <s v="Low Value"/>
    <s v="Dec-2024"/>
    <s v="Men's Winter Jacket"/>
    <x v="4"/>
  </r>
  <r>
    <s v="PROD20"/>
    <s v="STORE8"/>
    <n v="4"/>
    <n v="618.83000000000004"/>
    <n v="0.08"/>
    <s v="PayPal"/>
    <n v="2277.2944000000002"/>
    <n v="1344676.0047999988"/>
    <n v="1066.356863441712"/>
    <n v="432"/>
    <s v="High Value"/>
    <s v="Feb-2025"/>
    <s v="Outdoor Sports Water Bottle"/>
    <x v="0"/>
  </r>
  <r>
    <s v="PROD59"/>
    <s v="STORE11"/>
    <n v="2"/>
    <n v="81.16"/>
    <n v="0.16"/>
    <s v="PayPal"/>
    <n v="136.34880000000001"/>
    <n v="1342398.7103999988"/>
    <n v="1065.3958019047609"/>
    <n v="431"/>
    <s v="Low Value"/>
    <s v="Jan-2024"/>
    <s v="Men's Hair Styling Gel"/>
    <x v="2"/>
  </r>
  <r>
    <s v="PROD86"/>
    <s v="STORE9"/>
    <n v="1"/>
    <n v="431.69"/>
    <n v="0.09"/>
    <s v="Credit Card"/>
    <n v="392.83789999999999"/>
    <n v="1342262.361599999"/>
    <n v="1066.1337264495623"/>
    <n v="430"/>
    <s v="Low Value"/>
    <s v="Mar-2024"/>
    <s v="Kitchen Cutting Board"/>
    <x v="3"/>
  </r>
  <r>
    <s v="PROD18"/>
    <s v="STORE5"/>
    <n v="3"/>
    <n v="438.65"/>
    <n v="0.28999999999999998"/>
    <s v="PayPal"/>
    <n v="934.32449999999983"/>
    <n v="1341869.5236999989"/>
    <n v="1066.6689377583457"/>
    <n v="430"/>
    <s v="Low Value"/>
    <s v="Dec-2024"/>
    <s v="Women's Denim Jeans"/>
    <x v="4"/>
  </r>
  <r>
    <s v="PROD79"/>
    <s v="STORE3"/>
    <n v="3"/>
    <n v="339.41"/>
    <n v="0.26"/>
    <s v="Credit Card"/>
    <n v="753.49019999999996"/>
    <n v="1340935.199199999"/>
    <n v="1066.7742237072387"/>
    <n v="429"/>
    <s v="Low Value"/>
    <s v="Apr-2024"/>
    <s v="Decorative Lamp Shade"/>
    <x v="3"/>
  </r>
  <r>
    <s v="PROD79"/>
    <s v="STORE9"/>
    <n v="4"/>
    <n v="848.47"/>
    <n v="0.21"/>
    <s v="COD"/>
    <n v="2681.1651999999999"/>
    <n v="1340181.7089999989"/>
    <n v="1067.0236536624195"/>
    <n v="429"/>
    <s v="High Value"/>
    <s v="Jan-2025"/>
    <s v="Decorative Lamp Shade"/>
    <x v="3"/>
  </r>
  <r>
    <s v="PROD67"/>
    <s v="STORE8"/>
    <n v="1"/>
    <n v="664.87"/>
    <n v="0.08"/>
    <s v="PayPal"/>
    <n v="611.68040000000008"/>
    <n v="1337500.5437999992"/>
    <n v="1065.7374850996009"/>
    <n v="429"/>
    <s v="Low Value"/>
    <s v="Mar-2025"/>
    <s v="Smart LED Light Strip"/>
    <x v="1"/>
  </r>
  <r>
    <s v="PROD24"/>
    <s v="STORE7"/>
    <n v="1"/>
    <n v="412.11"/>
    <n v="0.23"/>
    <s v="PayPal"/>
    <n v="317.32470000000001"/>
    <n v="1336888.863399999"/>
    <n v="1066.0995720893134"/>
    <n v="428"/>
    <s v="Low Value"/>
    <s v="Jan-2025"/>
    <s v="Foldable Camping Chair"/>
    <x v="0"/>
  </r>
  <r>
    <s v="PROD94"/>
    <s v="STORE1"/>
    <n v="1"/>
    <n v="126.09"/>
    <n v="0.05"/>
    <s v="COD"/>
    <n v="119.7855"/>
    <n v="1336571.538699999"/>
    <n v="1066.697157781324"/>
    <n v="427"/>
    <s v="Low Value"/>
    <s v="Sep-2025"/>
    <s v="Vitamin E Body Lotion"/>
    <x v="2"/>
  </r>
  <r>
    <s v="PROD67"/>
    <s v="STORE10"/>
    <n v="4"/>
    <n v="602.39"/>
    <n v="0.19"/>
    <s v="COD"/>
    <n v="1951.7436"/>
    <n v="1336451.753199999"/>
    <n v="1067.4534769968043"/>
    <n v="427"/>
    <s v="High Value"/>
    <s v="Sep-2025"/>
    <s v="Smart LED Light Strip"/>
    <x v="1"/>
  </r>
  <r>
    <s v="PROD82"/>
    <s v="STORE3"/>
    <n v="3"/>
    <n v="447.69"/>
    <n v="0.02"/>
    <s v="COD"/>
    <n v="1316.2085999999999"/>
    <n v="1334500.0095999988"/>
    <n v="1066.7466103916856"/>
    <n v="427"/>
    <s v="High Value"/>
    <s v="Oct-2025"/>
    <s v="Fitness Resistance Bands"/>
    <x v="0"/>
  </r>
  <r>
    <s v="PROD34"/>
    <s v="STORE3"/>
    <n v="3"/>
    <n v="35.159999999999997"/>
    <n v="0.04"/>
    <s v="COD"/>
    <n v="101.2608"/>
    <n v="1333183.8009999988"/>
    <n v="1066.547040799999"/>
    <n v="427"/>
    <s v="Low Value"/>
    <s v="May-2025"/>
    <s v="Gaming Mechanical Keyboard"/>
    <x v="1"/>
  </r>
  <r>
    <s v="PROD72"/>
    <s v="STORE11"/>
    <n v="2"/>
    <n v="838.59"/>
    <n v="0.18"/>
    <s v="COD"/>
    <n v="1375.2876000000001"/>
    <n v="1333082.5401999988"/>
    <n v="1067.3198880704554"/>
    <n v="427"/>
    <s v="High Value"/>
    <s v="Mar-2025"/>
    <s v="Professional Jump Rope"/>
    <x v="0"/>
  </r>
  <r>
    <s v="PROD59"/>
    <s v="STORE6"/>
    <n v="4"/>
    <n v="867.94"/>
    <n v="0.26"/>
    <s v="PayPal"/>
    <n v="2569.1024000000002"/>
    <n v="1331707.2525999988"/>
    <n v="1067.0731190705119"/>
    <n v="427"/>
    <s v="High Value"/>
    <s v="Nov-2024"/>
    <s v="Men's Hair Styling Gel"/>
    <x v="2"/>
  </r>
  <r>
    <s v="PROD39"/>
    <s v="STORE17"/>
    <n v="1"/>
    <n v="623.88"/>
    <n v="0.25"/>
    <s v="Credit Card"/>
    <n v="467.91"/>
    <n v="1329138.1501999986"/>
    <n v="1065.8686048115467"/>
    <n v="426"/>
    <s v="Low Value"/>
    <s v="Oct-2024"/>
    <s v="Portable Power Bank"/>
    <x v="1"/>
  </r>
  <r>
    <s v="PROD42"/>
    <s v="STORE14"/>
    <n v="2"/>
    <n v="567.95000000000005"/>
    <n v="0.12"/>
    <s v="PayPal"/>
    <n v="999.5920000000001"/>
    <n v="1328670.2401999987"/>
    <n v="1066.3485073836266"/>
    <n v="426"/>
    <s v="Low Value"/>
    <s v="Sep-2024"/>
    <s v="Smart Home WiFi Camera"/>
    <x v="1"/>
  </r>
  <r>
    <s v="PROD31"/>
    <s v="STORE18"/>
    <n v="2"/>
    <n v="671.69"/>
    <n v="0.19"/>
    <s v="Credit Card"/>
    <n v="1088.1378"/>
    <n v="1327670.6481999988"/>
    <n v="1066.4021270682722"/>
    <n v="425"/>
    <s v="High Value"/>
    <s v="Jul-2024"/>
    <s v="Basketball"/>
    <x v="0"/>
  </r>
  <r>
    <s v="PROD6"/>
    <s v="STORE7"/>
    <n v="2"/>
    <n v="257.95999999999998"/>
    <n v="0.21"/>
    <s v="PayPal"/>
    <n v="407.57679999999999"/>
    <n v="1326582.5103999989"/>
    <n v="1066.3846546623786"/>
    <n v="425"/>
    <s v="Low Value"/>
    <s v="May-2025"/>
    <s v="Herbal Face Moisturizer"/>
    <x v="2"/>
  </r>
  <r>
    <s v="PROD98"/>
    <s v="STORE19"/>
    <n v="4"/>
    <n v="281.48"/>
    <n v="0.27"/>
    <s v="PayPal"/>
    <n v="821.92160000000001"/>
    <n v="1326174.9335999989"/>
    <n v="1066.9146690265479"/>
    <n v="424"/>
    <s v="Low Value"/>
    <s v="Jul-2024"/>
    <s v="Portable Bluetooth Speaker"/>
    <x v="1"/>
  </r>
  <r>
    <s v="PROD20"/>
    <s v="STORE11"/>
    <n v="1"/>
    <n v="202.13"/>
    <n v="0.13"/>
    <s v="COD"/>
    <n v="175.85310000000001"/>
    <n v="1325353.0119999989"/>
    <n v="1067.1119259259251"/>
    <n v="423"/>
    <s v="Low Value"/>
    <s v="Jun-2024"/>
    <s v="Outdoor Sports Water Bottle"/>
    <x v="0"/>
  </r>
  <r>
    <s v="PROD74"/>
    <s v="STORE5"/>
    <n v="1"/>
    <n v="370.66"/>
    <n v="0.01"/>
    <s v="PayPal"/>
    <n v="366.95339999999999"/>
    <n v="1325177.1588999988"/>
    <n v="1067.8301038678476"/>
    <n v="423"/>
    <s v="Low Value"/>
    <s v="Nov-2023"/>
    <s v="Bluetooth Car Audio System"/>
    <x v="1"/>
  </r>
  <r>
    <s v="PROD61"/>
    <s v="STORE12"/>
    <n v="4"/>
    <n v="731.53"/>
    <n v="0.12"/>
    <s v="Credit Card"/>
    <n v="2574.9856"/>
    <n v="1324810.2054999988"/>
    <n v="1068.395327016128"/>
    <n v="422"/>
    <s v="High Value"/>
    <s v="Feb-2024"/>
    <s v="Tennis Ball 3-Pack"/>
    <x v="0"/>
  </r>
  <r>
    <s v="PROD78"/>
    <s v="STORE1"/>
    <n v="3"/>
    <n v="468.25"/>
    <n v="7.0000000000000007E-2"/>
    <s v="PayPal"/>
    <n v="1306.4175"/>
    <n v="1322235.2198999987"/>
    <n v="1067.179354237287"/>
    <n v="422"/>
    <s v="High Value"/>
    <s v="Mar-2024"/>
    <s v="Essential Oil Diffuser"/>
    <x v="3"/>
  </r>
  <r>
    <s v="PROD67"/>
    <s v="STORE0"/>
    <n v="1"/>
    <n v="928.72"/>
    <n v="0.1"/>
    <s v="COD"/>
    <n v="835.84800000000007"/>
    <n v="1320928.8023999988"/>
    <n v="1066.986108562196"/>
    <n v="421"/>
    <s v="Low Value"/>
    <s v="Mar-2024"/>
    <s v="Smart LED Light Strip"/>
    <x v="1"/>
  </r>
  <r>
    <s v="PROD4"/>
    <s v="STORE18"/>
    <n v="3"/>
    <n v="217.22"/>
    <n v="0.06"/>
    <s v="PayPal"/>
    <n v="612.56039999999996"/>
    <n v="1320092.954399999"/>
    <n v="1067.1729623282126"/>
    <n v="421"/>
    <s v="Low Value"/>
    <s v="Jul-2024"/>
    <s v="Women's Yoga Pants"/>
    <x v="4"/>
  </r>
  <r>
    <s v="PROD24"/>
    <s v="STORE3"/>
    <n v="1"/>
    <n v="387.99"/>
    <n v="0.3"/>
    <s v="Credit Card"/>
    <n v="271.59300000000002"/>
    <n v="1319480.3939999989"/>
    <n v="1067.5407718446593"/>
    <n v="420"/>
    <s v="Low Value"/>
    <s v="Mar-2025"/>
    <s v="Foldable Camping Chair"/>
    <x v="0"/>
  </r>
  <r>
    <s v="PROD18"/>
    <s v="STORE6"/>
    <n v="4"/>
    <n v="186.24"/>
    <n v="0.23"/>
    <s v="Credit Card"/>
    <n v="573.61920000000009"/>
    <n v="1319208.800999999"/>
    <n v="1068.1852639676106"/>
    <n v="420"/>
    <s v="Low Value"/>
    <s v="Mar-2025"/>
    <s v="Women's Denim Jeans"/>
    <x v="4"/>
  </r>
  <r>
    <s v="PROD40"/>
    <s v="STORE8"/>
    <n v="4"/>
    <n v="609.05999999999995"/>
    <n v="0.22"/>
    <s v="COD"/>
    <n v="1900.2672"/>
    <n v="1318635.1817999992"/>
    <n v="1068.5860468395456"/>
    <n v="420"/>
    <s v="High Value"/>
    <s v="Jun-2024"/>
    <s v="Noise-Canceling Headphones"/>
    <x v="1"/>
  </r>
  <r>
    <s v="PROD33"/>
    <s v="STORE11"/>
    <n v="1"/>
    <n v="827.91"/>
    <n v="0.21"/>
    <s v="PayPal"/>
    <n v="654.0489"/>
    <n v="1316734.9145999989"/>
    <n v="1067.9115284671523"/>
    <n v="420"/>
    <s v="Low Value"/>
    <s v="May-2024"/>
    <s v="Modern Wall Clock"/>
    <x v="3"/>
  </r>
  <r>
    <s v="PROD83"/>
    <s v="STORE0"/>
    <n v="1"/>
    <n v="303.79000000000002"/>
    <n v="0.24"/>
    <s v="PayPal"/>
    <n v="230.88040000000001"/>
    <n v="1316080.8656999988"/>
    <n v="1068.2474559253237"/>
    <n v="419"/>
    <s v="Low Value"/>
    <s v="Jul-2024"/>
    <s v="Hydrating Face Cleanser"/>
    <x v="2"/>
  </r>
  <r>
    <s v="PROD37"/>
    <s v="STORE6"/>
    <n v="2"/>
    <n v="365.91"/>
    <n v="0.14000000000000001"/>
    <s v="COD"/>
    <n v="629.36520000000007"/>
    <n v="1315849.9852999989"/>
    <n v="1068.92768911454"/>
    <n v="418"/>
    <s v="Low Value"/>
    <s v="Sep-2025"/>
    <s v="Men's Casual Sneakers"/>
    <x v="4"/>
  </r>
  <r>
    <s v="PROD25"/>
    <s v="STORE17"/>
    <n v="3"/>
    <n v="852.72"/>
    <n v="0.16"/>
    <s v="Credit Card"/>
    <n v="2148.8544000000002"/>
    <n v="1315220.620099999"/>
    <n v="1069.2850569918692"/>
    <n v="418"/>
    <s v="High Value"/>
    <s v="Apr-2025"/>
    <s v="Women's Scarf Set"/>
    <x v="4"/>
  </r>
  <r>
    <s v="PROD10"/>
    <s v="STORE4"/>
    <n v="1"/>
    <n v="768.25"/>
    <n v="0.18"/>
    <s v="Credit Card"/>
    <n v="629.96500000000003"/>
    <n v="1313071.7656999989"/>
    <n v="1068.4066441822611"/>
    <n v="418"/>
    <s v="Low Value"/>
    <s v="Apr-2025"/>
    <s v="Ceramic Kitchen Bowl Set"/>
    <x v="3"/>
  </r>
  <r>
    <s v="PROD92"/>
    <s v="STORE19"/>
    <n v="2"/>
    <n v="318.62"/>
    <n v="0.02"/>
    <s v="COD"/>
    <n v="624.49519999999995"/>
    <n v="1312441.8006999991"/>
    <n v="1068.7636813517909"/>
    <n v="418"/>
    <s v="Low Value"/>
    <s v="Nov-2023"/>
    <s v="Microwave Oven"/>
    <x v="3"/>
  </r>
  <r>
    <s v="PROD76"/>
    <s v="STORE2"/>
    <n v="4"/>
    <n v="402.11"/>
    <n v="0.14000000000000001"/>
    <s v="PayPal"/>
    <n v="1383.2583999999999"/>
    <n v="1311817.3054999991"/>
    <n v="1069.1257583537074"/>
    <n v="418"/>
    <s v="High Value"/>
    <s v="Jan-2025"/>
    <s v="Wireless Mouse"/>
    <x v="1"/>
  </r>
  <r>
    <s v="PROD84"/>
    <s v="STORE17"/>
    <n v="3"/>
    <n v="846.31"/>
    <n v="0.18"/>
    <s v="COD"/>
    <n v="2081.9225999999999"/>
    <n v="1310434.0470999992"/>
    <n v="1068.8695327079927"/>
    <n v="417"/>
    <s v="High Value"/>
    <s v="May-2025"/>
    <s v="Wooden Bookshelf"/>
    <x v="3"/>
  </r>
  <r>
    <s v="PROD94"/>
    <s v="STORE14"/>
    <n v="1"/>
    <n v="269.94"/>
    <n v="7.0000000000000007E-2"/>
    <s v="COD"/>
    <n v="251.04419999999999"/>
    <n v="1308352.1244999995"/>
    <n v="1068.0425506122444"/>
    <n v="417"/>
    <s v="Low Value"/>
    <s v="Jun-2025"/>
    <s v="Vitamin E Body Lotion"/>
    <x v="2"/>
  </r>
  <r>
    <s v="PROD20"/>
    <s v="STORE4"/>
    <n v="3"/>
    <n v="909.25"/>
    <n v="0.28999999999999998"/>
    <s v="COD"/>
    <n v="1936.7025000000001"/>
    <n v="1308101.0802999993"/>
    <n v="1068.710032924836"/>
    <n v="417"/>
    <s v="High Value"/>
    <s v="Jun-2024"/>
    <s v="Outdoor Sports Water Bottle"/>
    <x v="0"/>
  </r>
  <r>
    <s v="PROD91"/>
    <s v="STORE12"/>
    <n v="2"/>
    <n v="229.81"/>
    <n v="0.21"/>
    <s v="COD"/>
    <n v="363.09980000000002"/>
    <n v="1306164.3777999994"/>
    <n v="1068.0003089125098"/>
    <n v="417"/>
    <s v="Low Value"/>
    <s v="Feb-2024"/>
    <s v="Women's High Heels"/>
    <x v="4"/>
  </r>
  <r>
    <s v="PROD78"/>
    <s v="STORE15"/>
    <n v="3"/>
    <n v="442.36"/>
    <n v="0.06"/>
    <s v="PayPal"/>
    <n v="1247.4552000000001"/>
    <n v="1305801.2779999995"/>
    <n v="1068.577150572831"/>
    <n v="417"/>
    <s v="High Value"/>
    <s v="Jun-2024"/>
    <s v="Essential Oil Diffuser"/>
    <x v="3"/>
  </r>
  <r>
    <s v="PROD86"/>
    <s v="STORE3"/>
    <n v="3"/>
    <n v="413.74"/>
    <n v="0.01"/>
    <s v="Credit Card"/>
    <n v="1228.8078"/>
    <n v="1304553.8227999995"/>
    <n v="1068.4306493038489"/>
    <n v="416"/>
    <s v="High Value"/>
    <s v="Apr-2024"/>
    <s v="Kitchen Cutting Board"/>
    <x v="3"/>
  </r>
  <r>
    <s v="PROD89"/>
    <s v="STORE14"/>
    <n v="4"/>
    <n v="79.75"/>
    <n v="0.18"/>
    <s v="PayPal"/>
    <n v="261.58"/>
    <n v="1303325.0149999994"/>
    <n v="1068.2991926229504"/>
    <n v="416"/>
    <s v="Low Value"/>
    <s v="Jul-2024"/>
    <s v="Face Foundation Kit"/>
    <x v="2"/>
  </r>
  <r>
    <s v="PROD40"/>
    <s v="STORE12"/>
    <n v="4"/>
    <n v="95.06"/>
    <n v="0.03"/>
    <s v="Credit Card"/>
    <n v="368.83280000000002"/>
    <n v="1303063.4349999994"/>
    <n v="1068.9609803117305"/>
    <n v="415"/>
    <s v="Low Value"/>
    <s v="May-2024"/>
    <s v="Noise-Canceling Headphones"/>
    <x v="1"/>
  </r>
  <r>
    <s v="PROD98"/>
    <s v="STORE7"/>
    <n v="4"/>
    <n v="107.08"/>
    <n v="0.27"/>
    <s v="COD"/>
    <n v="312.67360000000002"/>
    <n v="1302694.6021999996"/>
    <n v="1069.53579819376"/>
    <n v="415"/>
    <s v="Low Value"/>
    <s v="Apr-2025"/>
    <s v="Portable Bluetooth Speaker"/>
    <x v="1"/>
  </r>
  <r>
    <s v="PROD99"/>
    <s v="STORE18"/>
    <n v="1"/>
    <n v="873.18"/>
    <n v="0.03"/>
    <s v="COD"/>
    <n v="846.98459999999989"/>
    <n v="1302381.9285999995"/>
    <n v="1070.1577063270333"/>
    <n v="415"/>
    <s v="Low Value"/>
    <s v="May-2025"/>
    <s v="Stainless Steel Cookware Set"/>
    <x v="3"/>
  </r>
  <r>
    <s v="PROD70"/>
    <s v="STORE18"/>
    <n v="1"/>
    <n v="914.75"/>
    <n v="0.1"/>
    <s v="COD"/>
    <n v="823.27499999999998"/>
    <n v="1301534.9439999994"/>
    <n v="1070.3412368421048"/>
    <n v="415"/>
    <s v="Low Value"/>
    <s v="Apr-2025"/>
    <s v="Kitchen Storage Rack"/>
    <x v="3"/>
  </r>
  <r>
    <s v="PROD73"/>
    <s v="STORE13"/>
    <n v="4"/>
    <n v="457.33"/>
    <n v="0.1"/>
    <s v="Credit Card"/>
    <n v="1646.3879999999999"/>
    <n v="1300711.6689999993"/>
    <n v="1070.544583539094"/>
    <n v="415"/>
    <s v="High Value"/>
    <s v="Dec-2023"/>
    <s v="Shin Guards – Adult"/>
    <x v="0"/>
  </r>
  <r>
    <s v="PROD99"/>
    <s v="STORE3"/>
    <n v="3"/>
    <n v="761.88"/>
    <n v="0.23"/>
    <s v="PayPal"/>
    <n v="1759.9428"/>
    <n v="1299065.2809999993"/>
    <n v="1070.0702479406914"/>
    <n v="415"/>
    <s v="High Value"/>
    <s v="Nov-2024"/>
    <s v="Stainless Steel Cookware Set"/>
    <x v="3"/>
  </r>
  <r>
    <s v="PROD37"/>
    <s v="STORE19"/>
    <n v="4"/>
    <n v="122.87"/>
    <n v="0.13"/>
    <s v="Credit Card"/>
    <n v="427.58760000000001"/>
    <n v="1297305.3381999994"/>
    <n v="1069.5015154163227"/>
    <n v="414"/>
    <s v="Low Value"/>
    <s v="May-2025"/>
    <s v="Men's Casual Sneakers"/>
    <x v="4"/>
  </r>
  <r>
    <s v="PROD73"/>
    <s v="STORE4"/>
    <n v="4"/>
    <n v="753"/>
    <n v="0.28000000000000003"/>
    <s v="COD"/>
    <n v="2168.64"/>
    <n v="1296877.7505999994"/>
    <n v="1070.0311473597355"/>
    <n v="414"/>
    <s v="High Value"/>
    <s v="May-2025"/>
    <s v="Shin Guards – Adult"/>
    <x v="0"/>
  </r>
  <r>
    <s v="PROD5"/>
    <s v="STORE5"/>
    <n v="2"/>
    <n v="788.05"/>
    <n v="0.21"/>
    <s v="Credit Card"/>
    <n v="1245.1189999999999"/>
    <n v="1294709.1105999993"/>
    <n v="1069.1239559042108"/>
    <n v="414"/>
    <s v="High Value"/>
    <s v="Feb-2024"/>
    <s v="Men's Leather Belt"/>
    <x v="4"/>
  </r>
  <r>
    <s v="PROD82"/>
    <s v="STORE10"/>
    <n v="2"/>
    <n v="807.1"/>
    <n v="0.28999999999999998"/>
    <s v="Credit Card"/>
    <n v="1146.0820000000001"/>
    <n v="1293463.9915999994"/>
    <n v="1068.978505454545"/>
    <n v="414"/>
    <s v="High Value"/>
    <s v="Aug-2025"/>
    <s v="Fitness Resistance Bands"/>
    <x v="0"/>
  </r>
  <r>
    <s v="PROD8"/>
    <s v="STORE1"/>
    <n v="2"/>
    <n v="443.09"/>
    <n v="0.02"/>
    <s v="PayPal"/>
    <n v="868.45639999999992"/>
    <n v="1292317.9095999997"/>
    <n v="1068.9147308519434"/>
    <n v="414"/>
    <s v="Low Value"/>
    <s v="Jan-2024"/>
    <s v="Wireless Bluetooth Earbuds"/>
    <x v="1"/>
  </r>
  <r>
    <s v="PROD19"/>
    <s v="STORE15"/>
    <n v="1"/>
    <n v="512.16"/>
    <n v="0.02"/>
    <s v="COD"/>
    <n v="501.91680000000002"/>
    <n v="1291449.4531999996"/>
    <n v="1069.0806731788077"/>
    <n v="413"/>
    <s v="Low Value"/>
    <s v="Aug-2025"/>
    <s v="Knee Support Brace"/>
    <x v="0"/>
  </r>
  <r>
    <s v="PROD41"/>
    <s v="STORE18"/>
    <n v="2"/>
    <n v="602.54999999999995"/>
    <n v="0.23"/>
    <s v="COD"/>
    <n v="927.92699999999991"/>
    <n v="1290947.5363999994"/>
    <n v="1069.5505686826839"/>
    <n v="413"/>
    <s v="Low Value"/>
    <s v="Oct-2024"/>
    <s v="Yoga Exercise Mat"/>
    <x v="0"/>
  </r>
  <r>
    <s v="PROD42"/>
    <s v="STORE0"/>
    <n v="3"/>
    <n v="846.19"/>
    <n v="0.09"/>
    <s v="COD"/>
    <n v="2310.0987"/>
    <n v="1290019.6093999995"/>
    <n v="1069.6680011608619"/>
    <n v="413"/>
    <s v="High Value"/>
    <s v="Mar-2025"/>
    <s v="Smart Home WiFi Camera"/>
    <x v="1"/>
  </r>
  <r>
    <s v="PROD69"/>
    <s v="STORE8"/>
    <n v="1"/>
    <n v="506.73"/>
    <n v="0.28999999999999998"/>
    <s v="Credit Card"/>
    <n v="359.7783"/>
    <n v="1287709.5106999995"/>
    <n v="1068.638598091286"/>
    <n v="413"/>
    <s v="Low Value"/>
    <s v="Apr-2025"/>
    <s v="Men's Sports Shorts"/>
    <x v="4"/>
  </r>
  <r>
    <s v="PROD51"/>
    <s v="STORE16"/>
    <n v="1"/>
    <n v="408.66"/>
    <n v="0.13"/>
    <s v="COD"/>
    <n v="355.5342"/>
    <n v="1287349.7323999994"/>
    <n v="1069.2273524916939"/>
    <n v="413"/>
    <s v="Low Value"/>
    <s v="Jan-2024"/>
    <s v="HDMI Cable – 2m"/>
    <x v="1"/>
  </r>
  <r>
    <s v="PROD8"/>
    <s v="STORE17"/>
    <n v="3"/>
    <n v="170.48"/>
    <n v="0.06"/>
    <s v="COD"/>
    <n v="480.75359999999989"/>
    <n v="1286994.1981999995"/>
    <n v="1069.8206136325848"/>
    <n v="413"/>
    <s v="Low Value"/>
    <s v="Jun-2024"/>
    <s v="Wireless Bluetooth Earbuds"/>
    <x v="1"/>
  </r>
  <r>
    <s v="PROD18"/>
    <s v="STORE9"/>
    <n v="1"/>
    <n v="423.48"/>
    <n v="0.18"/>
    <s v="PayPal"/>
    <n v="347.25360000000012"/>
    <n v="1286513.4445999993"/>
    <n v="1070.310686023294"/>
    <n v="413"/>
    <s v="Low Value"/>
    <s v="Mar-2025"/>
    <s v="Women's Denim Jeans"/>
    <x v="4"/>
  </r>
  <r>
    <s v="PROD92"/>
    <s v="STORE11"/>
    <n v="4"/>
    <n v="23.57"/>
    <n v="0.1"/>
    <s v="Credit Card"/>
    <n v="84.852000000000004"/>
    <n v="1286166.1909999994"/>
    <n v="1070.9127318900912"/>
    <n v="412"/>
    <s v="Low Value"/>
    <s v="Oct-2023"/>
    <s v="Microwave Oven"/>
    <x v="3"/>
  </r>
  <r>
    <s v="PROD42"/>
    <s v="STORE18"/>
    <n v="2"/>
    <n v="953.26"/>
    <n v="0.1"/>
    <s v="COD"/>
    <n v="1715.8679999999999"/>
    <n v="1286081.3389999995"/>
    <n v="1071.7344491666663"/>
    <n v="412"/>
    <s v="High Value"/>
    <s v="Jun-2025"/>
    <s v="Smart Home WiFi Camera"/>
    <x v="1"/>
  </r>
  <r>
    <s v="PROD73"/>
    <s v="STORE7"/>
    <n v="3"/>
    <n v="405.13"/>
    <n v="0.14000000000000001"/>
    <s v="COD"/>
    <n v="1045.2354"/>
    <n v="1284365.4709999994"/>
    <n v="1071.1972235195992"/>
    <n v="412"/>
    <s v="High Value"/>
    <s v="Dec-2023"/>
    <s v="Shin Guards – Adult"/>
    <x v="0"/>
  </r>
  <r>
    <s v="PROD2"/>
    <s v="STORE4"/>
    <n v="2"/>
    <n v="333.83"/>
    <n v="0.26"/>
    <s v="PayPal"/>
    <n v="494.0684"/>
    <n v="1283320.2355999993"/>
    <n v="1071.2188944908175"/>
    <n v="412"/>
    <s v="Low Value"/>
    <s v="Nov-2023"/>
    <s v="Women's Casual Hoodie"/>
    <x v="4"/>
  </r>
  <r>
    <s v="PROD91"/>
    <s v="STORE3"/>
    <n v="2"/>
    <n v="727.18"/>
    <n v="0.22"/>
    <s v="PayPal"/>
    <n v="1134.4007999999999"/>
    <n v="1282826.1671999993"/>
    <n v="1071.701058646616"/>
    <n v="411"/>
    <s v="High Value"/>
    <s v="Mar-2025"/>
    <s v="Women's High Heels"/>
    <x v="4"/>
  </r>
  <r>
    <s v="PROD5"/>
    <s v="STORE10"/>
    <n v="2"/>
    <n v="516.02"/>
    <n v="0.19"/>
    <s v="COD"/>
    <n v="835.95240000000001"/>
    <n v="1281691.7663999994"/>
    <n v="1071.6486341137118"/>
    <n v="410"/>
    <s v="Low Value"/>
    <s v="May-2025"/>
    <s v="Men's Leather Belt"/>
    <x v="4"/>
  </r>
  <r>
    <s v="PROD42"/>
    <s v="STORE11"/>
    <n v="2"/>
    <n v="705.61"/>
    <n v="0.28000000000000003"/>
    <s v="Credit Card"/>
    <n v="1016.0784"/>
    <n v="1280855.8139999995"/>
    <n v="1071.8458694560666"/>
    <n v="410"/>
    <s v="High Value"/>
    <s v="Mar-2024"/>
    <s v="Smart Home WiFi Camera"/>
    <x v="1"/>
  </r>
  <r>
    <s v="PROD84"/>
    <s v="STORE8"/>
    <n v="3"/>
    <n v="654.47"/>
    <n v="0.18"/>
    <s v="COD"/>
    <n v="1609.9962"/>
    <n v="1279839.7355999995"/>
    <n v="1071.8925758793966"/>
    <n v="410"/>
    <s v="High Value"/>
    <s v="May-2024"/>
    <s v="Wooden Bookshelf"/>
    <x v="3"/>
  </r>
  <r>
    <s v="PROD88"/>
    <s v="STORE15"/>
    <n v="2"/>
    <n v="315.27"/>
    <n v="0.23"/>
    <s v="Credit Card"/>
    <n v="485.51580000000001"/>
    <n v="1278229.7393999994"/>
    <n v="1071.4415250628663"/>
    <n v="410"/>
    <s v="Low Value"/>
    <s v="Mar-2025"/>
    <s v="Sports Wrist Sweatbands"/>
    <x v="0"/>
  </r>
  <r>
    <s v="PROD28"/>
    <s v="STORE2"/>
    <n v="1"/>
    <n v="974.47"/>
    <n v="0.05"/>
    <s v="Credit Card"/>
    <n v="925.74649999999997"/>
    <n v="1277744.2235999994"/>
    <n v="1071.9330734899324"/>
    <n v="410"/>
    <s v="Low Value"/>
    <s v="Nov-2024"/>
    <s v="Sports Stopwatch Timer"/>
    <x v="0"/>
  </r>
  <r>
    <s v="PROD2"/>
    <s v="STORE4"/>
    <n v="2"/>
    <n v="803.3"/>
    <n v="0.17"/>
    <s v="Credit Card"/>
    <n v="1333.4780000000001"/>
    <n v="1276818.4770999996"/>
    <n v="1072.0558162048694"/>
    <n v="410"/>
    <s v="High Value"/>
    <s v="Feb-2024"/>
    <s v="Women's Casual Hoodie"/>
    <x v="4"/>
  </r>
  <r>
    <s v="PROD2"/>
    <s v="STORE10"/>
    <n v="4"/>
    <n v="863.87"/>
    <n v="0.21"/>
    <s v="COD"/>
    <n v="2729.8292000000001"/>
    <n v="1275484.9990999994"/>
    <n v="1071.8361336974785"/>
    <n v="410"/>
    <s v="High Value"/>
    <s v="Jun-2024"/>
    <s v="Women's Casual Hoodie"/>
    <x v="4"/>
  </r>
  <r>
    <s v="PROD80"/>
    <s v="STORE18"/>
    <n v="1"/>
    <n v="450.11"/>
    <n v="0.17"/>
    <s v="Credit Card"/>
    <n v="373.59129999999999"/>
    <n v="1272755.1698999994"/>
    <n v="1070.4416904121106"/>
    <n v="410"/>
    <s v="Low Value"/>
    <s v="Aug-2024"/>
    <s v="Wall-Mounted Spice Rack"/>
    <x v="3"/>
  </r>
  <r>
    <s v="PROD68"/>
    <s v="STORE13"/>
    <n v="1"/>
    <n v="289.82"/>
    <n v="0.18"/>
    <s v="COD"/>
    <n v="237.6524"/>
    <n v="1272381.5785999994"/>
    <n v="1071.0282648148143"/>
    <n v="410"/>
    <s v="Low Value"/>
    <s v="Jul-2024"/>
    <s v="Wooden Nightstand"/>
    <x v="3"/>
  </r>
  <r>
    <s v="PROD54"/>
    <s v="STORE10"/>
    <n v="4"/>
    <n v="250.64"/>
    <n v="0.1"/>
    <s v="PayPal"/>
    <n v="902.30399999999997"/>
    <n v="1272143.9261999994"/>
    <n v="1071.7303506318444"/>
    <n v="410"/>
    <s v="Low Value"/>
    <s v="Aug-2025"/>
    <s v="Sports Stopwatch Pro"/>
    <x v="0"/>
  </r>
  <r>
    <s v="PROD69"/>
    <s v="STORE19"/>
    <n v="4"/>
    <n v="373.49"/>
    <n v="0.16"/>
    <s v="COD"/>
    <n v="1254.9264000000001"/>
    <n v="1271241.6221999992"/>
    <n v="1071.8732059021916"/>
    <n v="409"/>
    <s v="High Value"/>
    <s v="Aug-2025"/>
    <s v="Men's Sports Shorts"/>
    <x v="4"/>
  </r>
  <r>
    <s v="PROD3"/>
    <s v="STORE9"/>
    <n v="4"/>
    <n v="348.91"/>
    <n v="0.18"/>
    <s v="PayPal"/>
    <n v="1144.4248"/>
    <n v="1269986.6957999992"/>
    <n v="1071.7187306329106"/>
    <n v="409"/>
    <s v="High Value"/>
    <s v="Apr-2024"/>
    <s v="Men's Running Jacket"/>
    <x v="4"/>
  </r>
  <r>
    <s v="PROD94"/>
    <s v="STORE17"/>
    <n v="4"/>
    <n v="212.96"/>
    <n v="0.17"/>
    <s v="Credit Card"/>
    <n v="707.02719999999999"/>
    <n v="1268842.2709999993"/>
    <n v="1071.657323479729"/>
    <n v="408"/>
    <s v="Low Value"/>
    <s v="Apr-2024"/>
    <s v="Vitamin E Body Lotion"/>
    <x v="2"/>
  </r>
  <r>
    <s v="PROD27"/>
    <s v="STORE19"/>
    <n v="3"/>
    <n v="871.34"/>
    <n v="0.11"/>
    <s v="COD"/>
    <n v="2326.4778000000001"/>
    <n v="1268135.2437999991"/>
    <n v="1071.9655484361786"/>
    <n v="408"/>
    <s v="High Value"/>
    <s v="Apr-2024"/>
    <s v="Decorative Floor Vase"/>
    <x v="3"/>
  </r>
  <r>
    <s v="PROD94"/>
    <s v="STORE0"/>
    <n v="2"/>
    <n v="698.94"/>
    <n v="0.06"/>
    <s v="Credit Card"/>
    <n v="1314.0072"/>
    <n v="1265808.7659999994"/>
    <n v="1070.9042013536373"/>
    <n v="408"/>
    <s v="High Value"/>
    <s v="Jul-2025"/>
    <s v="Vitamin E Body Lotion"/>
    <x v="2"/>
  </r>
  <r>
    <s v="PROD74"/>
    <s v="STORE0"/>
    <n v="1"/>
    <n v="719.94"/>
    <n v="0.23"/>
    <s v="COD"/>
    <n v="554.35380000000009"/>
    <n v="1264494.758799999"/>
    <n v="1070.6983563082126"/>
    <n v="408"/>
    <s v="Low Value"/>
    <s v="Feb-2025"/>
    <s v="Bluetooth Car Audio System"/>
    <x v="1"/>
  </r>
  <r>
    <s v="PROD28"/>
    <s v="STORE4"/>
    <n v="2"/>
    <n v="278.16000000000003"/>
    <n v="0.22"/>
    <s v="PayPal"/>
    <n v="433.92960000000011"/>
    <n v="1263940.4049999991"/>
    <n v="1071.1359364406771"/>
    <n v="408"/>
    <s v="Low Value"/>
    <s v="Nov-2024"/>
    <s v="Sports Stopwatch Timer"/>
    <x v="0"/>
  </r>
  <r>
    <s v="PROD49"/>
    <s v="STORE5"/>
    <n v="1"/>
    <n v="678.9"/>
    <n v="0.17"/>
    <s v="Credit Card"/>
    <n v="563.48699999999997"/>
    <n v="1263506.4753999989"/>
    <n v="1071.6763998303638"/>
    <n v="407"/>
    <s v="Low Value"/>
    <s v="Jan-2024"/>
    <s v="Men's Roll-On Perfume"/>
    <x v="2"/>
  </r>
  <r>
    <s v="PROD25"/>
    <s v="STORE15"/>
    <n v="4"/>
    <n v="94.13"/>
    <n v="0.15"/>
    <s v="Credit Card"/>
    <n v="320.04199999999997"/>
    <n v="1262942.988399999"/>
    <n v="1072.1077999999991"/>
    <n v="407"/>
    <s v="Low Value"/>
    <s v="Aug-2024"/>
    <s v="Women's Scarf Set"/>
    <x v="4"/>
  </r>
  <r>
    <s v="PROD44"/>
    <s v="STORE1"/>
    <n v="4"/>
    <n v="415.02"/>
    <n v="0.01"/>
    <s v="PayPal"/>
    <n v="1643.4792"/>
    <n v="1262622.9463999991"/>
    <n v="1072.7467683942218"/>
    <n v="407"/>
    <s v="High Value"/>
    <s v="Oct-2025"/>
    <s v="Adjustable Jump Rope"/>
    <x v="0"/>
  </r>
  <r>
    <s v="PROD11"/>
    <s v="STORE4"/>
    <n v="4"/>
    <n v="780.07"/>
    <n v="0.03"/>
    <s v="Credit Card"/>
    <n v="3026.6716000000001"/>
    <n v="1260979.4671999994"/>
    <n v="1072.2614517006798"/>
    <n v="406"/>
    <s v="High Value"/>
    <s v="Jul-2025"/>
    <s v="HD Smart TV Stick"/>
    <x v="1"/>
  </r>
  <r>
    <s v="PROD37"/>
    <s v="STORE15"/>
    <n v="4"/>
    <n v="184.57"/>
    <n v="0.28000000000000003"/>
    <s v="Credit Card"/>
    <n v="531.5616"/>
    <n v="1257952.7955999989"/>
    <n v="1070.5981239148928"/>
    <n v="406"/>
    <s v="Low Value"/>
    <s v="Aug-2025"/>
    <s v="Men's Casual Sneakers"/>
    <x v="4"/>
  </r>
  <r>
    <s v="PROD65"/>
    <s v="STORE4"/>
    <n v="4"/>
    <n v="277.58"/>
    <n v="0.22"/>
    <s v="PayPal"/>
    <n v="866.04959999999994"/>
    <n v="1257421.233999999"/>
    <n v="1071.0572691652462"/>
    <n v="406"/>
    <s v="Low Value"/>
    <s v="Aug-2024"/>
    <s v="Adjustable Dumbbells 20kg"/>
    <x v="0"/>
  </r>
  <r>
    <s v="PROD31"/>
    <s v="STORE3"/>
    <n v="1"/>
    <n v="36.799999999999997"/>
    <n v="0.18"/>
    <s v="Credit Card"/>
    <n v="30.175999999999998"/>
    <n v="1256555.184399999"/>
    <n v="1071.2320412617212"/>
    <n v="405"/>
    <s v="Low Value"/>
    <s v="Mar-2025"/>
    <s v="Basketball"/>
    <x v="0"/>
  </r>
  <r>
    <s v="PROD88"/>
    <s v="STORE6"/>
    <n v="1"/>
    <n v="539.37"/>
    <n v="0.14000000000000001"/>
    <s v="Credit Card"/>
    <n v="463.85820000000001"/>
    <n v="1256525.008399999"/>
    <n v="1072.1203143344701"/>
    <n v="405"/>
    <s v="Low Value"/>
    <s v="Jun-2025"/>
    <s v="Sports Wrist Sweatbands"/>
    <x v="0"/>
  </r>
  <r>
    <s v="PROD20"/>
    <s v="STORE18"/>
    <n v="1"/>
    <n v="27.83"/>
    <n v="0.3"/>
    <s v="PayPal"/>
    <n v="19.481000000000002"/>
    <n v="1256061.1501999991"/>
    <n v="1072.6397525192135"/>
    <n v="405"/>
    <s v="Low Value"/>
    <s v="Apr-2025"/>
    <s v="Outdoor Sports Water Bottle"/>
    <x v="0"/>
  </r>
  <r>
    <s v="PROD70"/>
    <s v="STORE4"/>
    <n v="3"/>
    <n v="698.72"/>
    <n v="0.28000000000000003"/>
    <s v="COD"/>
    <n v="1509.2352000000001"/>
    <n v="1256041.6691999992"/>
    <n v="1073.5398882051275"/>
    <n v="404"/>
    <s v="High Value"/>
    <s v="Jun-2024"/>
    <s v="Kitchen Storage Rack"/>
    <x v="3"/>
  </r>
  <r>
    <s v="PROD76"/>
    <s v="STORE13"/>
    <n v="4"/>
    <n v="528.23"/>
    <n v="0.15"/>
    <s v="COD"/>
    <n v="1795.982"/>
    <n v="1254532.4339999992"/>
    <n v="1073.16718049615"/>
    <n v="404"/>
    <s v="High Value"/>
    <s v="Feb-2025"/>
    <s v="Wireless Mouse"/>
    <x v="1"/>
  </r>
  <r>
    <s v="PROD46"/>
    <s v="STORE16"/>
    <n v="2"/>
    <n v="780.9"/>
    <n v="0.24"/>
    <s v="PayPal"/>
    <n v="1186.9680000000001"/>
    <n v="1252736.4519999993"/>
    <n v="1072.5483321917802"/>
    <n v="404"/>
    <s v="High Value"/>
    <s v="Sep-2024"/>
    <s v="Men's Winter Jacket"/>
    <x v="4"/>
  </r>
  <r>
    <s v="PROD21"/>
    <s v="STORE14"/>
    <n v="1"/>
    <n v="977.97"/>
    <n v="0.06"/>
    <s v="COD"/>
    <n v="919.29179999999997"/>
    <n v="1251549.4839999995"/>
    <n v="1072.4502862039412"/>
    <n v="403"/>
    <s v="Low Value"/>
    <s v="Nov-2023"/>
    <s v="Multi-Purpose Storage Box"/>
    <x v="3"/>
  </r>
  <r>
    <s v="PROD83"/>
    <s v="STORE12"/>
    <n v="4"/>
    <n v="354.65"/>
    <n v="0.19"/>
    <s v="Credit Card"/>
    <n v="1149.066"/>
    <n v="1250630.1921999995"/>
    <n v="1072.5816399656942"/>
    <n v="403"/>
    <s v="High Value"/>
    <s v="Jan-2024"/>
    <s v="Hydrating Face Cleanser"/>
    <x v="2"/>
  </r>
  <r>
    <s v="PROD68"/>
    <s v="STORE19"/>
    <n v="1"/>
    <n v="671.62"/>
    <n v="0.09"/>
    <s v="COD"/>
    <n v="611.17420000000004"/>
    <n v="1249481.1261999991"/>
    <n v="1072.5159881545057"/>
    <n v="403"/>
    <s v="Low Value"/>
    <s v="Mar-2024"/>
    <s v="Wooden Nightstand"/>
    <x v="3"/>
  </r>
  <r>
    <s v="PROD82"/>
    <s v="STORE3"/>
    <n v="1"/>
    <n v="867.32"/>
    <n v="0.28999999999999998"/>
    <s v="PayPal"/>
    <n v="615.79719999999998"/>
    <n v="1248869.9519999991"/>
    <n v="1072.9123298969064"/>
    <n v="403"/>
    <s v="Low Value"/>
    <s v="Sep-2025"/>
    <s v="Fitness Resistance Bands"/>
    <x v="0"/>
  </r>
  <r>
    <s v="PROD10"/>
    <s v="STORE12"/>
    <n v="3"/>
    <n v="240.27"/>
    <n v="0.15"/>
    <s v="PayPal"/>
    <n v="612.68850000000009"/>
    <n v="1248254.1547999992"/>
    <n v="1073.3053781599306"/>
    <n v="402"/>
    <s v="Low Value"/>
    <s v="Feb-2024"/>
    <s v="Ceramic Kitchen Bowl Set"/>
    <x v="3"/>
  </r>
  <r>
    <s v="PROD28"/>
    <s v="STORE16"/>
    <n v="2"/>
    <n v="619.12"/>
    <n v="0.28000000000000003"/>
    <s v="COD"/>
    <n v="891.53279999999995"/>
    <n v="1247641.466299999"/>
    <n v="1073.7017782271937"/>
    <n v="401"/>
    <s v="Low Value"/>
    <s v="Mar-2025"/>
    <s v="Sports Stopwatch Timer"/>
    <x v="0"/>
  </r>
  <r>
    <s v="PROD87"/>
    <s v="STORE0"/>
    <n v="3"/>
    <n v="693.42"/>
    <n v="0.08"/>
    <s v="PayPal"/>
    <n v="1913.8391999999999"/>
    <n v="1246749.9334999993"/>
    <n v="1073.8586851851846"/>
    <n v="401"/>
    <s v="High Value"/>
    <s v="Apr-2025"/>
    <s v="LED Bedside Lamp"/>
    <x v="3"/>
  </r>
  <r>
    <s v="PROD48"/>
    <s v="STORE10"/>
    <n v="4"/>
    <n v="751.63"/>
    <n v="0.28000000000000003"/>
    <s v="COD"/>
    <n v="2164.6943999999999"/>
    <n v="1244836.0942999993"/>
    <n v="1073.1345640517236"/>
    <n v="400"/>
    <s v="High Value"/>
    <s v="Feb-2025"/>
    <s v="Car Dashboard Phone Holder"/>
    <x v="1"/>
  </r>
  <r>
    <s v="PROD31"/>
    <s v="STORE15"/>
    <n v="3"/>
    <n v="108.14"/>
    <n v="0.19"/>
    <s v="COD"/>
    <n v="262.78019999999998"/>
    <n v="1242671.3998999991"/>
    <n v="1072.192752286453"/>
    <n v="400"/>
    <s v="Low Value"/>
    <s v="Mar-2024"/>
    <s v="Basketball"/>
    <x v="0"/>
  </r>
  <r>
    <s v="PROD27"/>
    <s v="STORE4"/>
    <n v="1"/>
    <n v="964.11"/>
    <n v="0.17"/>
    <s v="COD"/>
    <n v="800.21129999999994"/>
    <n v="1242408.619699999"/>
    <n v="1072.8917268566486"/>
    <n v="400"/>
    <s v="Low Value"/>
    <s v="Jun-2024"/>
    <s v="Decorative Floor Vase"/>
    <x v="3"/>
  </r>
  <r>
    <s v="PROD19"/>
    <s v="STORE0"/>
    <n v="1"/>
    <n v="346.2"/>
    <n v="0.28999999999999998"/>
    <s v="Credit Card"/>
    <n v="245.80199999999999"/>
    <n v="1241608.4083999989"/>
    <n v="1073.127405704407"/>
    <n v="400"/>
    <s v="Low Value"/>
    <s v="Aug-2024"/>
    <s v="Knee Support Brace"/>
    <x v="0"/>
  </r>
  <r>
    <s v="PROD43"/>
    <s v="STORE15"/>
    <n v="3"/>
    <n v="791.75"/>
    <n v="0.28999999999999998"/>
    <s v="Credit Card"/>
    <n v="1686.4275"/>
    <n v="1241362.606399999"/>
    <n v="1073.8430851211065"/>
    <n v="400"/>
    <s v="High Value"/>
    <s v="Aug-2024"/>
    <s v="USB External Hard Drive"/>
    <x v="1"/>
  </r>
  <r>
    <s v="PROD39"/>
    <s v="STORE13"/>
    <n v="1"/>
    <n v="529.84"/>
    <n v="0.13"/>
    <s v="PayPal"/>
    <n v="460.96080000000001"/>
    <n v="1239676.1788999988"/>
    <n v="1073.3127090043279"/>
    <n v="400"/>
    <s v="Low Value"/>
    <s v="Dec-2023"/>
    <s v="Portable Power Bank"/>
    <x v="1"/>
  </r>
  <r>
    <s v="PROD54"/>
    <s v="STORE3"/>
    <n v="3"/>
    <n v="582.57000000000005"/>
    <n v="0.11"/>
    <s v="PayPal"/>
    <n v="1555.4619"/>
    <n v="1239215.2180999988"/>
    <n v="1073.8433432409001"/>
    <n v="399"/>
    <s v="High Value"/>
    <s v="Oct-2025"/>
    <s v="Sports Stopwatch Pro"/>
    <x v="0"/>
  </r>
  <r>
    <s v="PROD95"/>
    <s v="STORE17"/>
    <n v="1"/>
    <n v="219.81"/>
    <n v="0.22"/>
    <s v="COD"/>
    <n v="171.45179999999999"/>
    <n v="1237659.7561999988"/>
    <n v="1073.4256341717248"/>
    <n v="398"/>
    <s v="Low Value"/>
    <s v="Nov-2023"/>
    <s v="Sports Stopwatch Basic"/>
    <x v="0"/>
  </r>
  <r>
    <s v="PROD70"/>
    <s v="STORE18"/>
    <n v="4"/>
    <n v="883.31"/>
    <n v="0.27"/>
    <s v="Credit Card"/>
    <n v="2579.2651999999998"/>
    <n v="1237488.3043999986"/>
    <n v="1074.2085975694433"/>
    <n v="398"/>
    <s v="High Value"/>
    <s v="May-2024"/>
    <s v="Kitchen Storage Rack"/>
    <x v="3"/>
  </r>
  <r>
    <s v="PROD17"/>
    <s v="STORE14"/>
    <n v="4"/>
    <n v="329.06"/>
    <n v="0.04"/>
    <s v="COD"/>
    <n v="1263.5904"/>
    <n v="1234909.0391999984"/>
    <n v="1072.9009897480437"/>
    <n v="398"/>
    <s v="High Value"/>
    <s v="Dec-2024"/>
    <s v="Soccer Training Cone Set"/>
    <x v="0"/>
  </r>
  <r>
    <s v="PROD68"/>
    <s v="STORE11"/>
    <n v="1"/>
    <n v="935.78"/>
    <n v="0.03"/>
    <s v="PayPal"/>
    <n v="907.70659999999998"/>
    <n v="1233645.4487999985"/>
    <n v="1072.7351728695639"/>
    <n v="398"/>
    <s v="Low Value"/>
    <s v="Jan-2025"/>
    <s v="Wooden Nightstand"/>
    <x v="3"/>
  </r>
  <r>
    <s v="PROD60"/>
    <s v="STORE10"/>
    <n v="4"/>
    <n v="597.79999999999995"/>
    <n v="0.2"/>
    <s v="Credit Card"/>
    <n v="1912.96"/>
    <n v="1232737.7421999983"/>
    <n v="1072.8788008703207"/>
    <n v="397"/>
    <s v="High Value"/>
    <s v="Jul-2024"/>
    <s v="Luxury Perfume Spray"/>
    <x v="2"/>
  </r>
  <r>
    <s v="PROD13"/>
    <s v="STORE18"/>
    <n v="4"/>
    <n v="266.98"/>
    <n v="0.16"/>
    <s v="Credit Card"/>
    <n v="897.05280000000005"/>
    <n v="1230824.7821999984"/>
    <n v="1072.1470228222981"/>
    <n v="397"/>
    <s v="Low Value"/>
    <s v="Feb-2025"/>
    <s v="USB-C Fast Charger"/>
    <x v="1"/>
  </r>
  <r>
    <s v="PROD70"/>
    <s v="STORE15"/>
    <n v="3"/>
    <n v="360.18"/>
    <n v="0.03"/>
    <s v="Credit Card"/>
    <n v="1048.1238000000001"/>
    <n v="1229927.7293999982"/>
    <n v="1072.2996768962496"/>
    <n v="397"/>
    <s v="High Value"/>
    <s v="Aug-2025"/>
    <s v="Kitchen Storage Rack"/>
    <x v="3"/>
  </r>
  <r>
    <s v="PROD56"/>
    <s v="STORE0"/>
    <n v="3"/>
    <n v="247.41"/>
    <n v="0.05"/>
    <s v="COD"/>
    <n v="705.11850000000004"/>
    <n v="1228879.605599998"/>
    <n v="1072.3207727748675"/>
    <n v="397"/>
    <s v="Low Value"/>
    <s v="Jul-2025"/>
    <s v="Premium Blanket Throw"/>
    <x v="3"/>
  </r>
  <r>
    <s v="PROD45"/>
    <s v="STORE15"/>
    <n v="3"/>
    <n v="674.66"/>
    <n v="0.23"/>
    <s v="Credit Card"/>
    <n v="1558.4646"/>
    <n v="1228174.4870999982"/>
    <n v="1072.6414734497801"/>
    <n v="397"/>
    <s v="High Value"/>
    <s v="Nov-2023"/>
    <s v="High-Grip Football"/>
    <x v="0"/>
  </r>
  <r>
    <s v="PROD42"/>
    <s v="STORE4"/>
    <n v="1"/>
    <n v="913.98"/>
    <n v="0.27"/>
    <s v="PayPal"/>
    <n v="667.20539999999994"/>
    <n v="1226616.0224999983"/>
    <n v="1072.216802884614"/>
    <n v="397"/>
    <s v="Low Value"/>
    <s v="Aug-2025"/>
    <s v="Smart Home WiFi Camera"/>
    <x v="1"/>
  </r>
  <r>
    <s v="PROD93"/>
    <s v="STORE10"/>
    <n v="4"/>
    <n v="370.5"/>
    <n v="0.13"/>
    <s v="PayPal"/>
    <n v="1289.3399999999999"/>
    <n v="1225948.8170999982"/>
    <n v="1072.5711435695523"/>
    <n v="396"/>
    <s v="High Value"/>
    <s v="Apr-2025"/>
    <s v="USB-C Laptop Charger"/>
    <x v="1"/>
  </r>
  <r>
    <s v="PROD72"/>
    <s v="STORE13"/>
    <n v="1"/>
    <n v="735.1"/>
    <n v="0.1"/>
    <s v="PayPal"/>
    <n v="661.59"/>
    <n v="1224659.4770999984"/>
    <n v="1072.3813284588427"/>
    <n v="395"/>
    <s v="Low Value"/>
    <s v="Nov-2024"/>
    <s v="Professional Jump Rope"/>
    <x v="0"/>
  </r>
  <r>
    <s v="PROD79"/>
    <s v="STORE2"/>
    <n v="3"/>
    <n v="448.55"/>
    <n v="0.05"/>
    <s v="Credit Card"/>
    <n v="1278.3675000000001"/>
    <n v="1223997.8870999985"/>
    <n v="1072.741355915862"/>
    <n v="394"/>
    <s v="High Value"/>
    <s v="Nov-2024"/>
    <s v="Decorative Lamp Shade"/>
    <x v="3"/>
  </r>
  <r>
    <s v="PROD84"/>
    <s v="STORE13"/>
    <n v="3"/>
    <n v="904.96"/>
    <n v="7.0000000000000007E-2"/>
    <s v="COD"/>
    <n v="2524.8384000000001"/>
    <n v="1222719.5195999986"/>
    <n v="1072.5609821052619"/>
    <n v="394"/>
    <s v="High Value"/>
    <s v="Feb-2025"/>
    <s v="Wooden Bookshelf"/>
    <x v="3"/>
  </r>
  <r>
    <s v="PROD68"/>
    <s v="STORE13"/>
    <n v="4"/>
    <n v="408.72"/>
    <n v="0.16"/>
    <s v="COD"/>
    <n v="1373.2991999999999"/>
    <n v="1220194.6811999988"/>
    <n v="1071.2859360842833"/>
    <n v="394"/>
    <s v="High Value"/>
    <s v="Nov-2024"/>
    <s v="Wooden Nightstand"/>
    <x v="3"/>
  </r>
  <r>
    <s v="PROD71"/>
    <s v="STORE3"/>
    <n v="4"/>
    <n v="770.65"/>
    <n v="0.27"/>
    <s v="Credit Card"/>
    <n v="2250.2979999999998"/>
    <n v="1218821.3819999986"/>
    <n v="1071.0205465729337"/>
    <n v="394"/>
    <s v="High Value"/>
    <s v="Apr-2024"/>
    <s v="Hair Repair Oil Treatment"/>
    <x v="2"/>
  </r>
  <r>
    <s v="PROD30"/>
    <s v="STORE6"/>
    <n v="1"/>
    <n v="649.22"/>
    <n v="0.03"/>
    <s v="COD"/>
    <n v="629.74340000000007"/>
    <n v="1216571.0839999986"/>
    <n v="1069.9833632365862"/>
    <n v="394"/>
    <s v="Low Value"/>
    <s v="Apr-2025"/>
    <s v="Stainless Steel Cutlery Set"/>
    <x v="3"/>
  </r>
  <r>
    <s v="PROD33"/>
    <s v="STORE10"/>
    <n v="2"/>
    <n v="379.78"/>
    <n v="0.2"/>
    <s v="Credit Card"/>
    <n v="607.64800000000002"/>
    <n v="1215941.3405999988"/>
    <n v="1070.3708984154919"/>
    <n v="394"/>
    <s v="Low Value"/>
    <s v="May-2024"/>
    <s v="Modern Wall Clock"/>
    <x v="3"/>
  </r>
  <r>
    <s v="PROD43"/>
    <s v="STORE8"/>
    <n v="3"/>
    <n v="924.15"/>
    <n v="0.1"/>
    <s v="PayPal"/>
    <n v="2495.2049999999999"/>
    <n v="1215333.6925999986"/>
    <n v="1070.7785837885449"/>
    <n v="394"/>
    <s v="High Value"/>
    <s v="Apr-2025"/>
    <s v="USB External Hard Drive"/>
    <x v="1"/>
  </r>
  <r>
    <s v="PROD45"/>
    <s v="STORE17"/>
    <n v="3"/>
    <n v="144.66999999999999"/>
    <n v="0.28999999999999998"/>
    <s v="COD"/>
    <n v="308.14710000000002"/>
    <n v="1212838.4875999987"/>
    <n v="1069.5224758377415"/>
    <n v="393"/>
    <s v="Low Value"/>
    <s v="Oct-2024"/>
    <s v="High-Grip Football"/>
    <x v="0"/>
  </r>
  <r>
    <s v="PROD33"/>
    <s v="STORE15"/>
    <n v="2"/>
    <n v="667.17"/>
    <n v="0.1"/>
    <s v="PayPal"/>
    <n v="1200.9059999999999"/>
    <n v="1212530.3404999988"/>
    <n v="1070.194475286848"/>
    <n v="393"/>
    <s v="High Value"/>
    <s v="Feb-2025"/>
    <s v="Modern Wall Clock"/>
    <x v="3"/>
  </r>
  <r>
    <s v="PROD66"/>
    <s v="STORE3"/>
    <n v="1"/>
    <n v="984.6"/>
    <n v="0.22"/>
    <s v="Credit Card"/>
    <n v="767.98800000000006"/>
    <n v="1211329.4344999988"/>
    <n v="1070.0790057420484"/>
    <n v="392"/>
    <s v="Low Value"/>
    <s v="Mar-2024"/>
    <s v="Women's Hair Dryer Brush"/>
    <x v="2"/>
  </r>
  <r>
    <s v="PROD13"/>
    <s v="STORE8"/>
    <n v="1"/>
    <n v="139.29"/>
    <n v="0"/>
    <s v="Credit Card"/>
    <n v="139.29"/>
    <n v="1210561.4464999989"/>
    <n v="1070.3461065428814"/>
    <n v="392"/>
    <s v="Low Value"/>
    <s v="Nov-2023"/>
    <s v="USB-C Fast Charger"/>
    <x v="1"/>
  </r>
  <r>
    <s v="PROD16"/>
    <s v="STORE8"/>
    <n v="3"/>
    <n v="459.57"/>
    <n v="0.1"/>
    <s v="COD"/>
    <n v="1240.8389999999999"/>
    <n v="1210422.1564999989"/>
    <n v="1071.170049999999"/>
    <n v="392"/>
    <s v="High Value"/>
    <s v="Feb-2025"/>
    <s v="Beard Grooming Kit"/>
    <x v="2"/>
  </r>
  <r>
    <s v="PROD40"/>
    <s v="STORE15"/>
    <n v="1"/>
    <n v="517.82000000000005"/>
    <n v="0.28999999999999998"/>
    <s v="Credit Card"/>
    <n v="367.65219999999999"/>
    <n v="1209181.317499999"/>
    <n v="1071.0197674933561"/>
    <n v="392"/>
    <s v="Low Value"/>
    <s v="Jan-2024"/>
    <s v="Noise-Canceling Headphones"/>
    <x v="1"/>
  </r>
  <r>
    <s v="PROD76"/>
    <s v="STORE6"/>
    <n v="4"/>
    <n v="282.45"/>
    <n v="0.28999999999999998"/>
    <s v="COD"/>
    <n v="802.1579999999999"/>
    <n v="1208813.6652999988"/>
    <n v="1071.6433203014174"/>
    <n v="392"/>
    <s v="Low Value"/>
    <s v="Dec-2024"/>
    <s v="Wireless Mouse"/>
    <x v="1"/>
  </r>
  <r>
    <s v="PROD87"/>
    <s v="STORE7"/>
    <n v="2"/>
    <n v="386.46"/>
    <n v="0.23"/>
    <s v="COD"/>
    <n v="595.14840000000004"/>
    <n v="1208011.5072999988"/>
    <n v="1071.8824377107353"/>
    <n v="392"/>
    <s v="Low Value"/>
    <s v="Nov-2023"/>
    <s v="LED Bedside Lamp"/>
    <x v="3"/>
  </r>
  <r>
    <s v="PROD19"/>
    <s v="STORE3"/>
    <n v="1"/>
    <n v="270.45"/>
    <n v="0.15"/>
    <s v="COD"/>
    <n v="229.88249999999999"/>
    <n v="1207416.3588999989"/>
    <n v="1072.3058249555941"/>
    <n v="392"/>
    <s v="Low Value"/>
    <s v="Jan-2025"/>
    <s v="Knee Support Brace"/>
    <x v="0"/>
  </r>
  <r>
    <s v="PROD76"/>
    <s v="STORE10"/>
    <n v="4"/>
    <n v="762.94"/>
    <n v="0.09"/>
    <s v="COD"/>
    <n v="2777.1016"/>
    <n v="1207186.4763999989"/>
    <n v="1073.0546456888878"/>
    <n v="392"/>
    <s v="High Value"/>
    <s v="Jul-2024"/>
    <s v="Wireless Mouse"/>
    <x v="1"/>
  </r>
  <r>
    <s v="PROD41"/>
    <s v="STORE13"/>
    <n v="1"/>
    <n v="409.03"/>
    <n v="0.25"/>
    <s v="COD"/>
    <n v="306.77249999999998"/>
    <n v="1204409.3747999989"/>
    <n v="1071.5385896797143"/>
    <n v="392"/>
    <s v="Low Value"/>
    <s v="Nov-2023"/>
    <s v="Yoga Exercise Mat"/>
    <x v="0"/>
  </r>
  <r>
    <s v="PROD96"/>
    <s v="STORE18"/>
    <n v="2"/>
    <n v="891.13"/>
    <n v="0.13"/>
    <s v="Credit Card"/>
    <n v="1550.5662"/>
    <n v="1204102.602299999"/>
    <n v="1072.2195924309874"/>
    <n v="392"/>
    <s v="High Value"/>
    <s v="Apr-2024"/>
    <s v="Women's Formal Blazer"/>
    <x v="4"/>
  </r>
  <r>
    <s v="PROD92"/>
    <s v="STORE16"/>
    <n v="1"/>
    <n v="553.38"/>
    <n v="0.21"/>
    <s v="PayPal"/>
    <n v="437.17020000000002"/>
    <n v="1202552.0360999987"/>
    <n v="1071.7932585561487"/>
    <n v="392"/>
    <s v="Low Value"/>
    <s v="Oct-2024"/>
    <s v="Microwave Oven"/>
    <x v="3"/>
  </r>
  <r>
    <s v="PROD85"/>
    <s v="STORE13"/>
    <n v="2"/>
    <n v="652.29999999999995"/>
    <n v="0.16"/>
    <s v="COD"/>
    <n v="1095.864"/>
    <n v="1202114.8658999987"/>
    <n v="1072.3593808206947"/>
    <n v="391"/>
    <s v="High Value"/>
    <s v="Dec-2023"/>
    <s v="Women's Beanie Hat"/>
    <x v="4"/>
  </r>
  <r>
    <s v="PROD42"/>
    <s v="STORE9"/>
    <n v="4"/>
    <n v="194.36"/>
    <n v="0.18"/>
    <s v="COD"/>
    <n v="637.50080000000014"/>
    <n v="1201019.0018999989"/>
    <n v="1072.3383945535704"/>
    <n v="391"/>
    <s v="Low Value"/>
    <s v="Oct-2024"/>
    <s v="Smart Home WiFi Camera"/>
    <x v="1"/>
  </r>
  <r>
    <s v="PROD92"/>
    <s v="STORE1"/>
    <n v="3"/>
    <n v="476.37"/>
    <n v="0.21"/>
    <s v="COD"/>
    <n v="1128.9969000000001"/>
    <n v="1200381.5010999988"/>
    <n v="1072.7269893655039"/>
    <n v="391"/>
    <s v="High Value"/>
    <s v="Jan-2025"/>
    <s v="Microwave Oven"/>
    <x v="3"/>
  </r>
  <r>
    <s v="PROD40"/>
    <s v="STORE5"/>
    <n v="3"/>
    <n v="174.57"/>
    <n v="0"/>
    <s v="PayPal"/>
    <n v="523.71"/>
    <n v="1199252.5041999987"/>
    <n v="1072.6766584973154"/>
    <n v="391"/>
    <s v="Low Value"/>
    <s v="Mar-2024"/>
    <s v="Noise-Canceling Headphones"/>
    <x v="1"/>
  </r>
  <r>
    <s v="PROD85"/>
    <s v="STORE0"/>
    <n v="3"/>
    <n v="762"/>
    <n v="0.02"/>
    <s v="PayPal"/>
    <n v="2240.2800000000002"/>
    <n v="1198728.7941999987"/>
    <n v="1073.1681237242603"/>
    <n v="390"/>
    <s v="High Value"/>
    <s v="Aug-2024"/>
    <s v="Women's Beanie Hat"/>
    <x v="4"/>
  </r>
  <r>
    <s v="PROD72"/>
    <s v="STORE19"/>
    <n v="1"/>
    <n v="44.08"/>
    <n v="0.05"/>
    <s v="Credit Card"/>
    <n v="41.875999999999998"/>
    <n v="1196488.5141999987"/>
    <n v="1072.1223245519702"/>
    <n v="389"/>
    <s v="Low Value"/>
    <s v="Apr-2024"/>
    <s v="Professional Jump Rope"/>
    <x v="0"/>
  </r>
  <r>
    <s v="PROD59"/>
    <s v="STORE13"/>
    <n v="1"/>
    <n v="992.37"/>
    <n v="0.24"/>
    <s v="COD"/>
    <n v="754.20119999999997"/>
    <n v="1196446.6381999988"/>
    <n v="1073.0463122869944"/>
    <n v="389"/>
    <s v="Low Value"/>
    <s v="Jun-2024"/>
    <s v="Men's Hair Styling Gel"/>
    <x v="2"/>
  </r>
  <r>
    <s v="PROD31"/>
    <s v="STORE10"/>
    <n v="3"/>
    <n v="465.4"/>
    <n v="0.28999999999999998"/>
    <s v="COD"/>
    <n v="991.30199999999979"/>
    <n v="1195692.4369999988"/>
    <n v="1073.3325287253131"/>
    <n v="389"/>
    <s v="Low Value"/>
    <s v="Aug-2025"/>
    <s v="Basketball"/>
    <x v="0"/>
  </r>
  <r>
    <s v="PROD16"/>
    <s v="STORE10"/>
    <n v="2"/>
    <n v="693.61"/>
    <n v="0.15"/>
    <s v="PayPal"/>
    <n v="1179.1369999999999"/>
    <n v="1194701.1349999986"/>
    <n v="1073.4062309074561"/>
    <n v="389"/>
    <s v="High Value"/>
    <s v="Mar-2025"/>
    <s v="Beard Grooming Kit"/>
    <x v="2"/>
  </r>
  <r>
    <s v="PROD67"/>
    <s v="STORE8"/>
    <n v="2"/>
    <n v="995.11"/>
    <n v="0.13"/>
    <s v="PayPal"/>
    <n v="1731.4914000000001"/>
    <n v="1193521.9979999987"/>
    <n v="1073.3111492805745"/>
    <n v="388"/>
    <s v="High Value"/>
    <s v="May-2025"/>
    <s v="Smart LED Light Strip"/>
    <x v="1"/>
  </r>
  <r>
    <s v="PROD23"/>
    <s v="STORE4"/>
    <n v="3"/>
    <n v="70.97"/>
    <n v="0.06"/>
    <s v="COD"/>
    <n v="200.1354"/>
    <n v="1191790.5065999988"/>
    <n v="1072.7187278127801"/>
    <n v="387"/>
    <s v="Low Value"/>
    <s v="Apr-2025"/>
    <s v="Men's Formal Shirt"/>
    <x v="4"/>
  </r>
  <r>
    <s v="PROD83"/>
    <s v="STORE9"/>
    <n v="3"/>
    <n v="470.42"/>
    <n v="0.16"/>
    <s v="Credit Card"/>
    <n v="1185.4584"/>
    <n v="1191590.3711999988"/>
    <n v="1073.5048389189178"/>
    <n v="387"/>
    <s v="High Value"/>
    <s v="Feb-2024"/>
    <s v="Hydrating Face Cleanser"/>
    <x v="2"/>
  </r>
  <r>
    <s v="PROD86"/>
    <s v="STORE16"/>
    <n v="2"/>
    <n v="215.59"/>
    <n v="0.18"/>
    <s v="Credit Card"/>
    <n v="353.56760000000003"/>
    <n v="1190404.9127999989"/>
    <n v="1073.4038889089259"/>
    <n v="387"/>
    <s v="Low Value"/>
    <s v="Oct-2025"/>
    <s v="Kitchen Cutting Board"/>
    <x v="3"/>
  </r>
  <r>
    <s v="PROD92"/>
    <s v="STORE0"/>
    <n v="1"/>
    <n v="533.79999999999995"/>
    <n v="0.27"/>
    <s v="COD"/>
    <n v="389.67399999999998"/>
    <n v="1190051.3451999989"/>
    <n v="1074.0535606498186"/>
    <n v="387"/>
    <s v="Low Value"/>
    <s v="Aug-2025"/>
    <s v="Microwave Oven"/>
    <x v="3"/>
  </r>
  <r>
    <s v="PROD32"/>
    <s v="STORE3"/>
    <n v="2"/>
    <n v="732.67"/>
    <n v="0.24"/>
    <s v="PayPal"/>
    <n v="1113.6584"/>
    <n v="1189661.6711999991"/>
    <n v="1074.6717897018962"/>
    <n v="387"/>
    <s v="High Value"/>
    <s v="Nov-2024"/>
    <s v="Vitamin C Face Serum"/>
    <x v="2"/>
  </r>
  <r>
    <s v="PROD60"/>
    <s v="STORE13"/>
    <n v="4"/>
    <n v="106.48"/>
    <n v="0.1"/>
    <s v="COD"/>
    <n v="383.32799999999997"/>
    <n v="1188548.012799999"/>
    <n v="1074.636539602169"/>
    <n v="386"/>
    <s v="Low Value"/>
    <s v="Nov-2023"/>
    <s v="Luxury Perfume Spray"/>
    <x v="2"/>
  </r>
  <r>
    <s v="PROD57"/>
    <s v="STORE3"/>
    <n v="1"/>
    <n v="38.950000000000003"/>
    <n v="0.28000000000000003"/>
    <s v="Credit Card"/>
    <n v="28.044"/>
    <n v="1188164.684799999"/>
    <n v="1075.2621581900444"/>
    <n v="386"/>
    <s v="Low Value"/>
    <s v="Feb-2025"/>
    <s v="Foam Roller"/>
    <x v="0"/>
  </r>
  <r>
    <s v="PROD96"/>
    <s v="STORE16"/>
    <n v="1"/>
    <n v="835.17"/>
    <n v="0.02"/>
    <s v="COD"/>
    <n v="818.46659999999997"/>
    <n v="1188136.640799999"/>
    <n v="1076.210725362318"/>
    <n v="386"/>
    <s v="Low Value"/>
    <s v="Jan-2024"/>
    <s v="Women's Formal Blazer"/>
    <x v="4"/>
  </r>
  <r>
    <s v="PROD83"/>
    <s v="STORE3"/>
    <n v="1"/>
    <n v="113.07"/>
    <n v="0.24"/>
    <s v="Credit Card"/>
    <n v="85.933199999999999"/>
    <n v="1187318.1741999991"/>
    <n v="1076.4444009066174"/>
    <n v="386"/>
    <s v="Low Value"/>
    <s v="Apr-2024"/>
    <s v="Hydrating Face Cleanser"/>
    <x v="2"/>
  </r>
  <r>
    <s v="PROD94"/>
    <s v="STORE12"/>
    <n v="2"/>
    <n v="451.33"/>
    <n v="0.23"/>
    <s v="COD"/>
    <n v="695.04819999999995"/>
    <n v="1187232.240999999"/>
    <n v="1077.3432313974583"/>
    <n v="386"/>
    <s v="Low Value"/>
    <s v="Sep-2025"/>
    <s v="Vitamin E Body Lotion"/>
    <x v="2"/>
  </r>
  <r>
    <s v="PROD86"/>
    <s v="STORE6"/>
    <n v="3"/>
    <n v="619.80999999999995"/>
    <n v="0.16"/>
    <s v="COD"/>
    <n v="1561.9212"/>
    <n v="1186537.1927999989"/>
    <n v="1077.6904566757482"/>
    <n v="386"/>
    <s v="High Value"/>
    <s v="Jun-2024"/>
    <s v="Kitchen Cutting Board"/>
    <x v="3"/>
  </r>
  <r>
    <s v="PROD62"/>
    <s v="STORE7"/>
    <n v="4"/>
    <n v="46.97"/>
    <n v="0.26"/>
    <s v="PayPal"/>
    <n v="139.03120000000001"/>
    <n v="1184975.2715999989"/>
    <n v="1077.25024690909"/>
    <n v="386"/>
    <s v="Low Value"/>
    <s v="Feb-2025"/>
    <s v="Laptop Cooling Pad"/>
    <x v="1"/>
  </r>
  <r>
    <s v="PROD46"/>
    <s v="STORE2"/>
    <n v="2"/>
    <n v="71.48"/>
    <n v="0.14000000000000001"/>
    <s v="COD"/>
    <n v="122.9456"/>
    <n v="1184836.2403999988"/>
    <n v="1078.1039494085521"/>
    <n v="385"/>
    <s v="Low Value"/>
    <s v="May-2025"/>
    <s v="Men's Winter Jacket"/>
    <x v="4"/>
  </r>
  <r>
    <s v="PROD56"/>
    <s v="STORE19"/>
    <n v="2"/>
    <n v="404.08"/>
    <n v="7.0000000000000007E-2"/>
    <s v="Credit Card"/>
    <n v="751.58879999999988"/>
    <n v="1184713.2947999989"/>
    <n v="1078.9738568306"/>
    <n v="385"/>
    <s v="Low Value"/>
    <s v="Jun-2025"/>
    <s v="Premium Blanket Throw"/>
    <x v="3"/>
  </r>
  <r>
    <s v="PROD17"/>
    <s v="STORE16"/>
    <n v="1"/>
    <n v="519.91"/>
    <n v="0.05"/>
    <s v="COD"/>
    <n v="493.91449999999992"/>
    <n v="1183961.7059999991"/>
    <n v="1079.2722935278023"/>
    <n v="385"/>
    <s v="Low Value"/>
    <s v="Dec-2024"/>
    <s v="Soccer Training Cone Set"/>
    <x v="0"/>
  </r>
  <r>
    <s v="PROD48"/>
    <s v="STORE13"/>
    <n v="3"/>
    <n v="566.16"/>
    <n v="0.05"/>
    <s v="PayPal"/>
    <n v="1613.556"/>
    <n v="1183467.7914999991"/>
    <n v="1079.8063791058387"/>
    <n v="385"/>
    <s v="High Value"/>
    <s v="Jan-2025"/>
    <s v="Car Dashboard Phone Holder"/>
    <x v="1"/>
  </r>
  <r>
    <s v="PROD52"/>
    <s v="STORE10"/>
    <n v="2"/>
    <n v="295.12"/>
    <n v="0.09"/>
    <s v="COD"/>
    <n v="537.11840000000007"/>
    <n v="1181854.2354999993"/>
    <n v="1079.3189365296796"/>
    <n v="384"/>
    <s v="Low Value"/>
    <s v="May-2025"/>
    <s v="Rugby Ball"/>
    <x v="0"/>
  </r>
  <r>
    <s v="PROD34"/>
    <s v="STORE11"/>
    <n v="2"/>
    <n v="414.18"/>
    <n v="0.25"/>
    <s v="PayPal"/>
    <n v="621.27"/>
    <n v="1181317.1170999992"/>
    <n v="1079.8145494515531"/>
    <n v="384"/>
    <s v="Low Value"/>
    <s v="Jul-2025"/>
    <s v="Gaming Mechanical Keyboard"/>
    <x v="1"/>
  </r>
  <r>
    <s v="PROD58"/>
    <s v="STORE8"/>
    <n v="2"/>
    <n v="433.75"/>
    <n v="0"/>
    <s v="Credit Card"/>
    <n v="867.5"/>
    <n v="1180695.8470999992"/>
    <n v="1080.2340778591026"/>
    <n v="383"/>
    <s v="Low Value"/>
    <s v="Sep-2025"/>
    <s v="Womens Cotton Scarf"/>
    <x v="4"/>
  </r>
  <r>
    <s v="PROD85"/>
    <s v="STORE19"/>
    <n v="3"/>
    <n v="104.33"/>
    <n v="0.13"/>
    <s v="COD"/>
    <n v="272.30130000000003"/>
    <n v="1179828.3470999992"/>
    <n v="1080.4288892857135"/>
    <n v="383"/>
    <s v="Low Value"/>
    <s v="Dec-2023"/>
    <s v="Women's Beanie Hat"/>
    <x v="4"/>
  </r>
  <r>
    <s v="PROD4"/>
    <s v="STORE12"/>
    <n v="1"/>
    <n v="221.7"/>
    <n v="0.04"/>
    <s v="Credit Card"/>
    <n v="212.83199999999999"/>
    <n v="1179556.0457999993"/>
    <n v="1081.1696111824008"/>
    <n v="383"/>
    <s v="Low Value"/>
    <s v="Jul-2024"/>
    <s v="Women's Yoga Pants"/>
    <x v="4"/>
  </r>
  <r>
    <s v="PROD67"/>
    <s v="STORE5"/>
    <n v="2"/>
    <n v="491.26"/>
    <n v="0.14000000000000001"/>
    <s v="COD"/>
    <n v="844.96719999999993"/>
    <n v="1179343.2137999991"/>
    <n v="1081.9662511926597"/>
    <n v="383"/>
    <s v="Low Value"/>
    <s v="May-2025"/>
    <s v="Smart LED Light Strip"/>
    <x v="1"/>
  </r>
  <r>
    <s v="PROD37"/>
    <s v="STORE8"/>
    <n v="4"/>
    <n v="923.14"/>
    <n v="0.15"/>
    <s v="Credit Card"/>
    <n v="3138.6759999999999"/>
    <n v="1178498.2465999995"/>
    <n v="1082.1838811753898"/>
    <n v="383"/>
    <s v="High Value"/>
    <s v="Dec-2024"/>
    <s v="Men's Casual Sneakers"/>
    <x v="4"/>
  </r>
  <r>
    <s v="PROD64"/>
    <s v="STORE7"/>
    <n v="2"/>
    <n v="747.65"/>
    <n v="0.08"/>
    <s v="Credit Card"/>
    <n v="1375.6759999999999"/>
    <n v="1175359.5705999997"/>
    <n v="1080.2937229779409"/>
    <n v="383"/>
    <s v="High Value"/>
    <s v="Nov-2024"/>
    <s v="Matte Lipstick Set"/>
    <x v="2"/>
  </r>
  <r>
    <s v="PROD42"/>
    <s v="STORE7"/>
    <n v="3"/>
    <n v="94.55"/>
    <n v="0.13"/>
    <s v="COD"/>
    <n v="246.77549999999999"/>
    <n v="1173983.8945999995"/>
    <n v="1080.0219821527135"/>
    <n v="383"/>
    <s v="Low Value"/>
    <s v="Apr-2025"/>
    <s v="Smart Home WiFi Camera"/>
    <x v="1"/>
  </r>
  <r>
    <s v="PROD15"/>
    <s v="STORE19"/>
    <n v="3"/>
    <n v="620.12"/>
    <n v="0.06"/>
    <s v="Credit Card"/>
    <n v="1748.7384"/>
    <n v="1173737.1190999995"/>
    <n v="1080.7892441068136"/>
    <n v="383"/>
    <s v="High Value"/>
    <s v="Jan-2024"/>
    <s v="4K Home Projector"/>
    <x v="1"/>
  </r>
  <r>
    <s v="PROD69"/>
    <s v="STORE6"/>
    <n v="2"/>
    <n v="354.09"/>
    <n v="0.12"/>
    <s v="COD"/>
    <n v="623.19839999999999"/>
    <n v="1171988.3806999996"/>
    <n v="1080.1736227649767"/>
    <n v="383"/>
    <s v="Low Value"/>
    <s v="Jul-2025"/>
    <s v="Men's Sports Shorts"/>
    <x v="4"/>
  </r>
  <r>
    <s v="PROD53"/>
    <s v="STORE5"/>
    <n v="3"/>
    <n v="214.94"/>
    <n v="0.22"/>
    <s v="COD"/>
    <n v="502.95960000000002"/>
    <n v="1171365.1822999998"/>
    <n v="1080.595186623616"/>
    <n v="383"/>
    <s v="Low Value"/>
    <s v="Nov-2024"/>
    <s v="Men's Track Pants"/>
    <x v="4"/>
  </r>
  <r>
    <s v="PROD9"/>
    <s v="STORE12"/>
    <n v="2"/>
    <n v="309.77999999999997"/>
    <n v="0.16"/>
    <s v="Credit Card"/>
    <n v="520.43039999999996"/>
    <n v="1170862.2226999998"/>
    <n v="1081.1285528162509"/>
    <n v="383"/>
    <s v="Low Value"/>
    <s v="May-2024"/>
    <s v="Adjustable Dumbbell Set"/>
    <x v="0"/>
  </r>
  <r>
    <s v="PROD13"/>
    <s v="STORE3"/>
    <n v="2"/>
    <n v="183.85"/>
    <n v="0.14000000000000001"/>
    <s v="PayPal"/>
    <n v="316.22199999999998"/>
    <n v="1170341.7922999999"/>
    <n v="1081.6467581330867"/>
    <n v="383"/>
    <s v="Low Value"/>
    <s v="May-2025"/>
    <s v="USB-C Fast Charger"/>
    <x v="1"/>
  </r>
  <r>
    <s v="PROD70"/>
    <s v="STORE0"/>
    <n v="1"/>
    <n v="550.05999999999995"/>
    <n v="0.01"/>
    <s v="Credit Card"/>
    <n v="544.55939999999998"/>
    <n v="1170025.5702999998"/>
    <n v="1082.3548291396853"/>
    <n v="382"/>
    <s v="Low Value"/>
    <s v="Nov-2023"/>
    <s v="Kitchen Storage Rack"/>
    <x v="3"/>
  </r>
  <r>
    <s v="PROD79"/>
    <s v="STORE4"/>
    <n v="2"/>
    <n v="32.19"/>
    <n v="0.13"/>
    <s v="COD"/>
    <n v="56.010599999999997"/>
    <n v="1169481.0108999999"/>
    <n v="1082.8527878703703"/>
    <n v="382"/>
    <s v="Low Value"/>
    <s v="Nov-2023"/>
    <s v="Decorative Lamp Shade"/>
    <x v="3"/>
  </r>
  <r>
    <s v="PROD33"/>
    <s v="STORE19"/>
    <n v="2"/>
    <n v="892.06"/>
    <n v="0.08"/>
    <s v="Credit Card"/>
    <n v="1641.3904"/>
    <n v="1169425.0003"/>
    <n v="1083.8044488415198"/>
    <n v="382"/>
    <s v="High Value"/>
    <s v="Jun-2024"/>
    <s v="Modern Wall Clock"/>
    <x v="3"/>
  </r>
  <r>
    <s v="PROD58"/>
    <s v="STORE6"/>
    <n v="1"/>
    <n v="127.47"/>
    <n v="0.16"/>
    <s v="COD"/>
    <n v="107.0748"/>
    <n v="1167783.6099"/>
    <n v="1083.2872076994433"/>
    <n v="382"/>
    <s v="Low Value"/>
    <s v="Dec-2024"/>
    <s v="Womens Cotton Scarf"/>
    <x v="4"/>
  </r>
  <r>
    <s v="PROD77"/>
    <s v="STORE14"/>
    <n v="3"/>
    <n v="212.87"/>
    <n v="0.18"/>
    <s v="Credit Card"/>
    <n v="523.66020000000003"/>
    <n v="1167676.5351"/>
    <n v="1084.1936259052925"/>
    <n v="382"/>
    <s v="Low Value"/>
    <s v="May-2025"/>
    <s v="WiFi Mesh Router"/>
    <x v="1"/>
  </r>
  <r>
    <s v="PROD81"/>
    <s v="STORE7"/>
    <n v="1"/>
    <n v="26.37"/>
    <n v="0.3"/>
    <s v="COD"/>
    <n v="18.459"/>
    <n v="1167152.8748999999"/>
    <n v="1084.7145677509293"/>
    <n v="382"/>
    <s v="Low Value"/>
    <s v="Jun-2024"/>
    <s v="Badminton Racket Set"/>
    <x v="0"/>
  </r>
  <r>
    <s v="PROD34"/>
    <s v="STORE18"/>
    <n v="4"/>
    <n v="953.98"/>
    <n v="0.16"/>
    <s v="Credit Card"/>
    <n v="3205.3728000000001"/>
    <n v="1167134.4158999999"/>
    <n v="1085.7064333953488"/>
    <n v="382"/>
    <s v="High Value"/>
    <s v="Apr-2025"/>
    <s v="Gaming Mechanical Keyboard"/>
    <x v="1"/>
  </r>
  <r>
    <s v="PROD67"/>
    <s v="STORE19"/>
    <n v="3"/>
    <n v="968.88"/>
    <n v="0.15"/>
    <s v="Credit Card"/>
    <n v="2470.6439999999998"/>
    <n v="1163929.0431000001"/>
    <n v="1083.7328148044694"/>
    <n v="382"/>
    <s v="High Value"/>
    <s v="Mar-2024"/>
    <s v="Smart LED Light Strip"/>
    <x v="1"/>
  </r>
  <r>
    <s v="PROD76"/>
    <s v="STORE18"/>
    <n v="1"/>
    <n v="533.04999999999995"/>
    <n v="0.11"/>
    <s v="PayPal"/>
    <n v="474.41449999999998"/>
    <n v="1161458.3991"/>
    <n v="1082.4402601118361"/>
    <n v="382"/>
    <s v="Low Value"/>
    <s v="Sep-2025"/>
    <s v="Wireless Mouse"/>
    <x v="1"/>
  </r>
  <r>
    <s v="PROD81"/>
    <s v="STORE1"/>
    <n v="3"/>
    <n v="138.86000000000001"/>
    <n v="0.11"/>
    <s v="PayPal"/>
    <n v="370.75619999999998"/>
    <n v="1160983.9846000001"/>
    <n v="1083.0074483208955"/>
    <n v="381"/>
    <s v="Low Value"/>
    <s v="Dec-2024"/>
    <s v="Badminton Racket Set"/>
    <x v="0"/>
  </r>
  <r>
    <s v="PROD22"/>
    <s v="STORE0"/>
    <n v="1"/>
    <n v="588.92999999999995"/>
    <n v="0.03"/>
    <s v="COD"/>
    <n v="571.26209999999992"/>
    <n v="1160613.2284000001"/>
    <n v="1083.6724821661999"/>
    <n v="380"/>
    <s v="Low Value"/>
    <s v="Feb-2025"/>
    <s v="Carbon Fiber Tennis Racket"/>
    <x v="0"/>
  </r>
  <r>
    <s v="PROD52"/>
    <s v="STORE5"/>
    <n v="2"/>
    <n v="576.83000000000004"/>
    <n v="0.19"/>
    <s v="PayPal"/>
    <n v="934.46460000000013"/>
    <n v="1160041.9663"/>
    <n v="1084.1513703738317"/>
    <n v="380"/>
    <s v="Low Value"/>
    <s v="Sep-2024"/>
    <s v="Rugby Ball"/>
    <x v="0"/>
  </r>
  <r>
    <s v="PROD65"/>
    <s v="STORE12"/>
    <n v="1"/>
    <n v="681.3"/>
    <n v="0.05"/>
    <s v="Credit Card"/>
    <n v="647.2349999999999"/>
    <n v="1159107.5017000001"/>
    <n v="1084.2913954162771"/>
    <n v="379"/>
    <s v="Low Value"/>
    <s v="Feb-2024"/>
    <s v="Adjustable Dumbbells 20kg"/>
    <x v="0"/>
  </r>
  <r>
    <s v="PROD25"/>
    <s v="STORE15"/>
    <n v="3"/>
    <n v="504.97"/>
    <n v="0.3"/>
    <s v="Credit Card"/>
    <n v="1060.4369999999999"/>
    <n v="1158460.2667"/>
    <n v="1084.7006242509365"/>
    <n v="379"/>
    <s v="High Value"/>
    <s v="May-2024"/>
    <s v="Women's Scarf Set"/>
    <x v="4"/>
  </r>
  <r>
    <s v="PROD38"/>
    <s v="STORE11"/>
    <n v="3"/>
    <n v="649.78"/>
    <n v="0.1"/>
    <s v="PayPal"/>
    <n v="1754.4059999999999"/>
    <n v="1157399.8297000001"/>
    <n v="1084.7233642924086"/>
    <n v="379"/>
    <s v="High Value"/>
    <s v="Apr-2024"/>
    <s v="Sports Water Hydration Pack"/>
    <x v="0"/>
  </r>
  <r>
    <s v="PROD39"/>
    <s v="STORE9"/>
    <n v="2"/>
    <n v="986.73"/>
    <n v="0.05"/>
    <s v="PayPal"/>
    <n v="1874.787"/>
    <n v="1155645.4236999999"/>
    <n v="1084.0951441838649"/>
    <n v="378"/>
    <s v="High Value"/>
    <s v="Jan-2024"/>
    <s v="Portable Power Bank"/>
    <x v="1"/>
  </r>
  <r>
    <s v="PROD13"/>
    <s v="STORE15"/>
    <n v="2"/>
    <n v="65.44"/>
    <n v="0.05"/>
    <s v="PayPal"/>
    <n v="124.336"/>
    <n v="1153770.6366999999"/>
    <n v="1083.3527105164319"/>
    <n v="377"/>
    <s v="Low Value"/>
    <s v="Nov-2023"/>
    <s v="USB-C Fast Charger"/>
    <x v="1"/>
  </r>
  <r>
    <s v="PROD63"/>
    <s v="STORE13"/>
    <n v="3"/>
    <n v="953.74"/>
    <n v="0.04"/>
    <s v="Credit Card"/>
    <n v="2746.7712000000001"/>
    <n v="1153646.3007"/>
    <n v="1084.2540420112782"/>
    <n v="376"/>
    <s v="High Value"/>
    <s v="Jun-2025"/>
    <s v="Organic Sunscreen Lotion"/>
    <x v="2"/>
  </r>
  <r>
    <s v="PROD76"/>
    <s v="STORE10"/>
    <n v="3"/>
    <n v="904.48"/>
    <n v="0.21"/>
    <s v="PayPal"/>
    <n v="2143.6176"/>
    <n v="1150899.5294999997"/>
    <n v="1082.6900559736591"/>
    <n v="376"/>
    <s v="High Value"/>
    <s v="Sep-2024"/>
    <s v="Wireless Mouse"/>
    <x v="1"/>
  </r>
  <r>
    <s v="PROD62"/>
    <s v="STORE15"/>
    <n v="3"/>
    <n v="920.82"/>
    <n v="0.1"/>
    <s v="PayPal"/>
    <n v="2486.2139999999999"/>
    <n v="1148755.9118999999"/>
    <n v="1081.6910658192089"/>
    <n v="375"/>
    <s v="High Value"/>
    <s v="Oct-2024"/>
    <s v="Laptop Cooling Pad"/>
    <x v="1"/>
  </r>
  <r>
    <s v="PROD28"/>
    <s v="STORE1"/>
    <n v="1"/>
    <n v="182.28"/>
    <n v="0.15"/>
    <s v="COD"/>
    <n v="154.93799999999999"/>
    <n v="1146269.6978999996"/>
    <n v="1080.3672930254472"/>
    <n v="374"/>
    <s v="Low Value"/>
    <s v="May-2025"/>
    <s v="Sports Stopwatch Timer"/>
    <x v="0"/>
  </r>
  <r>
    <s v="PROD31"/>
    <s v="STORE16"/>
    <n v="3"/>
    <n v="938.68"/>
    <n v="0.14000000000000001"/>
    <s v="Credit Card"/>
    <n v="2421.7944000000002"/>
    <n v="1146114.7598999995"/>
    <n v="1081.2403395283013"/>
    <n v="374"/>
    <s v="High Value"/>
    <s v="Aug-2025"/>
    <s v="Basketball"/>
    <x v="0"/>
  </r>
  <r>
    <s v="PROD91"/>
    <s v="STORE5"/>
    <n v="3"/>
    <n v="219.96"/>
    <n v="0.18"/>
    <s v="PayPal"/>
    <n v="541.10160000000008"/>
    <n v="1143692.9654999995"/>
    <n v="1079.9744716713876"/>
    <n v="374"/>
    <s v="Low Value"/>
    <s v="Feb-2025"/>
    <s v="Women's High Heels"/>
    <x v="4"/>
  </r>
  <r>
    <s v="PROD71"/>
    <s v="STORE18"/>
    <n v="3"/>
    <n v="385.74"/>
    <n v="0.27"/>
    <s v="Credit Card"/>
    <n v="844.77059999999994"/>
    <n v="1143151.8638999995"/>
    <n v="1080.483803308128"/>
    <n v="373"/>
    <s v="Low Value"/>
    <s v="Jul-2025"/>
    <s v="Hair Repair Oil Treatment"/>
    <x v="2"/>
  </r>
  <r>
    <s v="PROD81"/>
    <s v="STORE18"/>
    <n v="2"/>
    <n v="830.94"/>
    <n v="0.28000000000000003"/>
    <s v="PayPal"/>
    <n v="1196.5536"/>
    <n v="1142307.0932999994"/>
    <n v="1080.70680539262"/>
    <n v="373"/>
    <s v="High Value"/>
    <s v="Mar-2024"/>
    <s v="Badminton Racket Set"/>
    <x v="0"/>
  </r>
  <r>
    <s v="PROD3"/>
    <s v="STORE9"/>
    <n v="3"/>
    <n v="462.75"/>
    <n v="0.22"/>
    <s v="PayPal"/>
    <n v="1082.835"/>
    <n v="1141110.5396999996"/>
    <n v="1080.597101988636"/>
    <n v="372"/>
    <s v="High Value"/>
    <s v="Jul-2024"/>
    <s v="Men's Running Jacket"/>
    <x v="4"/>
  </r>
  <r>
    <s v="PROD14"/>
    <s v="STORE15"/>
    <n v="4"/>
    <n v="973.9"/>
    <n v="0.02"/>
    <s v="COD"/>
    <n v="3817.6880000000001"/>
    <n v="1140027.7046999994"/>
    <n v="1080.5949807582933"/>
    <n v="371"/>
    <s v="High Value"/>
    <s v="Oct-2024"/>
    <s v="Decorative Wall Mirror"/>
    <x v="3"/>
  </r>
  <r>
    <s v="PROD35"/>
    <s v="STORE1"/>
    <n v="2"/>
    <n v="157.18"/>
    <n v="0.15"/>
    <s v="Credit Card"/>
    <n v="267.20600000000002"/>
    <n v="1136210.0166999991"/>
    <n v="1077.9981183111945"/>
    <n v="371"/>
    <s v="Low Value"/>
    <s v="Nov-2024"/>
    <s v="Bedroom Table Lamp"/>
    <x v="3"/>
  </r>
  <r>
    <s v="PROD73"/>
    <s v="STORE13"/>
    <n v="3"/>
    <n v="239.57"/>
    <n v="0.16"/>
    <s v="Credit Card"/>
    <n v="603.71640000000002"/>
    <n v="1135942.8106999991"/>
    <n v="1078.7681013295339"/>
    <n v="371"/>
    <s v="Low Value"/>
    <s v="May-2024"/>
    <s v="Shin Guards – Adult"/>
    <x v="0"/>
  </r>
  <r>
    <s v="PROD9"/>
    <s v="STORE16"/>
    <n v="4"/>
    <n v="583.21"/>
    <n v="0.2"/>
    <s v="Credit Card"/>
    <n v="1866.2719999999999"/>
    <n v="1135339.0942999991"/>
    <n v="1079.2196713878318"/>
    <n v="371"/>
    <s v="High Value"/>
    <s v="Feb-2024"/>
    <s v="Adjustable Dumbbell Set"/>
    <x v="0"/>
  </r>
  <r>
    <s v="PROD81"/>
    <s v="STORE8"/>
    <n v="3"/>
    <n v="758.75"/>
    <n v="0.27"/>
    <s v="PayPal"/>
    <n v="1661.6624999999999"/>
    <n v="1133472.8222999994"/>
    <n v="1078.4708109419594"/>
    <n v="371"/>
    <s v="High Value"/>
    <s v="Apr-2024"/>
    <s v="Badminton Racket Set"/>
    <x v="0"/>
  </r>
  <r>
    <s v="PROD61"/>
    <s v="STORE5"/>
    <n v="4"/>
    <n v="372.42"/>
    <n v="0.19"/>
    <s v="Credit Card"/>
    <n v="1206.6407999999999"/>
    <n v="1131811.1597999993"/>
    <n v="1077.9153902857136"/>
    <n v="370"/>
    <s v="High Value"/>
    <s v="Feb-2025"/>
    <s v="Tennis Ball 3-Pack"/>
    <x v="0"/>
  </r>
  <r>
    <s v="PROD63"/>
    <s v="STORE19"/>
    <n v="4"/>
    <n v="286.27999999999997"/>
    <n v="0.28000000000000003"/>
    <s v="PayPal"/>
    <n v="824.48639999999989"/>
    <n v="1130604.5189999996"/>
    <n v="1077.7926777883695"/>
    <n v="370"/>
    <s v="Low Value"/>
    <s v="Feb-2025"/>
    <s v="Organic Sunscreen Lotion"/>
    <x v="2"/>
  </r>
  <r>
    <s v="PROD73"/>
    <s v="STORE11"/>
    <n v="3"/>
    <n v="488.37"/>
    <n v="0.27"/>
    <s v="COD"/>
    <n v="1069.5302999999999"/>
    <n v="1129780.0325999996"/>
    <n v="1078.034382251908"/>
    <n v="369"/>
    <s v="High Value"/>
    <s v="Jan-2025"/>
    <s v="Shin Guards – Adult"/>
    <x v="0"/>
  </r>
  <r>
    <s v="PROD87"/>
    <s v="STORE8"/>
    <n v="3"/>
    <n v="662.82"/>
    <n v="0.01"/>
    <s v="COD"/>
    <n v="1968.5753999999999"/>
    <n v="1128710.5022999994"/>
    <n v="1078.0425045845266"/>
    <n v="369"/>
    <s v="High Value"/>
    <s v="Mar-2024"/>
    <s v="LED Bedside Lamp"/>
    <x v="3"/>
  </r>
  <r>
    <s v="PROD6"/>
    <s v="STORE16"/>
    <n v="2"/>
    <n v="824.34"/>
    <n v="0.1"/>
    <s v="COD"/>
    <n v="1483.8119999999999"/>
    <n v="1126741.9268999994"/>
    <n v="1077.1911347036323"/>
    <n v="369"/>
    <s v="High Value"/>
    <s v="Apr-2024"/>
    <s v="Herbal Face Moisturizer"/>
    <x v="2"/>
  </r>
  <r>
    <s v="PROD59"/>
    <s v="STORE8"/>
    <n v="1"/>
    <n v="437.12"/>
    <n v="0.21"/>
    <s v="Credit Card"/>
    <n v="345.32479999999998"/>
    <n v="1125258.1148999995"/>
    <n v="1076.8020238277506"/>
    <n v="369"/>
    <s v="Low Value"/>
    <s v="Feb-2024"/>
    <s v="Men's Hair Styling Gel"/>
    <x v="2"/>
  </r>
  <r>
    <s v="PROD88"/>
    <s v="STORE6"/>
    <n v="3"/>
    <n v="23.37"/>
    <n v="0.15"/>
    <s v="PayPal"/>
    <n v="59.593499999999999"/>
    <n v="1124912.7900999994"/>
    <n v="1077.5026725095779"/>
    <n v="369"/>
    <s v="Low Value"/>
    <s v="Jul-2024"/>
    <s v="Sports Wrist Sweatbands"/>
    <x v="0"/>
  </r>
  <r>
    <s v="PROD36"/>
    <s v="STORE8"/>
    <n v="1"/>
    <n v="579.69000000000005"/>
    <n v="0.02"/>
    <s v="Credit Card"/>
    <n v="568.09620000000007"/>
    <n v="1124853.1965999994"/>
    <n v="1078.4786161073821"/>
    <n v="368"/>
    <s v="Low Value"/>
    <s v="Apr-2025"/>
    <s v="Women's Summer Dress"/>
    <x v="4"/>
  </r>
  <r>
    <s v="PROD78"/>
    <s v="STORE14"/>
    <n v="3"/>
    <n v="240.51"/>
    <n v="7.0000000000000007E-2"/>
    <s v="Credit Card"/>
    <n v="671.02289999999994"/>
    <n v="1124285.1003999994"/>
    <n v="1078.9684264875234"/>
    <n v="368"/>
    <s v="Low Value"/>
    <s v="Dec-2024"/>
    <s v="Essential Oil Diffuser"/>
    <x v="3"/>
  </r>
  <r>
    <s v="PROD25"/>
    <s v="STORE14"/>
    <n v="2"/>
    <n v="855.4"/>
    <n v="0.08"/>
    <s v="COD"/>
    <n v="1573.9359999999999"/>
    <n v="1123614.0774999997"/>
    <n v="1079.3603049951967"/>
    <n v="368"/>
    <s v="High Value"/>
    <s v="Aug-2025"/>
    <s v="Women's Scarf Set"/>
    <x v="4"/>
  </r>
  <r>
    <s v="PROD90"/>
    <s v="STORE7"/>
    <n v="1"/>
    <n v="537.26"/>
    <n v="0.09"/>
    <s v="Credit Card"/>
    <n v="488.90660000000003"/>
    <n v="1122040.1414999997"/>
    <n v="1078.8847514423073"/>
    <n v="368"/>
    <s v="Low Value"/>
    <s v="Oct-2023"/>
    <s v="Gaming Mouse Pad XL"/>
    <x v="1"/>
  </r>
  <r>
    <s v="PROD51"/>
    <s v="STORE10"/>
    <n v="3"/>
    <n v="918.26"/>
    <n v="0.17"/>
    <s v="COD"/>
    <n v="2286.4674"/>
    <n v="1121551.2348999996"/>
    <n v="1079.4525841193451"/>
    <n v="368"/>
    <s v="High Value"/>
    <s v="Dec-2024"/>
    <s v="HDMI Cable – 2m"/>
    <x v="1"/>
  </r>
  <r>
    <s v="PROD6"/>
    <s v="STORE9"/>
    <n v="4"/>
    <n v="579.70000000000005"/>
    <n v="0.18"/>
    <s v="PayPal"/>
    <n v="1901.4159999999999"/>
    <n v="1119264.7674999996"/>
    <n v="1078.2897567437376"/>
    <n v="368"/>
    <s v="High Value"/>
    <s v="Jun-2024"/>
    <s v="Herbal Face Moisturizer"/>
    <x v="2"/>
  </r>
  <r>
    <s v="PROD43"/>
    <s v="STORE6"/>
    <n v="1"/>
    <n v="824.32"/>
    <n v="0.18"/>
    <s v="Credit Card"/>
    <n v="675.94240000000013"/>
    <n v="1117363.3514999999"/>
    <n v="1077.4959995178399"/>
    <n v="367"/>
    <s v="Low Value"/>
    <s v="Feb-2025"/>
    <s v="USB External Hard Drive"/>
    <x v="1"/>
  </r>
  <r>
    <s v="PROD46"/>
    <s v="STORE15"/>
    <n v="4"/>
    <n v="614.99"/>
    <n v="0.16"/>
    <s v="PayPal"/>
    <n v="2066.3663999999999"/>
    <n v="1116687.4090999996"/>
    <n v="1077.883599517374"/>
    <n v="367"/>
    <s v="High Value"/>
    <s v="Jan-2025"/>
    <s v="Men's Winter Jacket"/>
    <x v="4"/>
  </r>
  <r>
    <s v="PROD62"/>
    <s v="STORE0"/>
    <n v="4"/>
    <n v="189.21"/>
    <n v="0.06"/>
    <s v="COD"/>
    <n v="711.42959999999994"/>
    <n v="1114621.0426999996"/>
    <n v="1076.9285436714972"/>
    <n v="366"/>
    <s v="Low Value"/>
    <s v="Mar-2025"/>
    <s v="Laptop Cooling Pad"/>
    <x v="1"/>
  </r>
  <r>
    <s v="PROD62"/>
    <s v="STORE14"/>
    <n v="2"/>
    <n v="233.33"/>
    <n v="0.05"/>
    <s v="Credit Card"/>
    <n v="443.327"/>
    <n v="1113909.6130999997"/>
    <n v="1077.2820242746614"/>
    <n v="366"/>
    <s v="Low Value"/>
    <s v="Dec-2024"/>
    <s v="Laptop Cooling Pad"/>
    <x v="1"/>
  </r>
  <r>
    <s v="PROD39"/>
    <s v="STORE18"/>
    <n v="3"/>
    <n v="529.89"/>
    <n v="0.21"/>
    <s v="Credit Card"/>
    <n v="1255.8393000000001"/>
    <n v="1113466.2860999997"/>
    <n v="1077.8957271055176"/>
    <n v="366"/>
    <s v="High Value"/>
    <s v="May-2025"/>
    <s v="Portable Power Bank"/>
    <x v="1"/>
  </r>
  <r>
    <s v="PROD92"/>
    <s v="STORE1"/>
    <n v="2"/>
    <n v="954.1"/>
    <n v="0.17"/>
    <s v="PayPal"/>
    <n v="1583.806"/>
    <n v="1112210.4468"/>
    <n v="1077.7233011627907"/>
    <n v="366"/>
    <s v="High Value"/>
    <s v="Aug-2024"/>
    <s v="Microwave Oven"/>
    <x v="3"/>
  </r>
  <r>
    <s v="PROD65"/>
    <s v="STORE7"/>
    <n v="1"/>
    <n v="370.04"/>
    <n v="0.04"/>
    <s v="COD"/>
    <n v="355.23840000000001"/>
    <n v="1110626.6408000002"/>
    <n v="1077.2324353055287"/>
    <n v="365"/>
    <s v="Low Value"/>
    <s v="Dec-2023"/>
    <s v="Adjustable Dumbbells 20kg"/>
    <x v="0"/>
  </r>
  <r>
    <s v="PROD96"/>
    <s v="STORE19"/>
    <n v="4"/>
    <n v="492.71"/>
    <n v="0.08"/>
    <s v="Credit Card"/>
    <n v="1813.1728000000001"/>
    <n v="1110271.4024"/>
    <n v="1077.9334003883496"/>
    <n v="365"/>
    <s v="High Value"/>
    <s v="Jan-2024"/>
    <s v="Women's Formal Blazer"/>
    <x v="4"/>
  </r>
  <r>
    <s v="PROD91"/>
    <s v="STORE13"/>
    <n v="4"/>
    <n v="853.26"/>
    <n v="0.24"/>
    <s v="COD"/>
    <n v="2593.9104000000002"/>
    <n v="1108458.2295999997"/>
    <n v="1077.2188820213796"/>
    <n v="365"/>
    <s v="High Value"/>
    <s v="Aug-2024"/>
    <s v="Women's High Heels"/>
    <x v="4"/>
  </r>
  <r>
    <s v="PROD3"/>
    <s v="STORE16"/>
    <n v="1"/>
    <n v="402.47"/>
    <n v="0.19"/>
    <s v="PayPal"/>
    <n v="326.00070000000011"/>
    <n v="1105864.3191999998"/>
    <n v="1075.7435011673149"/>
    <n v="365"/>
    <s v="Low Value"/>
    <s v="Mar-2025"/>
    <s v="Men's Running Jacket"/>
    <x v="4"/>
  </r>
  <r>
    <s v="PROD54"/>
    <s v="STORE18"/>
    <n v="2"/>
    <n v="528.29999999999995"/>
    <n v="0.24"/>
    <s v="Credit Card"/>
    <n v="803.01599999999996"/>
    <n v="1105538.3184999998"/>
    <n v="1076.4735331061343"/>
    <n v="364"/>
    <s v="Low Value"/>
    <s v="Jan-2024"/>
    <s v="Sports Stopwatch Pro"/>
    <x v="0"/>
  </r>
  <r>
    <s v="PROD10"/>
    <s v="STORE6"/>
    <n v="4"/>
    <n v="599.85"/>
    <n v="0.25"/>
    <s v="Credit Card"/>
    <n v="1799.55"/>
    <n v="1104735.3024999995"/>
    <n v="1076.7400609161789"/>
    <n v="364"/>
    <s v="High Value"/>
    <s v="Jan-2025"/>
    <s v="Ceramic Kitchen Bowl Set"/>
    <x v="3"/>
  </r>
  <r>
    <s v="PROD16"/>
    <s v="STORE9"/>
    <n v="2"/>
    <n v="61.42"/>
    <n v="0.08"/>
    <s v="PayPal"/>
    <n v="113.0128"/>
    <n v="1102935.7524999997"/>
    <n v="1076.0348804878047"/>
    <n v="364"/>
    <s v="Low Value"/>
    <s v="Dec-2023"/>
    <s v="Beard Grooming Kit"/>
    <x v="2"/>
  </r>
  <r>
    <s v="PROD19"/>
    <s v="STORE10"/>
    <n v="2"/>
    <n v="466.42"/>
    <n v="0.12"/>
    <s v="PayPal"/>
    <n v="820.89920000000006"/>
    <n v="1102822.7396999998"/>
    <n v="1076.9753317382811"/>
    <n v="363"/>
    <s v="Low Value"/>
    <s v="Feb-2025"/>
    <s v="Knee Support Brace"/>
    <x v="0"/>
  </r>
  <r>
    <s v="PROD31"/>
    <s v="STORE5"/>
    <n v="4"/>
    <n v="540.69000000000005"/>
    <n v="0.09"/>
    <s v="COD"/>
    <n v="1968.1116"/>
    <n v="1102001.8404999997"/>
    <n v="1077.225650537634"/>
    <n v="362"/>
    <s v="High Value"/>
    <s v="Jul-2025"/>
    <s v="Basketball"/>
    <x v="0"/>
  </r>
  <r>
    <s v="PROD19"/>
    <s v="STORE13"/>
    <n v="3"/>
    <n v="677.46"/>
    <n v="0.05"/>
    <s v="Credit Card"/>
    <n v="1930.761"/>
    <n v="1100033.7288999998"/>
    <n v="1076.3539421722112"/>
    <n v="362"/>
    <s v="High Value"/>
    <s v="Mar-2025"/>
    <s v="Knee Support Brace"/>
    <x v="0"/>
  </r>
  <r>
    <s v="PROD21"/>
    <s v="STORE1"/>
    <n v="3"/>
    <n v="614.63"/>
    <n v="0.06"/>
    <s v="PayPal"/>
    <n v="1733.2565999999999"/>
    <n v="1098102.9678999998"/>
    <n v="1075.5171086190007"/>
    <n v="362"/>
    <s v="High Value"/>
    <s v="Apr-2025"/>
    <s v="Multi-Purpose Storage Box"/>
    <x v="3"/>
  </r>
  <r>
    <s v="PROD66"/>
    <s v="STORE8"/>
    <n v="4"/>
    <n v="649.52"/>
    <n v="0.11"/>
    <s v="Credit Card"/>
    <n v="2312.2912000000001"/>
    <n v="1096369.7113000001"/>
    <n v="1074.8722659803923"/>
    <n v="361"/>
    <s v="High Value"/>
    <s v="Dec-2023"/>
    <s v="Women's Hair Dryer Brush"/>
    <x v="2"/>
  </r>
  <r>
    <s v="PROD85"/>
    <s v="STORE8"/>
    <n v="2"/>
    <n v="943.93"/>
    <n v="0.22"/>
    <s v="PayPal"/>
    <n v="1472.5308"/>
    <n v="1094057.4201000002"/>
    <n v="1073.6579196270857"/>
    <n v="361"/>
    <s v="High Value"/>
    <s v="Jul-2024"/>
    <s v="Women's Beanie Hat"/>
    <x v="4"/>
  </r>
  <r>
    <s v="PROD31"/>
    <s v="STORE8"/>
    <n v="4"/>
    <n v="538.73"/>
    <n v="0.03"/>
    <s v="Credit Card"/>
    <n v="2090.2723999999998"/>
    <n v="1092584.8893000002"/>
    <n v="1073.2660995088411"/>
    <n v="360"/>
    <s v="High Value"/>
    <s v="Oct-2023"/>
    <s v="Basketball"/>
    <x v="0"/>
  </r>
  <r>
    <s v="PROD66"/>
    <s v="STORE8"/>
    <n v="2"/>
    <n v="853.93"/>
    <n v="0.01"/>
    <s v="PayPal"/>
    <n v="1690.7814000000001"/>
    <n v="1090494.6169"/>
    <n v="1072.2660933136676"/>
    <n v="360"/>
    <s v="High Value"/>
    <s v="May-2024"/>
    <s v="Women's Hair Dryer Brush"/>
    <x v="2"/>
  </r>
  <r>
    <s v="PROD29"/>
    <s v="STORE4"/>
    <n v="4"/>
    <n v="465.42"/>
    <n v="0.26"/>
    <s v="COD"/>
    <n v="1377.6432"/>
    <n v="1088803.8355000003"/>
    <n v="1071.6573184055121"/>
    <n v="359"/>
    <s v="High Value"/>
    <s v="Sep-2025"/>
    <s v="Fabric Sofa Throw Blanket"/>
    <x v="3"/>
  </r>
  <r>
    <s v="PROD1"/>
    <s v="STORE11"/>
    <n v="4"/>
    <n v="880.26"/>
    <n v="0.11"/>
    <s v="COD"/>
    <n v="3133.7256000000002"/>
    <n v="1087426.1923000002"/>
    <n v="1071.3558544827588"/>
    <n v="359"/>
    <s v="High Value"/>
    <s v="Apr-2025"/>
    <s v="Men's Graphic T-Shirt"/>
    <x v="4"/>
  </r>
  <r>
    <s v="PROD51"/>
    <s v="STORE11"/>
    <n v="3"/>
    <n v="461.02"/>
    <n v="0.28999999999999998"/>
    <s v="PayPal"/>
    <n v="981.97259999999994"/>
    <n v="1084292.4667000002"/>
    <n v="1069.3219592702171"/>
    <n v="359"/>
    <s v="Low Value"/>
    <s v="May-2024"/>
    <s v="HDMI Cable – 2m"/>
    <x v="1"/>
  </r>
  <r>
    <s v="PROD25"/>
    <s v="STORE13"/>
    <n v="1"/>
    <n v="531.99"/>
    <n v="0.17"/>
    <s v="PayPal"/>
    <n v="441.55169999999998"/>
    <n v="1083310.4941000002"/>
    <n v="1069.4081876604148"/>
    <n v="358"/>
    <s v="Low Value"/>
    <s v="Oct-2024"/>
    <s v="Women's Scarf Set"/>
    <x v="4"/>
  </r>
  <r>
    <s v="PROD47"/>
    <s v="STORE17"/>
    <n v="2"/>
    <n v="274.08999999999997"/>
    <n v="0.13"/>
    <s v="PayPal"/>
    <n v="476.91660000000002"/>
    <n v="1082868.9424000003"/>
    <n v="1070.0285992094864"/>
    <n v="357"/>
    <s v="Low Value"/>
    <s v="Jul-2024"/>
    <s v="Makeup Brush Set"/>
    <x v="2"/>
  </r>
  <r>
    <s v="PROD88"/>
    <s v="STORE10"/>
    <n v="1"/>
    <n v="66.14"/>
    <n v="0.14000000000000001"/>
    <s v="COD"/>
    <n v="56.880400000000002"/>
    <n v="1082392.0258000002"/>
    <n v="1070.6152579624136"/>
    <n v="356"/>
    <s v="Low Value"/>
    <s v="Feb-2025"/>
    <s v="Sports Wrist Sweatbands"/>
    <x v="0"/>
  </r>
  <r>
    <s v="PROD20"/>
    <s v="STORE9"/>
    <n v="3"/>
    <n v="955.82"/>
    <n v="0.16"/>
    <s v="COD"/>
    <n v="2408.6664000000001"/>
    <n v="1082335.1454000003"/>
    <n v="1071.6189558415845"/>
    <n v="356"/>
    <s v="High Value"/>
    <s v="Aug-2025"/>
    <s v="Outdoor Sports Water Bottle"/>
    <x v="0"/>
  </r>
  <r>
    <s v="PROD22"/>
    <s v="STORE12"/>
    <n v="1"/>
    <n v="904.92"/>
    <n v="0.13"/>
    <s v="Credit Card"/>
    <n v="787.28039999999999"/>
    <n v="1079926.4790000003"/>
    <n v="1070.293834489594"/>
    <n v="356"/>
    <s v="Low Value"/>
    <s v="May-2024"/>
    <s v="Carbon Fiber Tennis Racket"/>
    <x v="0"/>
  </r>
  <r>
    <s v="PROD40"/>
    <s v="STORE7"/>
    <n v="3"/>
    <n v="490.02"/>
    <n v="0.26"/>
    <s v="Credit Card"/>
    <n v="1087.8444"/>
    <n v="1079139.1986000002"/>
    <n v="1070.5746017857145"/>
    <n v="356"/>
    <s v="High Value"/>
    <s v="Oct-2024"/>
    <s v="Noise-Canceling Headphones"/>
    <x v="1"/>
  </r>
  <r>
    <s v="PROD19"/>
    <s v="STORE6"/>
    <n v="2"/>
    <n v="957.54"/>
    <n v="0.1"/>
    <s v="COD"/>
    <n v="1723.5719999999999"/>
    <n v="1078051.3542000004"/>
    <n v="1070.5574520357502"/>
    <n v="356"/>
    <s v="High Value"/>
    <s v="Feb-2024"/>
    <s v="Knee Support Brace"/>
    <x v="0"/>
  </r>
  <r>
    <s v="PROD99"/>
    <s v="STORE13"/>
    <n v="2"/>
    <n v="314.39999999999998"/>
    <n v="7.0000000000000007E-2"/>
    <s v="PayPal"/>
    <n v="584.78399999999988"/>
    <n v="1076327.7822000002"/>
    <n v="1069.9083322067597"/>
    <n v="356"/>
    <s v="Low Value"/>
    <s v="Sep-2025"/>
    <s v="Stainless Steel Cookware Set"/>
    <x v="3"/>
  </r>
  <r>
    <s v="PROD24"/>
    <s v="STORE6"/>
    <n v="3"/>
    <n v="480.11"/>
    <n v="0.11"/>
    <s v="PayPal"/>
    <n v="1281.8937000000001"/>
    <n v="1075742.9982000005"/>
    <n v="1070.391042985075"/>
    <n v="355"/>
    <s v="High Value"/>
    <s v="Mar-2024"/>
    <s v="Foldable Camping Chair"/>
    <x v="0"/>
  </r>
  <r>
    <s v="PROD48"/>
    <s v="STORE6"/>
    <n v="4"/>
    <n v="826.55"/>
    <n v="0.28000000000000003"/>
    <s v="Credit Card"/>
    <n v="2380.4639999999999"/>
    <n v="1074461.1045000004"/>
    <n v="1070.1803829681278"/>
    <n v="354"/>
    <s v="High Value"/>
    <s v="Oct-2024"/>
    <s v="Car Dashboard Phone Holder"/>
    <x v="1"/>
  </r>
  <r>
    <s v="PROD27"/>
    <s v="STORE3"/>
    <n v="3"/>
    <n v="530.16999999999996"/>
    <n v="0.18"/>
    <s v="PayPal"/>
    <n v="1304.2182"/>
    <n v="1072080.6405000004"/>
    <n v="1068.8740184446665"/>
    <n v="354"/>
    <s v="High Value"/>
    <s v="May-2025"/>
    <s v="Decorative Floor Vase"/>
    <x v="3"/>
  </r>
  <r>
    <s v="PROD34"/>
    <s v="STORE17"/>
    <n v="3"/>
    <n v="336.17"/>
    <n v="0.04"/>
    <s v="COD"/>
    <n v="968.16959999999995"/>
    <n v="1070776.4223000004"/>
    <n v="1068.6391440119764"/>
    <n v="353"/>
    <s v="Low Value"/>
    <s v="Aug-2024"/>
    <s v="Gaming Mechanical Keyboard"/>
    <x v="1"/>
  </r>
  <r>
    <s v="PROD81"/>
    <s v="STORE8"/>
    <n v="4"/>
    <n v="22.51"/>
    <n v="0.27"/>
    <s v="PayPal"/>
    <n v="65.729200000000006"/>
    <n v="1069808.2527000008"/>
    <n v="1068.7395131868141"/>
    <n v="353"/>
    <s v="Low Value"/>
    <s v="Jan-2024"/>
    <s v="Badminton Racket Set"/>
    <x v="0"/>
  </r>
  <r>
    <s v="PROD59"/>
    <s v="STORE2"/>
    <n v="2"/>
    <n v="909.51"/>
    <n v="0.27"/>
    <s v="Credit Card"/>
    <n v="1327.8846000000001"/>
    <n v="1069742.5235000006"/>
    <n v="1069.7425235000005"/>
    <n v="352"/>
    <s v="High Value"/>
    <s v="Jun-2024"/>
    <s v="Men's Hair Styling Gel"/>
    <x v="2"/>
  </r>
  <r>
    <s v="PROD69"/>
    <s v="STORE14"/>
    <n v="4"/>
    <n v="593.84"/>
    <n v="0.24"/>
    <s v="PayPal"/>
    <n v="1805.2736"/>
    <n v="1068414.6389000006"/>
    <n v="1069.4841230230236"/>
    <n v="352"/>
    <s v="High Value"/>
    <s v="Apr-2025"/>
    <s v="Men's Sports Shorts"/>
    <x v="4"/>
  </r>
  <r>
    <s v="PROD73"/>
    <s v="STORE10"/>
    <n v="3"/>
    <n v="909.11"/>
    <n v="0.23"/>
    <s v="COD"/>
    <n v="2100.0441000000001"/>
    <n v="1066609.3653000006"/>
    <n v="1068.7468590180367"/>
    <n v="351"/>
    <s v="High Value"/>
    <s v="Oct-2024"/>
    <s v="Shin Guards – Adult"/>
    <x v="0"/>
  </r>
  <r>
    <s v="PROD24"/>
    <s v="STORE1"/>
    <n v="4"/>
    <n v="996.85"/>
    <n v="0.24"/>
    <s v="PayPal"/>
    <n v="3030.424"/>
    <n v="1064509.3212000008"/>
    <n v="1067.7124585757281"/>
    <n v="351"/>
    <s v="High Value"/>
    <s v="Sep-2024"/>
    <s v="Foldable Camping Chair"/>
    <x v="0"/>
  </r>
  <r>
    <s v="PROD0"/>
    <s v="STORE17"/>
    <n v="1"/>
    <n v="522.69000000000005"/>
    <n v="0.06"/>
    <s v="COD"/>
    <n v="491.32860000000011"/>
    <n v="1061478.8972000007"/>
    <n v="1065.7418646586352"/>
    <n v="350"/>
    <s v="Low Value"/>
    <s v="Jun-2025"/>
    <s v="Brother Laser Printer"/>
    <x v="1"/>
  </r>
  <r>
    <s v="PROD54"/>
    <s v="STORE3"/>
    <n v="3"/>
    <n v="261.05"/>
    <n v="0.12"/>
    <s v="PayPal"/>
    <n v="689.17200000000014"/>
    <n v="1060987.5686000006"/>
    <n v="1066.319164422111"/>
    <n v="350"/>
    <s v="Low Value"/>
    <s v="Apr-2024"/>
    <s v="Sports Stopwatch Pro"/>
    <x v="0"/>
  </r>
  <r>
    <s v="PROD23"/>
    <s v="STORE17"/>
    <n v="3"/>
    <n v="644.73"/>
    <n v="0.01"/>
    <s v="COD"/>
    <n v="1914.8480999999999"/>
    <n v="1060298.3966000006"/>
    <n v="1066.6985881287733"/>
    <n v="349"/>
    <s v="High Value"/>
    <s v="Sep-2025"/>
    <s v="Men's Formal Shirt"/>
    <x v="4"/>
  </r>
  <r>
    <s v="PROD75"/>
    <s v="STORE2"/>
    <n v="2"/>
    <n v="541.52"/>
    <n v="0.26"/>
    <s v="PayPal"/>
    <n v="801.44959999999992"/>
    <n v="1058383.5485000005"/>
    <n v="1065.8444597180267"/>
    <n v="349"/>
    <s v="Low Value"/>
    <s v="Oct-2023"/>
    <s v="Women's Ankle Boots"/>
    <x v="4"/>
  </r>
  <r>
    <s v="PROD63"/>
    <s v="STORE10"/>
    <n v="1"/>
    <n v="395.18"/>
    <n v="0.09"/>
    <s v="PayPal"/>
    <n v="359.61380000000003"/>
    <n v="1057582.0989000003"/>
    <n v="1066.1109867943551"/>
    <n v="348"/>
    <s v="Low Value"/>
    <s v="Nov-2023"/>
    <s v="Organic Sunscreen Lotion"/>
    <x v="2"/>
  </r>
  <r>
    <s v="PROD8"/>
    <s v="STORE8"/>
    <n v="4"/>
    <n v="56.37"/>
    <n v="0.17"/>
    <s v="Credit Card"/>
    <n v="187.14840000000001"/>
    <n v="1057222.4851000002"/>
    <n v="1066.8239002018165"/>
    <n v="347"/>
    <s v="Low Value"/>
    <s v="Mar-2025"/>
    <s v="Wireless Bluetooth Earbuds"/>
    <x v="1"/>
  </r>
  <r>
    <s v="PROD79"/>
    <s v="STORE9"/>
    <n v="4"/>
    <n v="202.59"/>
    <n v="0.06"/>
    <s v="COD"/>
    <n v="761.73839999999996"/>
    <n v="1057035.3367000003"/>
    <n v="1067.7124613131316"/>
    <n v="347"/>
    <s v="Low Value"/>
    <s v="Sep-2025"/>
    <s v="Decorative Lamp Shade"/>
    <x v="3"/>
  </r>
  <r>
    <s v="PROD81"/>
    <s v="STORE5"/>
    <n v="2"/>
    <n v="358.36"/>
    <n v="0.05"/>
    <s v="PayPal"/>
    <n v="680.88400000000001"/>
    <n v="1056273.5983000004"/>
    <n v="1068.0218385237617"/>
    <n v="347"/>
    <s v="Low Value"/>
    <s v="Nov-2024"/>
    <s v="Badminton Racket Set"/>
    <x v="0"/>
  </r>
  <r>
    <s v="PROD37"/>
    <s v="STORE18"/>
    <n v="4"/>
    <n v="85.62"/>
    <n v="0.28000000000000003"/>
    <s v="COD"/>
    <n v="246.5856"/>
    <n v="1055592.7143000003"/>
    <n v="1068.4136784412958"/>
    <n v="346"/>
    <s v="Low Value"/>
    <s v="Aug-2024"/>
    <s v="Men's Casual Sneakers"/>
    <x v="4"/>
  </r>
  <r>
    <s v="PROD7"/>
    <s v="STORE17"/>
    <n v="4"/>
    <n v="929.26"/>
    <n v="0.23"/>
    <s v="PayPal"/>
    <n v="2862.1208000000001"/>
    <n v="1055346.1287000002"/>
    <n v="1069.2463310030398"/>
    <n v="346"/>
    <s v="High Value"/>
    <s v="Jun-2024"/>
    <s v="LED Table Lamp"/>
    <x v="3"/>
  </r>
  <r>
    <s v="PROD60"/>
    <s v="STORE13"/>
    <n v="2"/>
    <n v="92.64"/>
    <n v="0.14000000000000001"/>
    <s v="COD"/>
    <n v="159.3408"/>
    <n v="1052484.0079000003"/>
    <n v="1067.4279998985805"/>
    <n v="345"/>
    <s v="Low Value"/>
    <s v="Jan-2025"/>
    <s v="Luxury Perfume Spray"/>
    <x v="2"/>
  </r>
  <r>
    <s v="PROD62"/>
    <s v="STORE4"/>
    <n v="4"/>
    <n v="139.05000000000001"/>
    <n v="0.28999999999999998"/>
    <s v="COD"/>
    <n v="394.90199999999999"/>
    <n v="1052324.6671000004"/>
    <n v="1068.3499158375639"/>
    <n v="345"/>
    <s v="Low Value"/>
    <s v="Mar-2025"/>
    <s v="Laptop Cooling Pad"/>
    <x v="1"/>
  </r>
  <r>
    <s v="PROD53"/>
    <s v="STORE4"/>
    <n v="3"/>
    <n v="155.87"/>
    <n v="0.03"/>
    <s v="COD"/>
    <n v="453.58170000000001"/>
    <n v="1051929.7651000004"/>
    <n v="1069.0343141260166"/>
    <n v="345"/>
    <s v="Low Value"/>
    <s v="Jun-2024"/>
    <s v="Men's Track Pants"/>
    <x v="4"/>
  </r>
  <r>
    <s v="PROD34"/>
    <s v="STORE16"/>
    <n v="4"/>
    <n v="115.42"/>
    <n v="0.03"/>
    <s v="COD"/>
    <n v="447.82960000000003"/>
    <n v="1051476.1834000002"/>
    <n v="1069.6604103763989"/>
    <n v="345"/>
    <s v="Low Value"/>
    <s v="Jun-2025"/>
    <s v="Gaming Mechanical Keyboard"/>
    <x v="1"/>
  </r>
  <r>
    <s v="PROD52"/>
    <s v="STORE6"/>
    <n v="3"/>
    <n v="593.62"/>
    <n v="0.08"/>
    <s v="Credit Card"/>
    <n v="1638.3912"/>
    <n v="1051028.3538000002"/>
    <n v="1070.2936393075358"/>
    <n v="345"/>
    <s v="High Value"/>
    <s v="Jun-2025"/>
    <s v="Rugby Ball"/>
    <x v="0"/>
  </r>
  <r>
    <s v="PROD45"/>
    <s v="STORE4"/>
    <n v="2"/>
    <n v="825.04"/>
    <n v="0.2"/>
    <s v="Credit Card"/>
    <n v="1320.0640000000001"/>
    <n v="1049389.9626000002"/>
    <n v="1069.7145388379206"/>
    <n v="345"/>
    <s v="High Value"/>
    <s v="Mar-2025"/>
    <s v="High-Grip Football"/>
    <x v="0"/>
  </r>
  <r>
    <s v="PROD25"/>
    <s v="STORE13"/>
    <n v="1"/>
    <n v="963.76"/>
    <n v="0.14000000000000001"/>
    <s v="PayPal"/>
    <n v="828.83359999999993"/>
    <n v="1048069.8985999998"/>
    <n v="1069.4590802040814"/>
    <n v="345"/>
    <s v="Low Value"/>
    <s v="Jan-2024"/>
    <s v="Women's Scarf Set"/>
    <x v="4"/>
  </r>
  <r>
    <s v="PROD55"/>
    <s v="STORE6"/>
    <n v="1"/>
    <n v="238.24"/>
    <n v="0.12"/>
    <s v="PayPal"/>
    <n v="209.65119999999999"/>
    <n v="1047241.0650000001"/>
    <n v="1069.7048672114404"/>
    <n v="344"/>
    <s v="Low Value"/>
    <s v="May-2024"/>
    <s v="Ceramic Plant Pot"/>
    <x v="3"/>
  </r>
  <r>
    <s v="PROD82"/>
    <s v="STORE16"/>
    <n v="1"/>
    <n v="756.63"/>
    <n v="0.04"/>
    <s v="PayPal"/>
    <n v="726.36479999999995"/>
    <n v="1047031.4137999999"/>
    <n v="1070.5842676891614"/>
    <n v="343"/>
    <s v="Low Value"/>
    <s v="Dec-2024"/>
    <s v="Fitness Resistance Bands"/>
    <x v="0"/>
  </r>
  <r>
    <s v="PROD93"/>
    <s v="STORE7"/>
    <n v="3"/>
    <n v="159.76"/>
    <n v="0.22"/>
    <s v="Credit Card"/>
    <n v="373.83839999999998"/>
    <n v="1046305.049"/>
    <n v="1070.9365905834186"/>
    <n v="342"/>
    <s v="Low Value"/>
    <s v="Jul-2025"/>
    <s v="USB-C Laptop Charger"/>
    <x v="1"/>
  </r>
  <r>
    <s v="PROD95"/>
    <s v="STORE8"/>
    <n v="1"/>
    <n v="329.94"/>
    <n v="0.14000000000000001"/>
    <s v="COD"/>
    <n v="283.7484"/>
    <n v="1045931.2106"/>
    <n v="1071.6508305327868"/>
    <n v="342"/>
    <s v="Low Value"/>
    <s v="Mar-2024"/>
    <s v="Sports Stopwatch Basic"/>
    <x v="0"/>
  </r>
  <r>
    <s v="PROD17"/>
    <s v="STORE8"/>
    <n v="1"/>
    <n v="234.06"/>
    <n v="0.11"/>
    <s v="PayPal"/>
    <n v="208.3134"/>
    <n v="1045647.4622000001"/>
    <n v="1072.4589355897438"/>
    <n v="342"/>
    <s v="Low Value"/>
    <s v="Mar-2025"/>
    <s v="Soccer Training Cone Set"/>
    <x v="0"/>
  </r>
  <r>
    <s v="PROD81"/>
    <s v="STORE0"/>
    <n v="2"/>
    <n v="773.75"/>
    <n v="0.16"/>
    <s v="PayPal"/>
    <n v="1299.9000000000001"/>
    <n v="1045439.1488"/>
    <n v="1073.3461486652977"/>
    <n v="341"/>
    <s v="High Value"/>
    <s v="Dec-2023"/>
    <s v="Badminton Racket Set"/>
    <x v="0"/>
  </r>
  <r>
    <s v="PROD52"/>
    <s v="STORE18"/>
    <n v="1"/>
    <n v="73.88"/>
    <n v="0.04"/>
    <s v="Credit Card"/>
    <n v="70.924799999999991"/>
    <n v="1044139.2488000001"/>
    <n v="1073.113308119219"/>
    <n v="340"/>
    <s v="Low Value"/>
    <s v="May-2024"/>
    <s v="Rugby Ball"/>
    <x v="0"/>
  </r>
  <r>
    <s v="PROD86"/>
    <s v="STORE18"/>
    <n v="1"/>
    <n v="859.3"/>
    <n v="0.16"/>
    <s v="PayPal"/>
    <n v="721.8119999999999"/>
    <n v="1044068.3240000001"/>
    <n v="1074.1443662551442"/>
    <n v="340"/>
    <s v="Low Value"/>
    <s v="Feb-2024"/>
    <s v="Kitchen Cutting Board"/>
    <x v="3"/>
  </r>
  <r>
    <s v="PROD81"/>
    <s v="STORE6"/>
    <n v="4"/>
    <n v="762.43"/>
    <n v="0.05"/>
    <s v="Credit Card"/>
    <n v="2897.233999999999"/>
    <n v="1043346.512"/>
    <n v="1074.5072214212153"/>
    <n v="339"/>
    <s v="High Value"/>
    <s v="Sep-2024"/>
    <s v="Badminton Racket Set"/>
    <x v="0"/>
  </r>
  <r>
    <s v="PROD73"/>
    <s v="STORE0"/>
    <n v="1"/>
    <n v="328.51"/>
    <n v="0.2"/>
    <s v="COD"/>
    <n v="262.80799999999999"/>
    <n v="1040449.278"/>
    <n v="1072.6281216494847"/>
    <n v="339"/>
    <s v="Low Value"/>
    <s v="May-2024"/>
    <s v="Shin Guards – Adult"/>
    <x v="0"/>
  </r>
  <r>
    <s v="PROD44"/>
    <s v="STORE4"/>
    <n v="1"/>
    <n v="34.51"/>
    <n v="0.04"/>
    <s v="COD"/>
    <n v="33.129600000000003"/>
    <n v="1040186.4700000001"/>
    <n v="1073.4638493292055"/>
    <n v="339"/>
    <s v="Low Value"/>
    <s v="Mar-2025"/>
    <s v="Adjustable Jump Rope"/>
    <x v="0"/>
  </r>
  <r>
    <s v="PROD19"/>
    <s v="STORE11"/>
    <n v="3"/>
    <n v="663.73"/>
    <n v="0.06"/>
    <s v="COD"/>
    <n v="1871.7185999999999"/>
    <n v="1040153.3404"/>
    <n v="1074.5385747933883"/>
    <n v="339"/>
    <s v="High Value"/>
    <s v="Nov-2023"/>
    <s v="Knee Support Brace"/>
    <x v="0"/>
  </r>
  <r>
    <s v="PROD33"/>
    <s v="STORE9"/>
    <n v="1"/>
    <n v="409.41"/>
    <n v="0.13"/>
    <s v="PayPal"/>
    <n v="356.18669999999997"/>
    <n v="1038281.6218"/>
    <n v="1073.7141900723889"/>
    <n v="339"/>
    <s v="Low Value"/>
    <s v="Jul-2024"/>
    <s v="Modern Wall Clock"/>
    <x v="3"/>
  </r>
  <r>
    <s v="PROD78"/>
    <s v="STORE3"/>
    <n v="3"/>
    <n v="461.03"/>
    <n v="0.11"/>
    <s v="PayPal"/>
    <n v="1230.9501"/>
    <n v="1037925.4351"/>
    <n v="1074.4569721532091"/>
    <n v="338"/>
    <s v="High Value"/>
    <s v="Mar-2025"/>
    <s v="Essential Oil Diffuser"/>
    <x v="3"/>
  </r>
  <r>
    <s v="PROD19"/>
    <s v="STORE14"/>
    <n v="2"/>
    <n v="760.14"/>
    <n v="0.02"/>
    <s v="COD"/>
    <n v="1489.8743999999999"/>
    <n v="1036694.485"/>
    <n v="1074.2948031088083"/>
    <n v="337"/>
    <s v="High Value"/>
    <s v="Apr-2024"/>
    <s v="Knee Support Brace"/>
    <x v="0"/>
  </r>
  <r>
    <s v="PROD23"/>
    <s v="STORE1"/>
    <n v="3"/>
    <n v="688.76"/>
    <n v="0.12"/>
    <s v="PayPal"/>
    <n v="1818.3263999999999"/>
    <n v="1035204.6105999999"/>
    <n v="1073.8637039419086"/>
    <n v="337"/>
    <s v="High Value"/>
    <s v="Apr-2025"/>
    <s v="Men's Formal Shirt"/>
    <x v="4"/>
  </r>
  <r>
    <s v="PROD43"/>
    <s v="STORE9"/>
    <n v="2"/>
    <n v="257.77999999999997"/>
    <n v="0.05"/>
    <s v="Credit Card"/>
    <n v="489.78199999999993"/>
    <n v="1033386.2842"/>
    <n v="1073.0906377985461"/>
    <n v="336"/>
    <s v="Low Value"/>
    <s v="May-2025"/>
    <s v="USB External Hard Drive"/>
    <x v="1"/>
  </r>
  <r>
    <s v="PROD53"/>
    <s v="STORE7"/>
    <n v="2"/>
    <n v="314.29000000000002"/>
    <n v="0.19"/>
    <s v="COD"/>
    <n v="509.14980000000008"/>
    <n v="1032896.5021999999"/>
    <n v="1073.6969877338877"/>
    <n v="336"/>
    <s v="Low Value"/>
    <s v="Apr-2024"/>
    <s v="Men's Track Pants"/>
    <x v="4"/>
  </r>
  <r>
    <s v="PROD72"/>
    <s v="STORE14"/>
    <n v="3"/>
    <n v="336.09"/>
    <n v="0.01"/>
    <s v="PayPal"/>
    <n v="998.18729999999994"/>
    <n v="1032387.3523999999"/>
    <n v="1074.2844457856397"/>
    <n v="336"/>
    <s v="Low Value"/>
    <s v="Aug-2024"/>
    <s v="Professional Jump Rope"/>
    <x v="0"/>
  </r>
  <r>
    <s v="PROD75"/>
    <s v="STORE17"/>
    <n v="3"/>
    <n v="202.07"/>
    <n v="0.23"/>
    <s v="PayPal"/>
    <n v="466.78170000000011"/>
    <n v="1031389.1650999998"/>
    <n v="1074.3637136458331"/>
    <n v="335"/>
    <s v="Low Value"/>
    <s v="Jul-2025"/>
    <s v="Women's Ankle Boots"/>
    <x v="4"/>
  </r>
  <r>
    <s v="PROD17"/>
    <s v="STORE8"/>
    <n v="2"/>
    <n v="485.25"/>
    <n v="0.28000000000000003"/>
    <s v="Credit Card"/>
    <n v="698.76"/>
    <n v="1030922.3833999998"/>
    <n v="1074.9972715328465"/>
    <n v="334"/>
    <s v="Low Value"/>
    <s v="May-2025"/>
    <s v="Soccer Training Cone Set"/>
    <x v="0"/>
  </r>
  <r>
    <s v="PROD75"/>
    <s v="STORE10"/>
    <n v="4"/>
    <n v="552.38"/>
    <n v="0.1"/>
    <s v="PayPal"/>
    <n v="1988.568"/>
    <n v="1030223.6234"/>
    <n v="1075.3900035490606"/>
    <n v="334"/>
    <s v="High Value"/>
    <s v="Sep-2025"/>
    <s v="Women's Ankle Boots"/>
    <x v="4"/>
  </r>
  <r>
    <s v="PROD58"/>
    <s v="STORE17"/>
    <n v="4"/>
    <n v="377.26"/>
    <n v="0.22"/>
    <s v="COD"/>
    <n v="1177.0512000000001"/>
    <n v="1028235.0554000001"/>
    <n v="1074.4357945663533"/>
    <n v="333"/>
    <s v="High Value"/>
    <s v="Nov-2023"/>
    <s v="Womens Cotton Scarf"/>
    <x v="4"/>
  </r>
  <r>
    <s v="PROD47"/>
    <s v="STORE19"/>
    <n v="4"/>
    <n v="189.07"/>
    <n v="0.1"/>
    <s v="COD"/>
    <n v="680.65200000000004"/>
    <n v="1027058.0042"/>
    <n v="1074.3284562761505"/>
    <n v="333"/>
    <s v="Low Value"/>
    <s v="Nov-2023"/>
    <s v="Makeup Brush Set"/>
    <x v="2"/>
  </r>
  <r>
    <s v="PROD30"/>
    <s v="STORE4"/>
    <n v="3"/>
    <n v="272.27"/>
    <n v="0.01"/>
    <s v="Credit Card"/>
    <n v="808.64189999999996"/>
    <n v="1026377.3522000002"/>
    <n v="1074.7406829319373"/>
    <n v="333"/>
    <s v="Low Value"/>
    <s v="Jun-2025"/>
    <s v="Stainless Steel Cutlery Set"/>
    <x v="3"/>
  </r>
  <r>
    <s v="PROD92"/>
    <s v="STORE11"/>
    <n v="1"/>
    <n v="209.39"/>
    <n v="0.28000000000000003"/>
    <s v="PayPal"/>
    <n v="150.76079999999999"/>
    <n v="1025568.7103"/>
    <n v="1075.0196124737945"/>
    <n v="333"/>
    <s v="Low Value"/>
    <s v="May-2025"/>
    <s v="Microwave Oven"/>
    <x v="3"/>
  </r>
  <r>
    <s v="PROD80"/>
    <s v="STORE9"/>
    <n v="1"/>
    <n v="813.87"/>
    <n v="0.23"/>
    <s v="Credit Card"/>
    <n v="626.67989999999998"/>
    <n v="1025417.9495000002"/>
    <n v="1075.9894538300107"/>
    <n v="332"/>
    <s v="Low Value"/>
    <s v="Dec-2023"/>
    <s v="Wall-Mounted Spice Rack"/>
    <x v="3"/>
  </r>
  <r>
    <s v="PROD28"/>
    <s v="STORE0"/>
    <n v="1"/>
    <n v="143.69999999999999"/>
    <n v="0.19"/>
    <s v="PayPal"/>
    <n v="116.39700000000001"/>
    <n v="1024791.2696000001"/>
    <n v="1076.4614176470589"/>
    <n v="332"/>
    <s v="Low Value"/>
    <s v="May-2025"/>
    <s v="Sports Stopwatch Timer"/>
    <x v="0"/>
  </r>
  <r>
    <s v="PROD46"/>
    <s v="STORE1"/>
    <n v="4"/>
    <n v="837.34"/>
    <n v="0.05"/>
    <s v="PayPal"/>
    <n v="3181.8919999999998"/>
    <n v="1024674.8726"/>
    <n v="1077.470949106204"/>
    <n v="331"/>
    <s v="High Value"/>
    <s v="Apr-2024"/>
    <s v="Men's Winter Jacket"/>
    <x v="4"/>
  </r>
  <r>
    <s v="PROD15"/>
    <s v="STORE19"/>
    <n v="1"/>
    <n v="151.66"/>
    <n v="0.16"/>
    <s v="COD"/>
    <n v="127.3944"/>
    <n v="1021492.9806000002"/>
    <n v="1075.2557690526319"/>
    <n v="330"/>
    <s v="Low Value"/>
    <s v="Aug-2025"/>
    <s v="4K Home Projector"/>
    <x v="1"/>
  </r>
  <r>
    <s v="PROD44"/>
    <s v="STORE8"/>
    <n v="3"/>
    <n v="961.4"/>
    <n v="0.02"/>
    <s v="PayPal"/>
    <n v="2826.5160000000001"/>
    <n v="1021365.5862000001"/>
    <n v="1076.2545692307694"/>
    <n v="330"/>
    <s v="High Value"/>
    <s v="Mar-2025"/>
    <s v="Adjustable Jump Rope"/>
    <x v="0"/>
  </r>
  <r>
    <s v="PROD74"/>
    <s v="STORE18"/>
    <n v="4"/>
    <n v="475.98"/>
    <n v="0.19"/>
    <s v="PayPal"/>
    <n v="1542.1751999999999"/>
    <n v="1018539.0702000001"/>
    <n v="1074.4083018987342"/>
    <n v="329"/>
    <s v="High Value"/>
    <s v="Jul-2024"/>
    <s v="Bluetooth Car Audio System"/>
    <x v="1"/>
  </r>
  <r>
    <s v="PROD38"/>
    <s v="STORE15"/>
    <n v="4"/>
    <n v="132.88999999999999"/>
    <n v="0.12"/>
    <s v="Credit Card"/>
    <n v="467.77280000000002"/>
    <n v="1016996.8950000001"/>
    <n v="1073.9143558606127"/>
    <n v="328"/>
    <s v="Low Value"/>
    <s v="Sep-2024"/>
    <s v="Sports Water Hydration Pack"/>
    <x v="0"/>
  </r>
  <r>
    <s v="PROD35"/>
    <s v="STORE12"/>
    <n v="3"/>
    <n v="471.31"/>
    <n v="0"/>
    <s v="PayPal"/>
    <n v="1413.93"/>
    <n v="1016529.1222000002"/>
    <n v="1074.5550974630023"/>
    <n v="328"/>
    <s v="High Value"/>
    <s v="Jul-2025"/>
    <s v="Bedroom Table Lamp"/>
    <x v="3"/>
  </r>
  <r>
    <s v="PROD76"/>
    <s v="STORE14"/>
    <n v="2"/>
    <n v="720.32"/>
    <n v="0.26"/>
    <s v="Credit Card"/>
    <n v="1066.0735999999999"/>
    <n v="1015115.1922"/>
    <n v="1074.1959705820107"/>
    <n v="327"/>
    <s v="High Value"/>
    <s v="May-2024"/>
    <s v="Wireless Mouse"/>
    <x v="1"/>
  </r>
  <r>
    <s v="PROD66"/>
    <s v="STORE18"/>
    <n v="4"/>
    <n v="99.92"/>
    <n v="0.11"/>
    <s v="COD"/>
    <n v="355.71519999999998"/>
    <n v="1014049.1186"/>
    <n v="1074.2045747881357"/>
    <n v="327"/>
    <s v="Low Value"/>
    <s v="May-2024"/>
    <s v="Women's Hair Dryer Brush"/>
    <x v="2"/>
  </r>
  <r>
    <s v="PROD10"/>
    <s v="STORE3"/>
    <n v="3"/>
    <n v="900.63"/>
    <n v="0.11"/>
    <s v="COD"/>
    <n v="2404.6821"/>
    <n v="1013693.4034000001"/>
    <n v="1074.9664935312833"/>
    <n v="327"/>
    <s v="High Value"/>
    <s v="Aug-2025"/>
    <s v="Ceramic Kitchen Bowl Set"/>
    <x v="3"/>
  </r>
  <r>
    <s v="PROD46"/>
    <s v="STORE8"/>
    <n v="1"/>
    <n v="681.72"/>
    <n v="0.11"/>
    <s v="PayPal"/>
    <n v="606.73080000000004"/>
    <n v="1011288.7213"/>
    <n v="1073.5549058386412"/>
    <n v="327"/>
    <s v="Low Value"/>
    <s v="Dec-2024"/>
    <s v="Men's Winter Jacket"/>
    <x v="4"/>
  </r>
  <r>
    <s v="PROD78"/>
    <s v="STORE13"/>
    <n v="2"/>
    <n v="838.22"/>
    <n v="0.3"/>
    <s v="Credit Card"/>
    <n v="1173.508"/>
    <n v="1010681.9905"/>
    <n v="1074.0509994686504"/>
    <n v="326"/>
    <s v="High Value"/>
    <s v="Oct-2023"/>
    <s v="Essential Oil Diffuser"/>
    <x v="3"/>
  </r>
  <r>
    <s v="PROD87"/>
    <s v="STORE12"/>
    <n v="2"/>
    <n v="816.22"/>
    <n v="0.27"/>
    <s v="Credit Card"/>
    <n v="1191.6812"/>
    <n v="1009508.4825"/>
    <n v="1073.9451941489363"/>
    <n v="326"/>
    <s v="High Value"/>
    <s v="May-2025"/>
    <s v="LED Bedside Lamp"/>
    <x v="3"/>
  </r>
  <r>
    <s v="PROD61"/>
    <s v="STORE7"/>
    <n v="2"/>
    <n v="654.12"/>
    <n v="0.27"/>
    <s v="PayPal"/>
    <n v="955.01519999999994"/>
    <n v="1008316.8013000001"/>
    <n v="1073.8198096911608"/>
    <n v="326"/>
    <s v="Low Value"/>
    <s v="Sep-2024"/>
    <s v="Tennis Ball 3-Pack"/>
    <x v="0"/>
  </r>
  <r>
    <s v="PROD73"/>
    <s v="STORE13"/>
    <n v="4"/>
    <n v="528.22"/>
    <n v="0.2"/>
    <s v="PayPal"/>
    <n v="1690.3040000000001"/>
    <n v="1007361.7861"/>
    <n v="1073.9464670575694"/>
    <n v="325"/>
    <s v="High Value"/>
    <s v="Apr-2024"/>
    <s v="Shin Guards – Adult"/>
    <x v="0"/>
  </r>
  <r>
    <s v="PROD34"/>
    <s v="STORE7"/>
    <n v="4"/>
    <n v="36.72"/>
    <n v="7.0000000000000007E-2"/>
    <s v="COD"/>
    <n v="136.5984"/>
    <n v="1005671.4821"/>
    <n v="1073.2886681963714"/>
    <n v="324"/>
    <s v="Low Value"/>
    <s v="Feb-2025"/>
    <s v="Gaming Mechanical Keyboard"/>
    <x v="1"/>
  </r>
  <r>
    <s v="PROD78"/>
    <s v="STORE19"/>
    <n v="2"/>
    <n v="705.97"/>
    <n v="0.1"/>
    <s v="PayPal"/>
    <n v="1270.7460000000001"/>
    <n v="1005534.8837"/>
    <n v="1074.2894056623932"/>
    <n v="324"/>
    <s v="High Value"/>
    <s v="Sep-2024"/>
    <s v="Essential Oil Diffuser"/>
    <x v="3"/>
  </r>
  <r>
    <s v="PROD40"/>
    <s v="STORE1"/>
    <n v="2"/>
    <n v="994.29"/>
    <n v="0.01"/>
    <s v="PayPal"/>
    <n v="1968.6941999999999"/>
    <n v="1004264.1377"/>
    <n v="1074.0792916577541"/>
    <n v="323"/>
    <s v="High Value"/>
    <s v="Mar-2025"/>
    <s v="Noise-Canceling Headphones"/>
    <x v="1"/>
  </r>
  <r>
    <s v="PROD92"/>
    <s v="STORE18"/>
    <n v="1"/>
    <n v="909.04"/>
    <n v="0.11"/>
    <s v="Credit Card"/>
    <n v="809.04560000000004"/>
    <n v="1002295.4435000002"/>
    <n v="1073.1214598501072"/>
    <n v="322"/>
    <s v="Low Value"/>
    <s v="Nov-2024"/>
    <s v="Microwave Oven"/>
    <x v="3"/>
  </r>
  <r>
    <s v="PROD34"/>
    <s v="STORE11"/>
    <n v="1"/>
    <n v="164.73"/>
    <n v="0.12"/>
    <s v="PayPal"/>
    <n v="144.9624"/>
    <n v="1001486.3979000001"/>
    <n v="1073.4044993569132"/>
    <n v="322"/>
    <s v="Low Value"/>
    <s v="Feb-2024"/>
    <s v="Gaming Mechanical Keyboard"/>
    <x v="1"/>
  </r>
  <r>
    <s v="PROD37"/>
    <s v="STORE7"/>
    <n v="2"/>
    <n v="606.35"/>
    <n v="0.16"/>
    <s v="COD"/>
    <n v="1018.668"/>
    <n v="1001341.4355000003"/>
    <n v="1074.4006818669532"/>
    <n v="321"/>
    <s v="High Value"/>
    <s v="Feb-2025"/>
    <s v="Men's Casual Sneakers"/>
    <x v="4"/>
  </r>
  <r>
    <s v="PROD98"/>
    <s v="STORE4"/>
    <n v="3"/>
    <n v="904.19"/>
    <n v="0.09"/>
    <s v="Credit Card"/>
    <n v="2468.4387000000002"/>
    <n v="1000322.7675000002"/>
    <n v="1074.4605451127823"/>
    <n v="321"/>
    <s v="High Value"/>
    <s v="Jul-2024"/>
    <s v="Portable Bluetooth Speaker"/>
    <x v="1"/>
  </r>
  <r>
    <s v="PROD50"/>
    <s v="STORE2"/>
    <n v="4"/>
    <n v="694.61"/>
    <n v="0.18"/>
    <s v="COD"/>
    <n v="2278.3208"/>
    <n v="997854.32880000013"/>
    <n v="1072.9616438709679"/>
    <n v="321"/>
    <s v="High Value"/>
    <s v="Oct-2024"/>
    <s v="Boxing Hand Wraps"/>
    <x v="0"/>
  </r>
  <r>
    <s v="PROD89"/>
    <s v="STORE2"/>
    <n v="4"/>
    <n v="753.83"/>
    <n v="0.24"/>
    <s v="Credit Card"/>
    <n v="2291.6432"/>
    <n v="995576.00800000003"/>
    <n v="1071.6641636167924"/>
    <n v="321"/>
    <s v="High Value"/>
    <s v="Oct-2023"/>
    <s v="Face Foundation Kit"/>
    <x v="2"/>
  </r>
  <r>
    <s v="PROD21"/>
    <s v="STORE8"/>
    <n v="1"/>
    <n v="66.22"/>
    <n v="0.02"/>
    <s v="Credit Card"/>
    <n v="64.895600000000002"/>
    <n v="993284.36480000021"/>
    <n v="1070.3495310344829"/>
    <n v="321"/>
    <s v="Low Value"/>
    <s v="Dec-2024"/>
    <s v="Multi-Purpose Storage Box"/>
    <x v="3"/>
  </r>
  <r>
    <s v="PROD64"/>
    <s v="STORE14"/>
    <n v="2"/>
    <n v="891.8"/>
    <n v="0.28999999999999998"/>
    <s v="COD"/>
    <n v="1266.356"/>
    <n v="993219.46920000028"/>
    <n v="1071.4341631067964"/>
    <n v="321"/>
    <s v="High Value"/>
    <s v="Nov-2023"/>
    <s v="Matte Lipstick Set"/>
    <x v="2"/>
  </r>
  <r>
    <s v="PROD75"/>
    <s v="STORE9"/>
    <n v="4"/>
    <n v="255.48"/>
    <n v="0.03"/>
    <s v="COD"/>
    <n v="991.26239999999996"/>
    <n v="991953.11320000037"/>
    <n v="1071.2236643628514"/>
    <n v="321"/>
    <s v="Low Value"/>
    <s v="May-2024"/>
    <s v="Women's Ankle Boots"/>
    <x v="4"/>
  </r>
  <r>
    <s v="PROD84"/>
    <s v="STORE17"/>
    <n v="4"/>
    <n v="604.87"/>
    <n v="0.28000000000000003"/>
    <s v="PayPal"/>
    <n v="1742.0255999999999"/>
    <n v="990961.85080000048"/>
    <n v="1071.3101089729735"/>
    <n v="321"/>
    <s v="High Value"/>
    <s v="Oct-2024"/>
    <s v="Wooden Bookshelf"/>
    <x v="3"/>
  </r>
  <r>
    <s v="PROD33"/>
    <s v="STORE17"/>
    <n v="3"/>
    <n v="623.82000000000005"/>
    <n v="0.13"/>
    <s v="COD"/>
    <n v="1628.1702"/>
    <n v="989219.82520000043"/>
    <n v="1070.584226406927"/>
    <n v="320"/>
    <s v="High Value"/>
    <s v="Mar-2024"/>
    <s v="Modern Wall Clock"/>
    <x v="3"/>
  </r>
  <r>
    <s v="PROD71"/>
    <s v="STORE16"/>
    <n v="3"/>
    <n v="575.24"/>
    <n v="0.12"/>
    <s v="COD"/>
    <n v="1518.6335999999999"/>
    <n v="987591.65500000038"/>
    <n v="1069.9801245937165"/>
    <n v="320"/>
    <s v="High Value"/>
    <s v="Aug-2025"/>
    <s v="Hair Repair Oil Treatment"/>
    <x v="2"/>
  </r>
  <r>
    <s v="PROD4"/>
    <s v="STORE11"/>
    <n v="1"/>
    <n v="769.4"/>
    <n v="0.16"/>
    <s v="Credit Card"/>
    <n v="646.29599999999994"/>
    <n v="986073.02140000055"/>
    <n v="1069.4935156182219"/>
    <n v="320"/>
    <s v="Low Value"/>
    <s v="Aug-2025"/>
    <s v="Women's Yoga Pants"/>
    <x v="4"/>
  </r>
  <r>
    <s v="PROD4"/>
    <s v="STORE17"/>
    <n v="1"/>
    <n v="227.28"/>
    <n v="0.13"/>
    <s v="COD"/>
    <n v="197.7336"/>
    <n v="985426.72540000046"/>
    <n v="1069.953013463627"/>
    <n v="320"/>
    <s v="Low Value"/>
    <s v="May-2024"/>
    <s v="Women's Yoga Pants"/>
    <x v="4"/>
  </r>
  <r>
    <s v="PROD2"/>
    <s v="STORE17"/>
    <n v="4"/>
    <n v="127.58"/>
    <n v="0.15"/>
    <s v="Credit Card"/>
    <n v="433.77199999999999"/>
    <n v="985228.99180000031"/>
    <n v="1070.9010780434785"/>
    <n v="320"/>
    <s v="Low Value"/>
    <s v="Mar-2024"/>
    <s v="Women's Casual Hoodie"/>
    <x v="4"/>
  </r>
  <r>
    <s v="PROD44"/>
    <s v="STORE3"/>
    <n v="1"/>
    <n v="793.21"/>
    <n v="0.09"/>
    <s v="Credit Card"/>
    <n v="721.8211"/>
    <n v="984795.21980000043"/>
    <n v="1071.5943632208928"/>
    <n v="320"/>
    <s v="Low Value"/>
    <s v="Feb-2025"/>
    <s v="Adjustable Jump Rope"/>
    <x v="0"/>
  </r>
  <r>
    <s v="PROD83"/>
    <s v="STORE12"/>
    <n v="3"/>
    <n v="435.61"/>
    <n v="0.03"/>
    <s v="PayPal"/>
    <n v="1267.6251"/>
    <n v="984073.39870000037"/>
    <n v="1071.9753798474949"/>
    <n v="320"/>
    <s v="High Value"/>
    <s v="Aug-2025"/>
    <s v="Hydrating Face Cleanser"/>
    <x v="2"/>
  </r>
  <r>
    <s v="PROD29"/>
    <s v="STORE16"/>
    <n v="1"/>
    <n v="850.06"/>
    <n v="0.28999999999999998"/>
    <s v="PayPal"/>
    <n v="603.54259999999988"/>
    <n v="982805.77360000031"/>
    <n v="1071.7620213740461"/>
    <n v="319"/>
    <s v="Low Value"/>
    <s v="Aug-2024"/>
    <s v="Fabric Sofa Throw Blanket"/>
    <x v="3"/>
  </r>
  <r>
    <s v="PROD16"/>
    <s v="STORE16"/>
    <n v="2"/>
    <n v="753.92"/>
    <n v="0.17"/>
    <s v="PayPal"/>
    <n v="1251.5072"/>
    <n v="982202.23100000026"/>
    <n v="1072.2731779475985"/>
    <n v="318"/>
    <s v="High Value"/>
    <s v="Feb-2024"/>
    <s v="Beard Grooming Kit"/>
    <x v="2"/>
  </r>
  <r>
    <s v="PROD4"/>
    <s v="STORE13"/>
    <n v="3"/>
    <n v="408.99"/>
    <n v="0.27"/>
    <s v="PayPal"/>
    <n v="895.68809999999996"/>
    <n v="980950.72380000039"/>
    <n v="1072.0772937704921"/>
    <n v="317"/>
    <s v="Low Value"/>
    <s v="Jan-2024"/>
    <s v="Women's Yoga Pants"/>
    <x v="4"/>
  </r>
  <r>
    <s v="PROD57"/>
    <s v="STORE5"/>
    <n v="3"/>
    <n v="404.5"/>
    <n v="0.22"/>
    <s v="PayPal"/>
    <n v="946.53000000000009"/>
    <n v="980055.03570000024"/>
    <n v="1072.2702797593001"/>
    <n v="316"/>
    <s v="Low Value"/>
    <s v="Oct-2024"/>
    <s v="Foam Roller"/>
    <x v="0"/>
  </r>
  <r>
    <s v="PROD39"/>
    <s v="STORE3"/>
    <n v="3"/>
    <n v="717.81"/>
    <n v="0.17"/>
    <s v="COD"/>
    <n v="1787.3469"/>
    <n v="979108.50570000021"/>
    <n v="1072.4080018619936"/>
    <n v="315"/>
    <s v="High Value"/>
    <s v="Nov-2023"/>
    <s v="Portable Power Bank"/>
    <x v="1"/>
  </r>
  <r>
    <s v="PROD84"/>
    <s v="STORE1"/>
    <n v="3"/>
    <n v="204.77"/>
    <n v="0.14000000000000001"/>
    <s v="Credit Card"/>
    <n v="528.3066"/>
    <n v="977321.15880000044"/>
    <n v="1071.6240776315794"/>
    <n v="315"/>
    <s v="Low Value"/>
    <s v="Dec-2023"/>
    <s v="Wooden Bookshelf"/>
    <x v="3"/>
  </r>
  <r>
    <s v="PROD48"/>
    <s v="STORE18"/>
    <n v="4"/>
    <n v="106.23"/>
    <n v="0.28000000000000003"/>
    <s v="COD"/>
    <n v="305.94240000000002"/>
    <n v="976792.85220000043"/>
    <n v="1072.2204744237106"/>
    <n v="315"/>
    <s v="Low Value"/>
    <s v="Jan-2025"/>
    <s v="Car Dashboard Phone Holder"/>
    <x v="1"/>
  </r>
  <r>
    <s v="PROD66"/>
    <s v="STORE5"/>
    <n v="2"/>
    <n v="769.48"/>
    <n v="0.11"/>
    <s v="PayPal"/>
    <n v="1369.6744000000001"/>
    <n v="976486.90980000037"/>
    <n v="1073.0625382417586"/>
    <n v="315"/>
    <s v="High Value"/>
    <s v="Jun-2025"/>
    <s v="Women's Hair Dryer Brush"/>
    <x v="2"/>
  </r>
  <r>
    <s v="PROD57"/>
    <s v="STORE13"/>
    <n v="2"/>
    <n v="714.21"/>
    <n v="0.14000000000000001"/>
    <s v="Credit Card"/>
    <n v="1228.4412"/>
    <n v="975117.23540000047"/>
    <n v="1072.7362325632569"/>
    <n v="314"/>
    <s v="High Value"/>
    <s v="Jul-2025"/>
    <s v="Foam Roller"/>
    <x v="0"/>
  </r>
  <r>
    <s v="PROD11"/>
    <s v="STORE15"/>
    <n v="4"/>
    <n v="632.24"/>
    <n v="0.25"/>
    <s v="PayPal"/>
    <n v="1896.72"/>
    <n v="973888.79420000024"/>
    <n v="1072.5647513215861"/>
    <n v="314"/>
    <s v="High Value"/>
    <s v="Oct-2024"/>
    <s v="HD Smart TV Stick"/>
    <x v="1"/>
  </r>
  <r>
    <s v="PROD78"/>
    <s v="STORE3"/>
    <n v="2"/>
    <n v="845.27"/>
    <n v="0.18"/>
    <s v="PayPal"/>
    <n v="1386.2428"/>
    <n v="971992.07420000026"/>
    <n v="1071.6560906284458"/>
    <n v="313"/>
    <s v="High Value"/>
    <s v="Oct-2024"/>
    <s v="Essential Oil Diffuser"/>
    <x v="3"/>
  </r>
  <r>
    <s v="PROD87"/>
    <s v="STORE13"/>
    <n v="1"/>
    <n v="575.94000000000005"/>
    <n v="0.17"/>
    <s v="Credit Card"/>
    <n v="478.03019999999998"/>
    <n v="970605.83140000037"/>
    <n v="1071.3088646799122"/>
    <n v="312"/>
    <s v="Low Value"/>
    <s v="Jun-2025"/>
    <s v="LED Bedside Lamp"/>
    <x v="3"/>
  </r>
  <r>
    <s v="PROD84"/>
    <s v="STORE15"/>
    <n v="1"/>
    <n v="907.97"/>
    <n v="0.26"/>
    <s v="COD"/>
    <n v="671.89779999999996"/>
    <n v="970127.80120000045"/>
    <n v="1071.9644212154701"/>
    <n v="312"/>
    <s v="Low Value"/>
    <s v="Nov-2024"/>
    <s v="Wooden Bookshelf"/>
    <x v="3"/>
  </r>
  <r>
    <s v="PROD20"/>
    <s v="STORE12"/>
    <n v="1"/>
    <n v="99.35"/>
    <n v="0.08"/>
    <s v="COD"/>
    <n v="91.402000000000001"/>
    <n v="969455.9034000003"/>
    <n v="1072.406972787611"/>
    <n v="312"/>
    <s v="Low Value"/>
    <s v="Feb-2025"/>
    <s v="Outdoor Sports Water Bottle"/>
    <x v="0"/>
  </r>
  <r>
    <s v="PROD0"/>
    <s v="STORE3"/>
    <n v="2"/>
    <n v="374.42"/>
    <n v="0.21"/>
    <s v="COD"/>
    <n v="591.58360000000005"/>
    <n v="969364.5014000003"/>
    <n v="1073.4933570321155"/>
    <n v="312"/>
    <s v="Low Value"/>
    <s v="Oct-2024"/>
    <s v="Brother Laser Printer"/>
    <x v="1"/>
  </r>
  <r>
    <s v="PROD15"/>
    <s v="STORE15"/>
    <n v="3"/>
    <n v="248.43"/>
    <n v="0.24"/>
    <s v="COD"/>
    <n v="566.42039999999997"/>
    <n v="968772.91780000052"/>
    <n v="1074.027625055433"/>
    <n v="312"/>
    <s v="Low Value"/>
    <s v="Jul-2025"/>
    <s v="4K Home Projector"/>
    <x v="1"/>
  </r>
  <r>
    <s v="PROD85"/>
    <s v="STORE1"/>
    <n v="1"/>
    <n v="784.46"/>
    <n v="0.14000000000000001"/>
    <s v="COD"/>
    <n v="674.63560000000007"/>
    <n v="968206.49740000034"/>
    <n v="1074.591007103219"/>
    <n v="312"/>
    <s v="Low Value"/>
    <s v="Dec-2024"/>
    <s v="Women's Beanie Hat"/>
    <x v="4"/>
  </r>
  <r>
    <s v="PROD52"/>
    <s v="STORE10"/>
    <n v="3"/>
    <n v="70.88"/>
    <n v="0.27"/>
    <s v="COD"/>
    <n v="155.22720000000001"/>
    <n v="967531.86180000042"/>
    <n v="1075.0354020000004"/>
    <n v="312"/>
    <s v="Low Value"/>
    <s v="Mar-2024"/>
    <s v="Rugby Ball"/>
    <x v="0"/>
  </r>
  <r>
    <s v="PROD8"/>
    <s v="STORE1"/>
    <n v="3"/>
    <n v="324.29000000000002"/>
    <n v="0.16"/>
    <s v="COD"/>
    <n v="817.21080000000006"/>
    <n v="967376.63460000034"/>
    <n v="1076.0585479421584"/>
    <n v="312"/>
    <s v="Low Value"/>
    <s v="Dec-2024"/>
    <s v="Wireless Bluetooth Earbuds"/>
    <x v="1"/>
  </r>
  <r>
    <s v="PROD15"/>
    <s v="STORE3"/>
    <n v="4"/>
    <n v="243.92"/>
    <n v="0.02"/>
    <s v="PayPal"/>
    <n v="956.16639999999995"/>
    <n v="966559.42380000034"/>
    <n v="1076.3467971046775"/>
    <n v="312"/>
    <s v="Low Value"/>
    <s v="Jul-2025"/>
    <s v="4K Home Projector"/>
    <x v="1"/>
  </r>
  <r>
    <s v="PROD28"/>
    <s v="STORE13"/>
    <n v="1"/>
    <n v="664.35"/>
    <n v="0"/>
    <s v="Credit Card"/>
    <n v="664.35"/>
    <n v="965603.25740000035"/>
    <n v="1076.4807774804908"/>
    <n v="311"/>
    <s v="Low Value"/>
    <s v="Nov-2023"/>
    <s v="Sports Stopwatch Timer"/>
    <x v="0"/>
  </r>
  <r>
    <s v="PROD21"/>
    <s v="STORE10"/>
    <n v="2"/>
    <n v="218.07"/>
    <n v="0.19"/>
    <s v="PayPal"/>
    <n v="353.27339999999998"/>
    <n v="964938.90740000049"/>
    <n v="1076.940744866072"/>
    <n v="311"/>
    <s v="Low Value"/>
    <s v="Jun-2024"/>
    <s v="Multi-Purpose Storage Box"/>
    <x v="3"/>
  </r>
  <r>
    <s v="PROD15"/>
    <s v="STORE3"/>
    <n v="4"/>
    <n v="921.83"/>
    <n v="0.27"/>
    <s v="Credit Card"/>
    <n v="2691.7435999999998"/>
    <n v="964585.63400000043"/>
    <n v="1077.749311731844"/>
    <n v="310"/>
    <s v="High Value"/>
    <s v="Oct-2023"/>
    <s v="4K Home Projector"/>
    <x v="1"/>
  </r>
  <r>
    <s v="PROD50"/>
    <s v="STORE1"/>
    <n v="3"/>
    <n v="326.2"/>
    <n v="0.22"/>
    <s v="COD"/>
    <n v="763.30799999999999"/>
    <n v="961893.8904000005"/>
    <n v="1075.943948993289"/>
    <n v="310"/>
    <s v="Low Value"/>
    <s v="Jan-2025"/>
    <s v="Boxing Hand Wraps"/>
    <x v="0"/>
  </r>
  <r>
    <s v="PROD17"/>
    <s v="STORE19"/>
    <n v="1"/>
    <n v="244.25"/>
    <n v="0.09"/>
    <s v="PayPal"/>
    <n v="222.26750000000001"/>
    <n v="961130.58240000054"/>
    <n v="1076.294045240762"/>
    <n v="310"/>
    <s v="Low Value"/>
    <s v="Feb-2025"/>
    <s v="Soccer Training Cone Set"/>
    <x v="0"/>
  </r>
  <r>
    <s v="PROD61"/>
    <s v="STORE10"/>
    <n v="3"/>
    <n v="808.87"/>
    <n v="0.12"/>
    <s v="COD"/>
    <n v="2135.4168"/>
    <n v="960908.31490000046"/>
    <n v="1077.2514741031396"/>
    <n v="309"/>
    <s v="High Value"/>
    <s v="Jun-2024"/>
    <s v="Tennis Ball 3-Pack"/>
    <x v="0"/>
  </r>
  <r>
    <s v="PROD31"/>
    <s v="STORE2"/>
    <n v="3"/>
    <n v="826.15"/>
    <n v="0"/>
    <s v="PayPal"/>
    <n v="2478.4499999999998"/>
    <n v="958772.89810000046"/>
    <n v="1076.0638586980926"/>
    <n v="309"/>
    <s v="High Value"/>
    <s v="Apr-2024"/>
    <s v="Basketball"/>
    <x v="0"/>
  </r>
  <r>
    <s v="PROD24"/>
    <s v="STORE19"/>
    <n v="3"/>
    <n v="631.20000000000005"/>
    <n v="0.24"/>
    <s v="Credit Card"/>
    <n v="1439.136"/>
    <n v="956294.4481000005"/>
    <n v="1074.4881439325848"/>
    <n v="308"/>
    <s v="High Value"/>
    <s v="Dec-2024"/>
    <s v="Foldable Camping Chair"/>
    <x v="0"/>
  </r>
  <r>
    <s v="PROD58"/>
    <s v="STORE10"/>
    <n v="1"/>
    <n v="937.01"/>
    <n v="7.0000000000000007E-2"/>
    <s v="Credit Card"/>
    <n v="871.41929999999991"/>
    <n v="954855.31210000056"/>
    <n v="1074.0779663667047"/>
    <n v="308"/>
    <s v="Low Value"/>
    <s v="Jan-2024"/>
    <s v="Womens Cotton Scarf"/>
    <x v="4"/>
  </r>
  <r>
    <s v="PROD73"/>
    <s v="STORE5"/>
    <n v="2"/>
    <n v="644"/>
    <n v="0.04"/>
    <s v="PayPal"/>
    <n v="1236.48"/>
    <n v="953983.89280000038"/>
    <n v="1074.306185585586"/>
    <n v="308"/>
    <s v="High Value"/>
    <s v="Jan-2024"/>
    <s v="Shin Guards – Adult"/>
    <x v="0"/>
  </r>
  <r>
    <s v="PROD91"/>
    <s v="STORE5"/>
    <n v="3"/>
    <n v="629.58000000000004"/>
    <n v="0.05"/>
    <s v="Credit Card"/>
    <n v="1794.3030000000001"/>
    <n v="952747.41280000017"/>
    <n v="1074.1233515219844"/>
    <n v="307"/>
    <s v="High Value"/>
    <s v="Aug-2025"/>
    <s v="Women's High Heels"/>
    <x v="4"/>
  </r>
  <r>
    <s v="PROD87"/>
    <s v="STORE2"/>
    <n v="2"/>
    <n v="121.52"/>
    <n v="0.18"/>
    <s v="COD"/>
    <n v="199.2928"/>
    <n v="950953.10980000033"/>
    <n v="1073.3105076749439"/>
    <n v="307"/>
    <s v="Low Value"/>
    <s v="May-2025"/>
    <s v="LED Bedside Lamp"/>
    <x v="3"/>
  </r>
  <r>
    <s v="PROD65"/>
    <s v="STORE19"/>
    <n v="2"/>
    <n v="549.83000000000004"/>
    <n v="7.0000000000000007E-2"/>
    <s v="PayPal"/>
    <n v="1022.6838"/>
    <n v="950753.81700000039"/>
    <n v="1074.2980983050852"/>
    <n v="307"/>
    <s v="High Value"/>
    <s v="May-2024"/>
    <s v="Adjustable Dumbbells 20kg"/>
    <x v="0"/>
  </r>
  <r>
    <s v="PROD13"/>
    <s v="STORE8"/>
    <n v="3"/>
    <n v="278.38"/>
    <n v="0.03"/>
    <s v="Credit Card"/>
    <n v="810.08579999999995"/>
    <n v="949731.13320000039"/>
    <n v="1074.3564855203624"/>
    <n v="306"/>
    <s v="Low Value"/>
    <s v="Oct-2023"/>
    <s v="USB-C Fast Charger"/>
    <x v="1"/>
  </r>
  <r>
    <s v="PROD96"/>
    <s v="STORE3"/>
    <n v="4"/>
    <n v="723.66"/>
    <n v="0.03"/>
    <s v="PayPal"/>
    <n v="2807.8008"/>
    <n v="948921.04740000039"/>
    <n v="1074.6557728199325"/>
    <n v="306"/>
    <s v="High Value"/>
    <s v="Aug-2024"/>
    <s v="Women's Formal Blazer"/>
    <x v="4"/>
  </r>
  <r>
    <s v="PROD72"/>
    <s v="STORE9"/>
    <n v="1"/>
    <n v="724.74"/>
    <n v="0.15"/>
    <s v="PayPal"/>
    <n v="616.029"/>
    <n v="946113.24660000054"/>
    <n v="1072.6907557823135"/>
    <n v="305"/>
    <s v="Low Value"/>
    <s v="Jan-2025"/>
    <s v="Professional Jump Rope"/>
    <x v="0"/>
  </r>
  <r>
    <s v="PROD21"/>
    <s v="STORE4"/>
    <n v="2"/>
    <n v="961.84"/>
    <n v="0.25"/>
    <s v="PayPal"/>
    <n v="1442.76"/>
    <n v="945497.21760000067"/>
    <n v="1073.2091005675377"/>
    <n v="304"/>
    <s v="High Value"/>
    <s v="Dec-2023"/>
    <s v="Multi-Purpose Storage Box"/>
    <x v="3"/>
  </r>
  <r>
    <s v="PROD37"/>
    <s v="STORE16"/>
    <n v="4"/>
    <n v="21.12"/>
    <n v="0.18"/>
    <s v="COD"/>
    <n v="69.273600000000002"/>
    <n v="944054.45760000066"/>
    <n v="1072.7891563636372"/>
    <n v="303"/>
    <s v="Low Value"/>
    <s v="Jun-2024"/>
    <s v="Men's Casual Sneakers"/>
    <x v="4"/>
  </r>
  <r>
    <s v="PROD0"/>
    <s v="STORE4"/>
    <n v="3"/>
    <n v="819.93"/>
    <n v="0.08"/>
    <s v="PayPal"/>
    <n v="2263.0068000000001"/>
    <n v="943985.18400000047"/>
    <n v="1073.9308122866901"/>
    <n v="303"/>
    <s v="High Value"/>
    <s v="Oct-2024"/>
    <s v="Brother Laser Printer"/>
    <x v="1"/>
  </r>
  <r>
    <s v="PROD42"/>
    <s v="STORE0"/>
    <n v="2"/>
    <n v="700.95"/>
    <n v="0.18"/>
    <s v="Credit Card"/>
    <n v="1149.558"/>
    <n v="941722.17720000038"/>
    <n v="1072.5765116173125"/>
    <n v="302"/>
    <s v="High Value"/>
    <s v="Mar-2025"/>
    <s v="Smart Home WiFi Camera"/>
    <x v="1"/>
  </r>
  <r>
    <s v="PROD17"/>
    <s v="STORE14"/>
    <n v="2"/>
    <n v="456.38"/>
    <n v="0.12"/>
    <s v="Credit Card"/>
    <n v="803.22879999999998"/>
    <n v="940572.61920000042"/>
    <n v="1072.4887334093505"/>
    <n v="302"/>
    <s v="Low Value"/>
    <s v="Sep-2025"/>
    <s v="Soccer Training Cone Set"/>
    <x v="0"/>
  </r>
  <r>
    <s v="PROD76"/>
    <s v="STORE14"/>
    <n v="3"/>
    <n v="291.05"/>
    <n v="0.3"/>
    <s v="Credit Card"/>
    <n v="611.20500000000004"/>
    <n v="939769.3904000005"/>
    <n v="1072.7961077625575"/>
    <n v="302"/>
    <s v="Low Value"/>
    <s v="Jun-2024"/>
    <s v="Wireless Mouse"/>
    <x v="1"/>
  </r>
  <r>
    <s v="PROD95"/>
    <s v="STORE15"/>
    <n v="2"/>
    <n v="463.52"/>
    <n v="0.27"/>
    <s v="PayPal"/>
    <n v="676.73919999999998"/>
    <n v="939158.18540000042"/>
    <n v="1073.3236404571433"/>
    <n v="302"/>
    <s v="Low Value"/>
    <s v="Jan-2024"/>
    <s v="Sports Stopwatch Basic"/>
    <x v="0"/>
  </r>
  <r>
    <s v="PROD0"/>
    <s v="STORE17"/>
    <n v="3"/>
    <n v="241.64"/>
    <n v="0.28999999999999998"/>
    <s v="PayPal"/>
    <n v="514.69319999999993"/>
    <n v="938481.44620000047"/>
    <n v="1073.7773983981699"/>
    <n v="301"/>
    <s v="Low Value"/>
    <s v="Dec-2024"/>
    <s v="Brother Laser Printer"/>
    <x v="1"/>
  </r>
  <r>
    <s v="PROD30"/>
    <s v="STORE10"/>
    <n v="2"/>
    <n v="47.86"/>
    <n v="0.03"/>
    <s v="PayPal"/>
    <n v="92.848399999999998"/>
    <n v="937966.75300000061"/>
    <n v="1074.4178155784657"/>
    <n v="300"/>
    <s v="Low Value"/>
    <s v="Jun-2025"/>
    <s v="Stainless Steel Cutlery Set"/>
    <x v="3"/>
  </r>
  <r>
    <s v="PROD92"/>
    <s v="STORE3"/>
    <n v="1"/>
    <n v="805.07"/>
    <n v="0.06"/>
    <s v="COD"/>
    <n v="756.76580000000001"/>
    <n v="937873.90460000059"/>
    <n v="1075.5434685779824"/>
    <n v="299"/>
    <s v="Low Value"/>
    <s v="Aug-2024"/>
    <s v="Microwave Oven"/>
    <x v="3"/>
  </r>
  <r>
    <s v="PROD34"/>
    <s v="STORE1"/>
    <n v="3"/>
    <n v="848.48"/>
    <n v="0"/>
    <s v="COD"/>
    <n v="2545.44"/>
    <n v="937117.13880000042"/>
    <n v="1075.9094590126297"/>
    <n v="299"/>
    <s v="High Value"/>
    <s v="Apr-2025"/>
    <s v="Gaming Mechanical Keyboard"/>
    <x v="1"/>
  </r>
  <r>
    <s v="PROD53"/>
    <s v="STORE8"/>
    <n v="2"/>
    <n v="568.95000000000005"/>
    <n v="0.22"/>
    <s v="Credit Card"/>
    <n v="887.56200000000013"/>
    <n v="934571.69880000048"/>
    <n v="1074.2203434482765"/>
    <n v="299"/>
    <s v="Low Value"/>
    <s v="Aug-2024"/>
    <s v="Men's Track Pants"/>
    <x v="4"/>
  </r>
  <r>
    <s v="PROD53"/>
    <s v="STORE11"/>
    <n v="3"/>
    <n v="269.83999999999997"/>
    <n v="0.05"/>
    <s v="PayPal"/>
    <n v="769.04399999999998"/>
    <n v="933684.13680000056"/>
    <n v="1074.4351401611054"/>
    <n v="299"/>
    <s v="Low Value"/>
    <s v="Apr-2025"/>
    <s v="Men's Track Pants"/>
    <x v="4"/>
  </r>
  <r>
    <s v="PROD62"/>
    <s v="STORE13"/>
    <n v="4"/>
    <n v="267.36"/>
    <n v="0.27"/>
    <s v="PayPal"/>
    <n v="780.69119999999998"/>
    <n v="932915.09280000033"/>
    <n v="1074.7869732718898"/>
    <n v="298"/>
    <s v="Low Value"/>
    <s v="Mar-2025"/>
    <s v="Laptop Cooling Pad"/>
    <x v="1"/>
  </r>
  <r>
    <s v="PROD37"/>
    <s v="STORE1"/>
    <n v="1"/>
    <n v="438.41"/>
    <n v="0.09"/>
    <s v="Credit Card"/>
    <n v="398.95310000000012"/>
    <n v="932134.40160000033"/>
    <n v="1075.1261840830455"/>
    <n v="297"/>
    <s v="Low Value"/>
    <s v="Dec-2024"/>
    <s v="Men's Casual Sneakers"/>
    <x v="4"/>
  </r>
  <r>
    <s v="PROD51"/>
    <s v="STORE18"/>
    <n v="2"/>
    <n v="86.72"/>
    <n v="0.28000000000000003"/>
    <s v="COD"/>
    <n v="124.8768"/>
    <n v="931735.44850000052"/>
    <n v="1075.9069844110861"/>
    <n v="297"/>
    <s v="Low Value"/>
    <s v="May-2024"/>
    <s v="HDMI Cable – 2m"/>
    <x v="1"/>
  </r>
  <r>
    <s v="PROD89"/>
    <s v="STORE6"/>
    <n v="4"/>
    <n v="630.21"/>
    <n v="0.14000000000000001"/>
    <s v="COD"/>
    <n v="2167.9223999999999"/>
    <n v="931610.57170000032"/>
    <n v="1077.0064412716767"/>
    <n v="297"/>
    <s v="High Value"/>
    <s v="Mar-2025"/>
    <s v="Face Foundation Kit"/>
    <x v="2"/>
  </r>
  <r>
    <s v="PROD59"/>
    <s v="STORE6"/>
    <n v="3"/>
    <n v="180.84"/>
    <n v="0.03"/>
    <s v="PayPal"/>
    <n v="526.24439999999993"/>
    <n v="929442.64930000051"/>
    <n v="1075.7438070601859"/>
    <n v="297"/>
    <s v="Low Value"/>
    <s v="Oct-2024"/>
    <s v="Men's Hair Styling Gel"/>
    <x v="2"/>
  </r>
  <r>
    <s v="PROD64"/>
    <s v="STORE16"/>
    <n v="1"/>
    <n v="453.41"/>
    <n v="0.04"/>
    <s v="COD"/>
    <n v="435.27359999999999"/>
    <n v="928916.40490000055"/>
    <n v="1076.3805387022023"/>
    <n v="296"/>
    <s v="Low Value"/>
    <s v="May-2024"/>
    <s v="Matte Lipstick Set"/>
    <x v="2"/>
  </r>
  <r>
    <s v="PROD51"/>
    <s v="STORE6"/>
    <n v="1"/>
    <n v="629.09"/>
    <n v="0.02"/>
    <s v="Credit Card"/>
    <n v="616.50819999999999"/>
    <n v="928481.13130000059"/>
    <n v="1077.1242822505808"/>
    <n v="296"/>
    <s v="Low Value"/>
    <s v="Oct-2025"/>
    <s v="HDMI Cable – 2m"/>
    <x v="1"/>
  </r>
  <r>
    <s v="PROD77"/>
    <s v="STORE2"/>
    <n v="2"/>
    <n v="257.45"/>
    <n v="0"/>
    <s v="COD"/>
    <n v="514.9"/>
    <n v="927864.62310000055"/>
    <n v="1077.6592602787464"/>
    <n v="296"/>
    <s v="Low Value"/>
    <s v="Aug-2024"/>
    <s v="WiFi Mesh Router"/>
    <x v="1"/>
  </r>
  <r>
    <s v="PROD34"/>
    <s v="STORE15"/>
    <n v="2"/>
    <n v="696.61"/>
    <n v="0.17"/>
    <s v="PayPal"/>
    <n v="1156.3725999999999"/>
    <n v="927349.72310000064"/>
    <n v="1078.3136315116287"/>
    <n v="296"/>
    <s v="High Value"/>
    <s v="Jul-2025"/>
    <s v="Gaming Mechanical Keyboard"/>
    <x v="1"/>
  </r>
  <r>
    <s v="PROD46"/>
    <s v="STORE7"/>
    <n v="2"/>
    <n v="143.79"/>
    <n v="0.1"/>
    <s v="PayPal"/>
    <n v="258.822"/>
    <n v="926193.35050000076"/>
    <n v="1078.2227596041919"/>
    <n v="295"/>
    <s v="Low Value"/>
    <s v="May-2024"/>
    <s v="Men's Winter Jacket"/>
    <x v="4"/>
  </r>
  <r>
    <s v="PROD83"/>
    <s v="STORE1"/>
    <n v="3"/>
    <n v="460.93"/>
    <n v="0.19"/>
    <s v="COD"/>
    <n v="1120.0599"/>
    <n v="925934.5285000006"/>
    <n v="1079.1777721445228"/>
    <n v="294"/>
    <s v="High Value"/>
    <s v="Nov-2024"/>
    <s v="Hydrating Face Cleanser"/>
    <x v="2"/>
  </r>
  <r>
    <s v="PROD28"/>
    <s v="STORE9"/>
    <n v="2"/>
    <n v="67.55"/>
    <n v="0.03"/>
    <s v="Credit Card"/>
    <n v="131.047"/>
    <n v="924814.46860000084"/>
    <n v="1079.1300683780639"/>
    <n v="294"/>
    <s v="Low Value"/>
    <s v="Jan-2024"/>
    <s v="Sports Stopwatch Timer"/>
    <x v="0"/>
  </r>
  <r>
    <s v="PROD49"/>
    <s v="STORE1"/>
    <n v="3"/>
    <n v="803.31"/>
    <n v="0.1"/>
    <s v="PayPal"/>
    <n v="2168.9369999999999"/>
    <n v="924683.42160000082"/>
    <n v="1080.2376420560756"/>
    <n v="294"/>
    <s v="High Value"/>
    <s v="May-2024"/>
    <s v="Men's Roll-On Perfume"/>
    <x v="2"/>
  </r>
  <r>
    <s v="PROD16"/>
    <s v="STORE13"/>
    <n v="4"/>
    <n v="254.71"/>
    <n v="0.2"/>
    <s v="COD"/>
    <n v="815.07200000000012"/>
    <n v="922514.48460000067"/>
    <n v="1078.964309473685"/>
    <n v="293"/>
    <s v="Low Value"/>
    <s v="Jun-2025"/>
    <s v="Beard Grooming Kit"/>
    <x v="2"/>
  </r>
  <r>
    <s v="PROD50"/>
    <s v="STORE4"/>
    <n v="4"/>
    <n v="594.89"/>
    <n v="0.3"/>
    <s v="PayPal"/>
    <n v="1665.692"/>
    <n v="921699.41260000074"/>
    <n v="1079.2733168618277"/>
    <n v="293"/>
    <s v="High Value"/>
    <s v="Aug-2024"/>
    <s v="Boxing Hand Wraps"/>
    <x v="0"/>
  </r>
  <r>
    <s v="PROD91"/>
    <s v="STORE0"/>
    <n v="2"/>
    <n v="844.31"/>
    <n v="7.0000000000000007E-2"/>
    <s v="PayPal"/>
    <n v="1570.4166"/>
    <n v="920033.7206000007"/>
    <n v="1078.5858389214545"/>
    <n v="292"/>
    <s v="High Value"/>
    <s v="Jul-2025"/>
    <s v="Women's High Heels"/>
    <x v="4"/>
  </r>
  <r>
    <s v="PROD15"/>
    <s v="STORE6"/>
    <n v="4"/>
    <n v="101.33"/>
    <n v="0"/>
    <s v="Credit Card"/>
    <n v="405.32"/>
    <n v="918463.30400000059"/>
    <n v="1078.0085727699538"/>
    <n v="291"/>
    <s v="Low Value"/>
    <s v="Oct-2024"/>
    <s v="4K Home Projector"/>
    <x v="1"/>
  </r>
  <r>
    <s v="PROD26"/>
    <s v="STORE8"/>
    <n v="3"/>
    <n v="922.56"/>
    <n v="0.18"/>
    <s v="PayPal"/>
    <n v="2269.4976000000001"/>
    <n v="918057.98400000052"/>
    <n v="1078.7990411280853"/>
    <n v="291"/>
    <s v="High Value"/>
    <s v="Jun-2025"/>
    <s v="Wireless Bluetooth Speaker"/>
    <x v="1"/>
  </r>
  <r>
    <s v="PROD38"/>
    <s v="STORE14"/>
    <n v="4"/>
    <n v="867.19"/>
    <n v="7.0000000000000007E-2"/>
    <s v="COD"/>
    <n v="3225.9468000000002"/>
    <n v="915788.48640000063"/>
    <n v="1077.3982192941185"/>
    <n v="290"/>
    <s v="High Value"/>
    <s v="Mar-2024"/>
    <s v="Sports Water Hydration Pack"/>
    <x v="0"/>
  </r>
  <r>
    <s v="PROD83"/>
    <s v="STORE17"/>
    <n v="3"/>
    <n v="816.87"/>
    <n v="0.14000000000000001"/>
    <s v="PayPal"/>
    <n v="2107.5246000000002"/>
    <n v="912562.53960000037"/>
    <n v="1074.8675378091878"/>
    <n v="290"/>
    <s v="High Value"/>
    <s v="Jun-2024"/>
    <s v="Hydrating Face Cleanser"/>
    <x v="2"/>
  </r>
  <r>
    <s v="PROD65"/>
    <s v="STORE3"/>
    <n v="3"/>
    <n v="258.06"/>
    <n v="0"/>
    <s v="PayPal"/>
    <n v="774.18000000000006"/>
    <n v="910455.01500000025"/>
    <n v="1073.6497818396228"/>
    <n v="289"/>
    <s v="Low Value"/>
    <s v="Sep-2025"/>
    <s v="Adjustable Dumbbells 20kg"/>
    <x v="0"/>
  </r>
  <r>
    <s v="PROD38"/>
    <s v="STORE14"/>
    <n v="2"/>
    <n v="574.58000000000004"/>
    <n v="0.06"/>
    <s v="Credit Card"/>
    <n v="1080.2103999999999"/>
    <n v="909680.83500000031"/>
    <n v="1074.0033471074385"/>
    <n v="288"/>
    <s v="High Value"/>
    <s v="Feb-2025"/>
    <s v="Sports Water Hydration Pack"/>
    <x v="0"/>
  </r>
  <r>
    <s v="PROD83"/>
    <s v="STORE6"/>
    <n v="2"/>
    <n v="472.18"/>
    <n v="0.27"/>
    <s v="PayPal"/>
    <n v="689.38279999999997"/>
    <n v="908600.62460000033"/>
    <n v="1073.9960101654851"/>
    <n v="288"/>
    <s v="Low Value"/>
    <s v="Oct-2024"/>
    <s v="Hydrating Face Cleanser"/>
    <x v="2"/>
  </r>
  <r>
    <s v="PROD41"/>
    <s v="STORE5"/>
    <n v="2"/>
    <n v="20.47"/>
    <n v="0.12"/>
    <s v="COD"/>
    <n v="36.027200000000001"/>
    <n v="907911.24180000031"/>
    <n v="1074.451173727811"/>
    <n v="287"/>
    <s v="Low Value"/>
    <s v="Sep-2024"/>
    <s v="Yoga Exercise Mat"/>
    <x v="0"/>
  </r>
  <r>
    <s v="PROD22"/>
    <s v="STORE7"/>
    <n v="3"/>
    <n v="235.41"/>
    <n v="0.15"/>
    <s v="PayPal"/>
    <n v="600.29549999999995"/>
    <n v="907875.21460000018"/>
    <n v="1075.6815338862561"/>
    <n v="287"/>
    <s v="Low Value"/>
    <s v="Sep-2025"/>
    <s v="Carbon Fiber Tennis Racket"/>
    <x v="0"/>
  </r>
  <r>
    <s v="PROD78"/>
    <s v="STORE7"/>
    <n v="3"/>
    <n v="744.9"/>
    <n v="0.27"/>
    <s v="PayPal"/>
    <n v="1631.3309999999999"/>
    <n v="907274.91910000017"/>
    <n v="1076.2454556346383"/>
    <n v="286"/>
    <s v="High Value"/>
    <s v="Jun-2025"/>
    <s v="Essential Oil Diffuser"/>
    <x v="3"/>
  </r>
  <r>
    <s v="PROD18"/>
    <s v="STORE3"/>
    <n v="2"/>
    <n v="382.2"/>
    <n v="0.15"/>
    <s v="Credit Card"/>
    <n v="649.74"/>
    <n v="905643.58810000017"/>
    <n v="1075.5862091448932"/>
    <n v="285"/>
    <s v="Low Value"/>
    <s v="Sep-2024"/>
    <s v="Women's Denim Jeans"/>
    <x v="4"/>
  </r>
  <r>
    <s v="PROD90"/>
    <s v="STORE16"/>
    <n v="1"/>
    <n v="269.25"/>
    <n v="0.14000000000000001"/>
    <s v="PayPal"/>
    <n v="231.55500000000001"/>
    <n v="904993.84810000018"/>
    <n v="1076.0925661117719"/>
    <n v="285"/>
    <s v="Low Value"/>
    <s v="Aug-2025"/>
    <s v="Gaming Mouse Pad XL"/>
    <x v="1"/>
  </r>
  <r>
    <s v="PROD30"/>
    <s v="STORE11"/>
    <n v="2"/>
    <n v="723.75"/>
    <n v="0.03"/>
    <s v="PayPal"/>
    <n v="1404.075"/>
    <n v="904762.29310000024"/>
    <n v="1077.0979679761908"/>
    <n v="284"/>
    <s v="High Value"/>
    <s v="Mar-2024"/>
    <s v="Stainless Steel Cutlery Set"/>
    <x v="3"/>
  </r>
  <r>
    <s v="PROD19"/>
    <s v="STORE19"/>
    <n v="4"/>
    <n v="58.92"/>
    <n v="0.18"/>
    <s v="Credit Card"/>
    <n v="193.2576"/>
    <n v="903358.21810000029"/>
    <n v="1076.7082456495832"/>
    <n v="283"/>
    <s v="Low Value"/>
    <s v="Jun-2025"/>
    <s v="Knee Support Brace"/>
    <x v="0"/>
  </r>
  <r>
    <s v="PROD71"/>
    <s v="STORE10"/>
    <n v="2"/>
    <n v="913.08"/>
    <n v="0.26"/>
    <s v="Credit Card"/>
    <n v="1351.3584000000001"/>
    <n v="903164.96050000039"/>
    <n v="1077.7624826968979"/>
    <n v="283"/>
    <s v="High Value"/>
    <s v="May-2024"/>
    <s v="Hair Repair Oil Treatment"/>
    <x v="2"/>
  </r>
  <r>
    <s v="PROD81"/>
    <s v="STORE1"/>
    <n v="1"/>
    <n v="791.83"/>
    <n v="0.28000000000000003"/>
    <s v="PayPal"/>
    <n v="570.11760000000004"/>
    <n v="901813.60210000037"/>
    <n v="1077.4356058542419"/>
    <n v="283"/>
    <s v="Low Value"/>
    <s v="Feb-2025"/>
    <s v="Badminton Racket Set"/>
    <x v="0"/>
  </r>
  <r>
    <s v="PROD3"/>
    <s v="STORE15"/>
    <n v="1"/>
    <n v="74.290000000000006"/>
    <n v="0.3"/>
    <s v="COD"/>
    <n v="52.003"/>
    <n v="901243.48450000037"/>
    <n v="1078.0424455741631"/>
    <n v="282"/>
    <s v="Low Value"/>
    <s v="Aug-2024"/>
    <s v="Men's Running Jacket"/>
    <x v="4"/>
  </r>
  <r>
    <s v="PROD35"/>
    <s v="STORE0"/>
    <n v="2"/>
    <n v="961.68"/>
    <n v="0.27"/>
    <s v="PayPal"/>
    <n v="1404.0527999999999"/>
    <n v="901191.48150000034"/>
    <n v="1079.2712353293418"/>
    <n v="282"/>
    <s v="High Value"/>
    <s v="Nov-2023"/>
    <s v="Bedroom Table Lamp"/>
    <x v="3"/>
  </r>
  <r>
    <s v="PROD19"/>
    <s v="STORE14"/>
    <n v="1"/>
    <n v="90.72"/>
    <n v="0.1"/>
    <s v="PayPal"/>
    <n v="81.647999999999996"/>
    <n v="899787.4287000004"/>
    <n v="1078.8818089928063"/>
    <n v="281"/>
    <s v="Low Value"/>
    <s v="Mar-2025"/>
    <s v="Knee Support Brace"/>
    <x v="0"/>
  </r>
  <r>
    <s v="PROD58"/>
    <s v="STORE7"/>
    <n v="1"/>
    <n v="458.69"/>
    <n v="0.16"/>
    <s v="PayPal"/>
    <n v="385.2996"/>
    <n v="899705.78070000035"/>
    <n v="1080.0789684273714"/>
    <n v="280"/>
    <s v="Low Value"/>
    <s v="Feb-2025"/>
    <s v="Womens Cotton Scarf"/>
    <x v="4"/>
  </r>
  <r>
    <s v="PROD34"/>
    <s v="STORE7"/>
    <n v="1"/>
    <n v="168.29"/>
    <n v="0.05"/>
    <s v="PayPal"/>
    <n v="159.87549999999999"/>
    <n v="899320.48110000032"/>
    <n v="1080.9140397836543"/>
    <n v="279"/>
    <s v="Low Value"/>
    <s v="Feb-2024"/>
    <s v="Gaming Mechanical Keyboard"/>
    <x v="1"/>
  </r>
  <r>
    <s v="PROD17"/>
    <s v="STORE17"/>
    <n v="1"/>
    <n v="391.77"/>
    <n v="0.1"/>
    <s v="PayPal"/>
    <n v="352.59300000000002"/>
    <n v="899160.60560000024"/>
    <n v="1082.0223894103492"/>
    <n v="278"/>
    <s v="Low Value"/>
    <s v="Sep-2024"/>
    <s v="Soccer Training Cone Set"/>
    <x v="0"/>
  </r>
  <r>
    <s v="PROD12"/>
    <s v="STORE14"/>
    <n v="1"/>
    <n v="424.83"/>
    <n v="0.05"/>
    <s v="COD"/>
    <n v="403.58850000000001"/>
    <n v="898808.01260000037"/>
    <n v="1082.9012200000004"/>
    <n v="277"/>
    <s v="Low Value"/>
    <s v="Aug-2025"/>
    <s v="Hair Strengthening Shampoo"/>
    <x v="2"/>
  </r>
  <r>
    <s v="PROD11"/>
    <s v="STORE3"/>
    <n v="1"/>
    <n v="499.46"/>
    <n v="0.1"/>
    <s v="Credit Card"/>
    <n v="449.51400000000001"/>
    <n v="898404.42410000029"/>
    <n v="1083.7206563329316"/>
    <n v="277"/>
    <s v="Low Value"/>
    <s v="Jan-2024"/>
    <s v="HD Smart TV Stick"/>
    <x v="1"/>
  </r>
  <r>
    <s v="PROD99"/>
    <s v="STORE1"/>
    <n v="2"/>
    <n v="698.34"/>
    <n v="0.15"/>
    <s v="PayPal"/>
    <n v="1187.1780000000001"/>
    <n v="897954.91010000033"/>
    <n v="1084.4866064009666"/>
    <n v="277"/>
    <s v="High Value"/>
    <s v="Feb-2024"/>
    <s v="Stainless Steel Cookware Set"/>
    <x v="3"/>
  </r>
  <r>
    <s v="PROD56"/>
    <s v="STORE16"/>
    <n v="2"/>
    <n v="805.08"/>
    <n v="0.27"/>
    <s v="PayPal"/>
    <n v="1175.4168"/>
    <n v="896767.73210000026"/>
    <n v="1084.362433010883"/>
    <n v="276"/>
    <s v="High Value"/>
    <s v="Oct-2023"/>
    <s v="Premium Blanket Throw"/>
    <x v="3"/>
  </r>
  <r>
    <s v="PROD76"/>
    <s v="STORE2"/>
    <n v="4"/>
    <n v="934.79"/>
    <n v="0.08"/>
    <s v="PayPal"/>
    <n v="3440.0272"/>
    <n v="895592.31530000025"/>
    <n v="1084.2521976997582"/>
    <n v="275"/>
    <s v="High Value"/>
    <s v="Mar-2025"/>
    <s v="Wireless Mouse"/>
    <x v="1"/>
  </r>
  <r>
    <s v="PROD60"/>
    <s v="STORE1"/>
    <n v="2"/>
    <n v="424.54"/>
    <n v="0.24"/>
    <s v="PayPal"/>
    <n v="645.30080000000009"/>
    <n v="892152.28810000035"/>
    <n v="1081.3967128484853"/>
    <n v="274"/>
    <s v="Low Value"/>
    <s v="Oct-2025"/>
    <s v="Luxury Perfume Spray"/>
    <x v="2"/>
  </r>
  <r>
    <s v="PROD84"/>
    <s v="STORE17"/>
    <n v="1"/>
    <n v="235.44"/>
    <n v="0.19"/>
    <s v="COD"/>
    <n v="190.7064"/>
    <n v="891506.98730000027"/>
    <n v="1081.9259554611654"/>
    <n v="273"/>
    <s v="Low Value"/>
    <s v="Jun-2024"/>
    <s v="Wooden Bookshelf"/>
    <x v="3"/>
  </r>
  <r>
    <s v="PROD49"/>
    <s v="STORE13"/>
    <n v="2"/>
    <n v="620.71"/>
    <n v="0.27"/>
    <s v="Credit Card"/>
    <n v="906.23660000000007"/>
    <n v="891316.28090000025"/>
    <n v="1083.0088467800731"/>
    <n v="273"/>
    <s v="Low Value"/>
    <s v="Oct-2024"/>
    <s v="Men's Roll-On Perfume"/>
    <x v="2"/>
  </r>
  <r>
    <s v="PROD16"/>
    <s v="STORE11"/>
    <n v="2"/>
    <n v="851.77"/>
    <n v="0.13"/>
    <s v="PayPal"/>
    <n v="1482.0798"/>
    <n v="890410.0443000003"/>
    <n v="1083.2238981751827"/>
    <n v="273"/>
    <s v="High Value"/>
    <s v="Apr-2024"/>
    <s v="Beard Grooming Kit"/>
    <x v="2"/>
  </r>
  <r>
    <s v="PROD45"/>
    <s v="STORE1"/>
    <n v="3"/>
    <n v="876.01"/>
    <n v="0.2"/>
    <s v="Credit Card"/>
    <n v="2102.424"/>
    <n v="888927.96450000058"/>
    <n v="1082.7380809987826"/>
    <n v="272"/>
    <s v="High Value"/>
    <s v="Oct-2024"/>
    <s v="High-Grip Football"/>
    <x v="0"/>
  </r>
  <r>
    <s v="PROD27"/>
    <s v="STORE9"/>
    <n v="2"/>
    <n v="717.21"/>
    <n v="0.15"/>
    <s v="COD"/>
    <n v="1219.2570000000001"/>
    <n v="886825.54050000047"/>
    <n v="1081.4945615853665"/>
    <n v="272"/>
    <s v="High Value"/>
    <s v="Mar-2024"/>
    <s v="Decorative Floor Vase"/>
    <x v="3"/>
  </r>
  <r>
    <s v="PROD41"/>
    <s v="STORE8"/>
    <n v="2"/>
    <n v="871.43"/>
    <n v="0.05"/>
    <s v="Credit Card"/>
    <n v="1655.7170000000001"/>
    <n v="885606.28350000049"/>
    <n v="1081.3263534798541"/>
    <n v="272"/>
    <s v="High Value"/>
    <s v="Feb-2024"/>
    <s v="Yoga Exercise Mat"/>
    <x v="0"/>
  </r>
  <r>
    <s v="PROD36"/>
    <s v="STORE7"/>
    <n v="1"/>
    <n v="514.65"/>
    <n v="0.18"/>
    <s v="Credit Card"/>
    <n v="422.01299999999998"/>
    <n v="883950.56650000031"/>
    <n v="1080.6241644254283"/>
    <n v="272"/>
    <s v="Low Value"/>
    <s v="Jan-2024"/>
    <s v="Women's Summer Dress"/>
    <x v="4"/>
  </r>
  <r>
    <s v="PROD62"/>
    <s v="STORE16"/>
    <n v="3"/>
    <n v="198.76"/>
    <n v="0.28000000000000003"/>
    <s v="COD"/>
    <n v="429.32159999999999"/>
    <n v="883528.5535000005"/>
    <n v="1081.4302980416162"/>
    <n v="272"/>
    <s v="Low Value"/>
    <s v="Dec-2024"/>
    <s v="Laptop Cooling Pad"/>
    <x v="1"/>
  </r>
  <r>
    <s v="PROD63"/>
    <s v="STORE3"/>
    <n v="2"/>
    <n v="975.72"/>
    <n v="0.16"/>
    <s v="COD"/>
    <n v="1639.2095999999999"/>
    <n v="883099.23190000036"/>
    <n v="1082.2294508578436"/>
    <n v="272"/>
    <s v="High Value"/>
    <s v="Jun-2025"/>
    <s v="Organic Sunscreen Lotion"/>
    <x v="2"/>
  </r>
  <r>
    <s v="PROD15"/>
    <s v="STORE1"/>
    <n v="1"/>
    <n v="86.03"/>
    <n v="0.01"/>
    <s v="Credit Card"/>
    <n v="85.169700000000006"/>
    <n v="881460.02230000042"/>
    <n v="1081.5460396319024"/>
    <n v="272"/>
    <s v="Low Value"/>
    <s v="Aug-2024"/>
    <s v="4K Home Projector"/>
    <x v="1"/>
  </r>
  <r>
    <s v="PROD54"/>
    <s v="STORE12"/>
    <n v="4"/>
    <n v="705.12"/>
    <n v="0.15"/>
    <s v="PayPal"/>
    <n v="2397.4079999999999"/>
    <n v="881374.85260000022"/>
    <n v="1082.7700891891895"/>
    <n v="272"/>
    <s v="High Value"/>
    <s v="Aug-2025"/>
    <s v="Sports Stopwatch Pro"/>
    <x v="0"/>
  </r>
  <r>
    <s v="PROD18"/>
    <s v="STORE12"/>
    <n v="3"/>
    <n v="99.77"/>
    <n v="0.01"/>
    <s v="PayPal"/>
    <n v="296.31689999999998"/>
    <n v="878977.44460000016"/>
    <n v="1081.153068388684"/>
    <n v="271"/>
    <s v="Low Value"/>
    <s v="Nov-2024"/>
    <s v="Women's Denim Jeans"/>
    <x v="4"/>
  </r>
  <r>
    <s v="PROD34"/>
    <s v="STORE9"/>
    <n v="2"/>
    <n v="166.26"/>
    <n v="0.14000000000000001"/>
    <s v="PayPal"/>
    <n v="285.96719999999999"/>
    <n v="878681.12770000019"/>
    <n v="1082.1196153940889"/>
    <n v="270"/>
    <s v="Low Value"/>
    <s v="Aug-2024"/>
    <s v="Gaming Mechanical Keyboard"/>
    <x v="1"/>
  </r>
  <r>
    <s v="PROD26"/>
    <s v="STORE5"/>
    <n v="1"/>
    <n v="429.25"/>
    <n v="0.28999999999999998"/>
    <s v="Credit Card"/>
    <n v="304.76749999999998"/>
    <n v="878395.16050000035"/>
    <n v="1083.1013076448833"/>
    <n v="269"/>
    <s v="Low Value"/>
    <s v="Mar-2025"/>
    <s v="Wireless Bluetooth Speaker"/>
    <x v="1"/>
  </r>
  <r>
    <s v="PROD0"/>
    <s v="STORE9"/>
    <n v="2"/>
    <n v="540.48"/>
    <n v="0.28999999999999998"/>
    <s v="Credit Card"/>
    <n v="767.48159999999996"/>
    <n v="878090.39300000027"/>
    <n v="1084.0622135802473"/>
    <n v="269"/>
    <s v="Low Value"/>
    <s v="Jun-2024"/>
    <s v="Brother Laser Printer"/>
    <x v="1"/>
  </r>
  <r>
    <s v="PROD59"/>
    <s v="STORE14"/>
    <n v="2"/>
    <n v="579.52"/>
    <n v="0.01"/>
    <s v="PayPal"/>
    <n v="1147.4495999999999"/>
    <n v="877322.91140000022"/>
    <n v="1084.4535369592093"/>
    <n v="269"/>
    <s v="High Value"/>
    <s v="Oct-2025"/>
    <s v="Men's Hair Styling Gel"/>
    <x v="2"/>
  </r>
  <r>
    <s v="PROD69"/>
    <s v="STORE17"/>
    <n v="4"/>
    <n v="477.52"/>
    <n v="7.0000000000000007E-2"/>
    <s v="PayPal"/>
    <n v="1776.3743999999999"/>
    <n v="876175.46180000028"/>
    <n v="1084.3755715346538"/>
    <n v="268"/>
    <s v="High Value"/>
    <s v="Nov-2024"/>
    <s v="Men's Sports Shorts"/>
    <x v="4"/>
  </r>
  <r>
    <s v="PROD91"/>
    <s v="STORE6"/>
    <n v="3"/>
    <n v="242.58"/>
    <n v="0.25"/>
    <s v="Credit Card"/>
    <n v="545.80500000000006"/>
    <n v="874399.08740000043"/>
    <n v="1083.5180760842632"/>
    <n v="267"/>
    <s v="Low Value"/>
    <s v="Feb-2025"/>
    <s v="Women's High Heels"/>
    <x v="4"/>
  </r>
  <r>
    <s v="PROD26"/>
    <s v="STORE17"/>
    <n v="2"/>
    <n v="519.29999999999995"/>
    <n v="0.09"/>
    <s v="PayPal"/>
    <n v="945.12599999999998"/>
    <n v="873853.28240000049"/>
    <n v="1084.1852138957822"/>
    <n v="267"/>
    <s v="Low Value"/>
    <s v="Nov-2023"/>
    <s v="Wireless Bluetooth Speaker"/>
    <x v="1"/>
  </r>
  <r>
    <s v="PROD94"/>
    <s v="STORE11"/>
    <n v="3"/>
    <n v="845.67"/>
    <n v="0.12"/>
    <s v="COD"/>
    <n v="2232.5688"/>
    <n v="872908.15640000033"/>
    <n v="1084.35795826087"/>
    <n v="266"/>
    <s v="High Value"/>
    <s v="Jan-2025"/>
    <s v="Vitamin E Body Lotion"/>
    <x v="2"/>
  </r>
  <r>
    <s v="PROD55"/>
    <s v="STORE16"/>
    <n v="4"/>
    <n v="750.26"/>
    <n v="0.01"/>
    <s v="PayPal"/>
    <n v="2971.0295999999998"/>
    <n v="870675.58760000032"/>
    <n v="1082.9298353233835"/>
    <n v="266"/>
    <s v="High Value"/>
    <s v="Apr-2024"/>
    <s v="Ceramic Plant Pot"/>
    <x v="3"/>
  </r>
  <r>
    <s v="PROD92"/>
    <s v="STORE12"/>
    <n v="4"/>
    <n v="294.38"/>
    <n v="0.2"/>
    <s v="Credit Card"/>
    <n v="942.01600000000008"/>
    <n v="867704.55800000031"/>
    <n v="1080.5785280199257"/>
    <n v="265"/>
    <s v="Low Value"/>
    <s v="Mar-2024"/>
    <s v="Microwave Oven"/>
    <x v="3"/>
  </r>
  <r>
    <s v="PROD96"/>
    <s v="STORE2"/>
    <n v="3"/>
    <n v="583.52"/>
    <n v="7.0000000000000007E-2"/>
    <s v="PayPal"/>
    <n v="1628.0208"/>
    <n v="866762.54200000025"/>
    <n v="1080.7512992518707"/>
    <n v="265"/>
    <s v="High Value"/>
    <s v="Sep-2025"/>
    <s v="Women's Formal Blazer"/>
    <x v="4"/>
  </r>
  <r>
    <s v="PROD89"/>
    <s v="STORE16"/>
    <n v="2"/>
    <n v="635.22"/>
    <n v="0.3"/>
    <s v="COD"/>
    <n v="889.30799999999999"/>
    <n v="865134.52120000042"/>
    <n v="1080.0680664169793"/>
    <n v="264"/>
    <s v="Low Value"/>
    <s v="Jun-2024"/>
    <s v="Face Foundation Kit"/>
    <x v="2"/>
  </r>
  <r>
    <s v="PROD66"/>
    <s v="STORE2"/>
    <n v="1"/>
    <n v="743.55"/>
    <n v="0.11"/>
    <s v="COD"/>
    <n v="661.7595"/>
    <n v="864245.21320000023"/>
    <n v="1080.3065165000003"/>
    <n v="264"/>
    <s v="Low Value"/>
    <s v="Jan-2024"/>
    <s v="Women's Hair Dryer Brush"/>
    <x v="2"/>
  </r>
  <r>
    <s v="PROD44"/>
    <s v="STORE3"/>
    <n v="4"/>
    <n v="530.45000000000005"/>
    <n v="0.13"/>
    <s v="Credit Card"/>
    <n v="1845.9659999999999"/>
    <n v="863583.4537000003"/>
    <n v="1080.8303550688365"/>
    <n v="264"/>
    <s v="High Value"/>
    <s v="Mar-2024"/>
    <s v="Adjustable Jump Rope"/>
    <x v="0"/>
  </r>
  <r>
    <s v="PROD66"/>
    <s v="STORE9"/>
    <n v="2"/>
    <n v="972.4"/>
    <n v="0.06"/>
    <s v="COD"/>
    <n v="1828.1120000000001"/>
    <n v="861737.48770000052"/>
    <n v="1079.8715384711786"/>
    <n v="264"/>
    <s v="High Value"/>
    <s v="Mar-2024"/>
    <s v="Women's Hair Dryer Brush"/>
    <x v="2"/>
  </r>
  <r>
    <s v="PROD15"/>
    <s v="STORE18"/>
    <n v="3"/>
    <n v="197.93"/>
    <n v="0"/>
    <s v="COD"/>
    <n v="593.79"/>
    <n v="859909.37570000056"/>
    <n v="1078.9327173149318"/>
    <n v="264"/>
    <s v="Low Value"/>
    <s v="May-2025"/>
    <s v="4K Home Projector"/>
    <x v="1"/>
  </r>
  <r>
    <s v="PROD87"/>
    <s v="STORE11"/>
    <n v="4"/>
    <n v="565.51"/>
    <n v="0.16"/>
    <s v="PayPal"/>
    <n v="1900.1135999999999"/>
    <n v="859315.58570000029"/>
    <n v="1079.5421930904527"/>
    <n v="264"/>
    <s v="High Value"/>
    <s v="Oct-2024"/>
    <s v="LED Bedside Lamp"/>
    <x v="3"/>
  </r>
  <r>
    <s v="PROD39"/>
    <s v="STORE4"/>
    <n v="4"/>
    <n v="983.38"/>
    <n v="0.25"/>
    <s v="COD"/>
    <n v="2950.14"/>
    <n v="857415.47210000048"/>
    <n v="1078.5100277987428"/>
    <n v="263"/>
    <s v="High Value"/>
    <s v="Oct-2024"/>
    <s v="Portable Power Bank"/>
    <x v="1"/>
  </r>
  <r>
    <s v="PROD99"/>
    <s v="STORE9"/>
    <n v="1"/>
    <n v="955.06"/>
    <n v="0.14000000000000001"/>
    <s v="Credit Card"/>
    <n v="821.35159999999996"/>
    <n v="854465.33210000035"/>
    <n v="1076.1528112090684"/>
    <n v="263"/>
    <s v="Low Value"/>
    <s v="Nov-2023"/>
    <s v="Stainless Steel Cookware Set"/>
    <x v="3"/>
  </r>
  <r>
    <s v="PROD59"/>
    <s v="STORE15"/>
    <n v="3"/>
    <n v="597.46"/>
    <n v="0.02"/>
    <s v="PayPal"/>
    <n v="1756.5324000000001"/>
    <n v="853643.98050000041"/>
    <n v="1076.4741242118541"/>
    <n v="263"/>
    <s v="High Value"/>
    <s v="Feb-2025"/>
    <s v="Men's Hair Styling Gel"/>
    <x v="2"/>
  </r>
  <r>
    <s v="PROD8"/>
    <s v="STORE16"/>
    <n v="3"/>
    <n v="581.09"/>
    <n v="0.1"/>
    <s v="COD"/>
    <n v="1568.943"/>
    <n v="851887.4481000005"/>
    <n v="1075.6154647727278"/>
    <n v="262"/>
    <s v="High Value"/>
    <s v="Jun-2024"/>
    <s v="Wireless Bluetooth Earbuds"/>
    <x v="1"/>
  </r>
  <r>
    <s v="PROD30"/>
    <s v="STORE4"/>
    <n v="4"/>
    <n v="153.94999999999999"/>
    <n v="0.11"/>
    <s v="PayPal"/>
    <n v="548.06200000000001"/>
    <n v="850318.50510000053"/>
    <n v="1074.9917890012648"/>
    <n v="262"/>
    <s v="Low Value"/>
    <s v="Jul-2025"/>
    <s v="Stainless Steel Cutlery Set"/>
    <x v="3"/>
  </r>
  <r>
    <s v="PROD36"/>
    <s v="STORE8"/>
    <n v="4"/>
    <n v="271.04000000000002"/>
    <n v="0.12"/>
    <s v="COD"/>
    <n v="954.06080000000009"/>
    <n v="849770.44310000038"/>
    <n v="1075.6587887341777"/>
    <n v="261"/>
    <s v="Low Value"/>
    <s v="Aug-2024"/>
    <s v="Women's Summer Dress"/>
    <x v="4"/>
  </r>
  <r>
    <s v="PROD35"/>
    <s v="STORE6"/>
    <n v="4"/>
    <n v="328.27"/>
    <n v="0.09"/>
    <s v="PayPal"/>
    <n v="1194.9028000000001"/>
    <n v="848816.38230000052"/>
    <n v="1075.8129053231946"/>
    <n v="261"/>
    <s v="High Value"/>
    <s v="Sep-2024"/>
    <s v="Bedroom Table Lamp"/>
    <x v="3"/>
  </r>
  <r>
    <s v="PROD17"/>
    <s v="STORE14"/>
    <n v="4"/>
    <n v="884.71"/>
    <n v="0.09"/>
    <s v="PayPal"/>
    <n v="3220.3444"/>
    <n v="847621.47950000048"/>
    <n v="1075.661776015229"/>
    <n v="260"/>
    <s v="High Value"/>
    <s v="Jun-2024"/>
    <s v="Soccer Training Cone Set"/>
    <x v="0"/>
  </r>
  <r>
    <s v="PROD72"/>
    <s v="STORE4"/>
    <n v="1"/>
    <n v="41.39"/>
    <n v="0.01"/>
    <s v="Credit Card"/>
    <n v="40.976100000000002"/>
    <n v="844401.13510000042"/>
    <n v="1072.9366392630247"/>
    <n v="259"/>
    <s v="Low Value"/>
    <s v="Jun-2025"/>
    <s v="Professional Jump Rope"/>
    <x v="0"/>
  </r>
  <r>
    <s v="PROD57"/>
    <s v="STORE9"/>
    <n v="4"/>
    <n v="64.06"/>
    <n v="0.26"/>
    <s v="Credit Card"/>
    <n v="189.61760000000001"/>
    <n v="844360.15900000033"/>
    <n v="1074.2495661577611"/>
    <n v="259"/>
    <s v="Low Value"/>
    <s v="May-2025"/>
    <s v="Foam Roller"/>
    <x v="0"/>
  </r>
  <r>
    <s v="PROD46"/>
    <s v="STORE9"/>
    <n v="2"/>
    <n v="152.25"/>
    <n v="0.13"/>
    <s v="Credit Card"/>
    <n v="264.91500000000002"/>
    <n v="844170.54140000034"/>
    <n v="1075.3764858598731"/>
    <n v="259"/>
    <s v="Low Value"/>
    <s v="Jul-2025"/>
    <s v="Men's Winter Jacket"/>
    <x v="4"/>
  </r>
  <r>
    <s v="PROD13"/>
    <s v="STORE19"/>
    <n v="2"/>
    <n v="889.04"/>
    <n v="0.23"/>
    <s v="Credit Card"/>
    <n v="1369.1215999999999"/>
    <n v="843905.6264000003"/>
    <n v="1076.4102377551023"/>
    <n v="259"/>
    <s v="High Value"/>
    <s v="Dec-2023"/>
    <s v="USB-C Fast Charger"/>
    <x v="1"/>
  </r>
  <r>
    <s v="PROD37"/>
    <s v="STORE10"/>
    <n v="3"/>
    <n v="145.25"/>
    <n v="0.24"/>
    <s v="PayPal"/>
    <n v="331.17"/>
    <n v="842536.50480000034"/>
    <n v="1076.0364045977017"/>
    <n v="259"/>
    <s v="Low Value"/>
    <s v="Jan-2024"/>
    <s v="Men's Casual Sneakers"/>
    <x v="4"/>
  </r>
  <r>
    <s v="PROD88"/>
    <s v="STORE2"/>
    <n v="2"/>
    <n v="898.45"/>
    <n v="0.28999999999999998"/>
    <s v="COD"/>
    <n v="1275.799"/>
    <n v="842205.33480000042"/>
    <n v="1076.9889191815862"/>
    <n v="258"/>
    <s v="High Value"/>
    <s v="Sep-2024"/>
    <s v="Sports Wrist Sweatbands"/>
    <x v="0"/>
  </r>
  <r>
    <s v="PROD35"/>
    <s v="STORE15"/>
    <n v="4"/>
    <n v="642.04999999999995"/>
    <n v="0.25"/>
    <s v="Credit Card"/>
    <n v="1926.15"/>
    <n v="840929.5358000003"/>
    <n v="1076.7343608194626"/>
    <n v="258"/>
    <s v="High Value"/>
    <s v="Sep-2025"/>
    <s v="Bedroom Table Lamp"/>
    <x v="3"/>
  </r>
  <r>
    <s v="PROD84"/>
    <s v="STORE7"/>
    <n v="4"/>
    <n v="450.83"/>
    <n v="0.24"/>
    <s v="Credit Card"/>
    <n v="1370.5232000000001"/>
    <n v="839003.3858000004"/>
    <n v="1075.6453664102569"/>
    <n v="258"/>
    <s v="High Value"/>
    <s v="Aug-2024"/>
    <s v="Wooden Bookshelf"/>
    <x v="3"/>
  </r>
  <r>
    <s v="PROD52"/>
    <s v="STORE19"/>
    <n v="2"/>
    <n v="441.03"/>
    <n v="0.23"/>
    <s v="COD"/>
    <n v="679.18619999999999"/>
    <n v="837632.86260000046"/>
    <n v="1075.2668326059056"/>
    <n v="258"/>
    <s v="Low Value"/>
    <s v="Oct-2023"/>
    <s v="Rugby Ball"/>
    <x v="0"/>
  </r>
  <r>
    <s v="PROD25"/>
    <s v="STORE2"/>
    <n v="3"/>
    <n v="377.69"/>
    <n v="7.0000000000000007E-2"/>
    <s v="PayPal"/>
    <n v="1053.7551000000001"/>
    <n v="836953.67640000035"/>
    <n v="1075.775933676093"/>
    <n v="258"/>
    <s v="High Value"/>
    <s v="Apr-2024"/>
    <s v="Women's Scarf Set"/>
    <x v="4"/>
  </r>
  <r>
    <s v="PROD10"/>
    <s v="STORE7"/>
    <n v="1"/>
    <n v="457.33"/>
    <n v="0.27"/>
    <s v="Credit Card"/>
    <n v="333.85090000000002"/>
    <n v="835899.92130000039"/>
    <n v="1075.804274517375"/>
    <n v="257"/>
    <s v="Low Value"/>
    <s v="May-2024"/>
    <s v="Ceramic Kitchen Bowl Set"/>
    <x v="3"/>
  </r>
  <r>
    <s v="PROD76"/>
    <s v="STORE6"/>
    <n v="4"/>
    <n v="218.01"/>
    <n v="0.06"/>
    <s v="Credit Card"/>
    <n v="819.71759999999995"/>
    <n v="835566.07040000043"/>
    <n v="1076.7604000000006"/>
    <n v="257"/>
    <s v="Low Value"/>
    <s v="Aug-2025"/>
    <s v="Wireless Mouse"/>
    <x v="1"/>
  </r>
  <r>
    <s v="PROD92"/>
    <s v="STORE18"/>
    <n v="2"/>
    <n v="682.7"/>
    <n v="0.13"/>
    <s v="Credit Card"/>
    <n v="1187.8979999999999"/>
    <n v="834746.35280000034"/>
    <n v="1077.0920681290327"/>
    <n v="257"/>
    <s v="High Value"/>
    <s v="Oct-2025"/>
    <s v="Microwave Oven"/>
    <x v="3"/>
  </r>
  <r>
    <s v="PROD19"/>
    <s v="STORE18"/>
    <n v="3"/>
    <n v="726.97"/>
    <n v="0.04"/>
    <s v="PayPal"/>
    <n v="2093.6736000000001"/>
    <n v="833558.45480000053"/>
    <n v="1076.9489080103367"/>
    <n v="257"/>
    <s v="High Value"/>
    <s v="Feb-2024"/>
    <s v="Knee Support Brace"/>
    <x v="0"/>
  </r>
  <r>
    <s v="PROD59"/>
    <s v="STORE9"/>
    <n v="2"/>
    <n v="107.97"/>
    <n v="0.06"/>
    <s v="Credit Card"/>
    <n v="202.9836"/>
    <n v="831464.78120000043"/>
    <n v="1075.6336108667535"/>
    <n v="256"/>
    <s v="Low Value"/>
    <s v="Jan-2025"/>
    <s v="Men's Hair Styling Gel"/>
    <x v="2"/>
  </r>
  <r>
    <s v="PROD5"/>
    <s v="STORE14"/>
    <n v="1"/>
    <n v="38.880000000000003"/>
    <n v="0.16"/>
    <s v="COD"/>
    <n v="32.659199999999998"/>
    <n v="831261.79760000028"/>
    <n v="1076.7639865284978"/>
    <n v="256"/>
    <s v="Low Value"/>
    <s v="May-2025"/>
    <s v="Men's Leather Belt"/>
    <x v="4"/>
  </r>
  <r>
    <s v="PROD16"/>
    <s v="STORE17"/>
    <n v="3"/>
    <n v="484.39"/>
    <n v="0.28999999999999998"/>
    <s v="COD"/>
    <n v="1031.7507000000001"/>
    <n v="831229.1384000004"/>
    <n v="1078.1182080415051"/>
    <n v="256"/>
    <s v="High Value"/>
    <s v="Jun-2025"/>
    <s v="Beard Grooming Kit"/>
    <x v="2"/>
  </r>
  <r>
    <s v="PROD80"/>
    <s v="STORE15"/>
    <n v="2"/>
    <n v="949.3"/>
    <n v="0.08"/>
    <s v="COD"/>
    <n v="1746.712"/>
    <n v="830197.38770000043"/>
    <n v="1078.1784255844161"/>
    <n v="256"/>
    <s v="High Value"/>
    <s v="Oct-2024"/>
    <s v="Wall-Mounted Spice Rack"/>
    <x v="3"/>
  </r>
  <r>
    <s v="PROD71"/>
    <s v="STORE6"/>
    <n v="3"/>
    <n v="664.75"/>
    <n v="0.12"/>
    <s v="Credit Card"/>
    <n v="1754.94"/>
    <n v="828450.67570000037"/>
    <n v="1077.3090711313398"/>
    <n v="256"/>
    <s v="High Value"/>
    <s v="Nov-2023"/>
    <s v="Hair Repair Oil Treatment"/>
    <x v="2"/>
  </r>
  <r>
    <s v="PROD70"/>
    <s v="STORE17"/>
    <n v="3"/>
    <n v="190.04"/>
    <n v="7.0000000000000007E-2"/>
    <s v="PayPal"/>
    <n v="530.21159999999998"/>
    <n v="826695.73570000043"/>
    <n v="1076.426739192709"/>
    <n v="256"/>
    <s v="Low Value"/>
    <s v="Mar-2025"/>
    <s v="Kitchen Storage Rack"/>
    <x v="3"/>
  </r>
  <r>
    <s v="PROD7"/>
    <s v="STORE15"/>
    <n v="3"/>
    <n v="754.02"/>
    <n v="0.1"/>
    <s v="COD"/>
    <n v="2035.854"/>
    <n v="826165.52410000039"/>
    <n v="1077.1388840938728"/>
    <n v="255"/>
    <s v="High Value"/>
    <s v="Jul-2025"/>
    <s v="LED Table Lamp"/>
    <x v="3"/>
  </r>
  <r>
    <s v="PROD34"/>
    <s v="STORE12"/>
    <n v="4"/>
    <n v="94.13"/>
    <n v="0.04"/>
    <s v="COD"/>
    <n v="361.45920000000001"/>
    <n v="824129.67010000034"/>
    <n v="1075.8872977806793"/>
    <n v="255"/>
    <s v="Low Value"/>
    <s v="Aug-2024"/>
    <s v="Gaming Mechanical Keyboard"/>
    <x v="1"/>
  </r>
  <r>
    <s v="PROD1"/>
    <s v="STORE15"/>
    <n v="3"/>
    <n v="402.3"/>
    <n v="0.21"/>
    <s v="PayPal"/>
    <n v="953.45100000000014"/>
    <n v="823768.21090000041"/>
    <n v="1076.8211907189548"/>
    <n v="255"/>
    <s v="Low Value"/>
    <s v="Jul-2024"/>
    <s v="Men's Graphic T-Shirt"/>
    <x v="4"/>
  </r>
  <r>
    <s v="PROD86"/>
    <s v="STORE7"/>
    <n v="1"/>
    <n v="729.05"/>
    <n v="0.06"/>
    <s v="COD"/>
    <n v="685.3069999999999"/>
    <n v="822814.75990000053"/>
    <n v="1076.9826700261788"/>
    <n v="254"/>
    <s v="Low Value"/>
    <s v="Sep-2025"/>
    <s v="Kitchen Cutting Board"/>
    <x v="3"/>
  </r>
  <r>
    <s v="PROD90"/>
    <s v="STORE13"/>
    <n v="1"/>
    <n v="822.6"/>
    <n v="0.28999999999999998"/>
    <s v="PayPal"/>
    <n v="584.04599999999994"/>
    <n v="822129.4529000005"/>
    <n v="1077.496006422019"/>
    <n v="254"/>
    <s v="Low Value"/>
    <s v="Sep-2025"/>
    <s v="Gaming Mouse Pad XL"/>
    <x v="1"/>
  </r>
  <r>
    <s v="PROD83"/>
    <s v="STORE8"/>
    <n v="2"/>
    <n v="327.25"/>
    <n v="0.19"/>
    <s v="PayPal"/>
    <n v="530.14499999999998"/>
    <n v="821545.40690000041"/>
    <n v="1078.1435786089244"/>
    <n v="253"/>
    <s v="Low Value"/>
    <s v="Apr-2025"/>
    <s v="Hydrating Face Cleanser"/>
    <x v="2"/>
  </r>
  <r>
    <s v="PROD70"/>
    <s v="STORE9"/>
    <n v="4"/>
    <n v="930.38"/>
    <n v="0"/>
    <s v="COD"/>
    <n v="3721.52"/>
    <n v="821015.26190000039"/>
    <n v="1078.8636818659663"/>
    <n v="252"/>
    <s v="High Value"/>
    <s v="Nov-2024"/>
    <s v="Kitchen Storage Rack"/>
    <x v="3"/>
  </r>
  <r>
    <s v="PROD27"/>
    <s v="STORE5"/>
    <n v="2"/>
    <n v="437.84"/>
    <n v="0.24"/>
    <s v="Credit Card"/>
    <n v="665.51679999999999"/>
    <n v="817293.74190000037"/>
    <n v="1075.3865025000005"/>
    <n v="252"/>
    <s v="Low Value"/>
    <s v="Apr-2024"/>
    <s v="Decorative Floor Vase"/>
    <x v="3"/>
  </r>
  <r>
    <s v="PROD16"/>
    <s v="STORE16"/>
    <n v="2"/>
    <n v="126.02"/>
    <n v="0.09"/>
    <s v="COD"/>
    <n v="229.35640000000001"/>
    <n v="816628.22510000027"/>
    <n v="1075.9265152832679"/>
    <n v="252"/>
    <s v="Low Value"/>
    <s v="May-2025"/>
    <s v="Beard Grooming Kit"/>
    <x v="2"/>
  </r>
  <r>
    <s v="PROD83"/>
    <s v="STORE15"/>
    <n v="1"/>
    <n v="860.84"/>
    <n v="7.0000000000000007E-2"/>
    <s v="PayPal"/>
    <n v="800.58119999999997"/>
    <n v="816398.86870000034"/>
    <n v="1077.0433624010559"/>
    <n v="252"/>
    <s v="Low Value"/>
    <s v="Feb-2025"/>
    <s v="Hydrating Face Cleanser"/>
    <x v="2"/>
  </r>
  <r>
    <s v="PROD48"/>
    <s v="STORE13"/>
    <n v="1"/>
    <n v="161.80000000000001"/>
    <n v="0.24"/>
    <s v="PayPal"/>
    <n v="122.968"/>
    <n v="815598.28750000021"/>
    <n v="1077.4085700132102"/>
    <n v="251"/>
    <s v="Low Value"/>
    <s v="Jan-2025"/>
    <s v="Car Dashboard Phone Holder"/>
    <x v="1"/>
  </r>
  <r>
    <s v="PROD38"/>
    <s v="STORE17"/>
    <n v="4"/>
    <n v="347.82"/>
    <n v="0.02"/>
    <s v="COD"/>
    <n v="1363.4544000000001"/>
    <n v="815475.31950000033"/>
    <n v="1078.671057539683"/>
    <n v="250"/>
    <s v="High Value"/>
    <s v="Jan-2025"/>
    <s v="Sports Water Hydration Pack"/>
    <x v="0"/>
  </r>
  <r>
    <s v="PROD85"/>
    <s v="STORE16"/>
    <n v="3"/>
    <n v="416.44"/>
    <n v="0.27"/>
    <s v="Credit Card"/>
    <n v="912.00359999999989"/>
    <n v="814111.86510000017"/>
    <n v="1078.2938610596029"/>
    <n v="250"/>
    <s v="Low Value"/>
    <s v="Jan-2024"/>
    <s v="Women's Beanie Hat"/>
    <x v="4"/>
  </r>
  <r>
    <s v="PROD62"/>
    <s v="STORE0"/>
    <n v="1"/>
    <n v="147.96"/>
    <n v="0.24"/>
    <s v="COD"/>
    <n v="112.4496"/>
    <n v="813199.86150000023"/>
    <n v="1078.5144051724142"/>
    <n v="250"/>
    <s v="Low Value"/>
    <s v="Aug-2025"/>
    <s v="Laptop Cooling Pad"/>
    <x v="1"/>
  </r>
  <r>
    <s v="PROD18"/>
    <s v="STORE8"/>
    <n v="3"/>
    <n v="550.26"/>
    <n v="0.22"/>
    <s v="Credit Card"/>
    <n v="1287.6084000000001"/>
    <n v="813087.4119000003"/>
    <n v="1079.7973597609566"/>
    <n v="250"/>
    <s v="High Value"/>
    <s v="Sep-2024"/>
    <s v="Women's Denim Jeans"/>
    <x v="4"/>
  </r>
  <r>
    <s v="PROD97"/>
    <s v="STORE7"/>
    <n v="4"/>
    <n v="938.21"/>
    <n v="0.04"/>
    <s v="PayPal"/>
    <n v="3602.7264"/>
    <n v="811799.80350000027"/>
    <n v="1079.5210152925536"/>
    <n v="250"/>
    <s v="High Value"/>
    <s v="Dec-2023"/>
    <s v="Cricket Bat"/>
    <x v="0"/>
  </r>
  <r>
    <s v="PROD94"/>
    <s v="STORE16"/>
    <n v="3"/>
    <n v="517.98"/>
    <n v="0.01"/>
    <s v="PayPal"/>
    <n v="1538.4005999999999"/>
    <n v="808197.07710000023"/>
    <n v="1076.1612211717713"/>
    <n v="249"/>
    <s v="High Value"/>
    <s v="Jun-2024"/>
    <s v="Vitamin E Body Lotion"/>
    <x v="2"/>
  </r>
  <r>
    <s v="PROD6"/>
    <s v="STORE8"/>
    <n v="1"/>
    <n v="98.27"/>
    <n v="0.16"/>
    <s v="PayPal"/>
    <n v="82.54679999999999"/>
    <n v="806658.67650000041"/>
    <n v="1075.5449020000005"/>
    <n v="248"/>
    <s v="Low Value"/>
    <s v="Jul-2025"/>
    <s v="Herbal Face Moisturizer"/>
    <x v="2"/>
  </r>
  <r>
    <s v="PROD48"/>
    <s v="STORE11"/>
    <n v="2"/>
    <n v="875.2"/>
    <n v="0.19"/>
    <s v="Credit Card"/>
    <n v="1417.8240000000001"/>
    <n v="806576.12970000028"/>
    <n v="1076.8706671562086"/>
    <n v="247"/>
    <s v="High Value"/>
    <s v="Jul-2024"/>
    <s v="Car Dashboard Phone Holder"/>
    <x v="1"/>
  </r>
  <r>
    <s v="PROD86"/>
    <s v="STORE0"/>
    <n v="1"/>
    <n v="227.35"/>
    <n v="0.06"/>
    <s v="COD"/>
    <n v="213.709"/>
    <n v="805158.30570000026"/>
    <n v="1076.4148471925137"/>
    <n v="247"/>
    <s v="Low Value"/>
    <s v="Feb-2024"/>
    <s v="Kitchen Cutting Board"/>
    <x v="3"/>
  </r>
  <r>
    <s v="PROD74"/>
    <s v="STORE1"/>
    <n v="1"/>
    <n v="842.46"/>
    <n v="0.05"/>
    <s v="COD"/>
    <n v="800.33699999999999"/>
    <n v="804944.59670000023"/>
    <n v="1077.5697412315933"/>
    <n v="247"/>
    <s v="Low Value"/>
    <s v="Nov-2023"/>
    <s v="Bluetooth Car Audio System"/>
    <x v="1"/>
  </r>
  <r>
    <s v="PROD36"/>
    <s v="STORE11"/>
    <n v="3"/>
    <n v="120.67"/>
    <n v="0.08"/>
    <s v="COD"/>
    <n v="333.04919999999998"/>
    <n v="804144.2597000004"/>
    <n v="1077.9413668900809"/>
    <n v="247"/>
    <s v="Low Value"/>
    <s v="Sep-2024"/>
    <s v="Women's Summer Dress"/>
    <x v="4"/>
  </r>
  <r>
    <s v="PROD20"/>
    <s v="STORE3"/>
    <n v="4"/>
    <n v="176.13"/>
    <n v="0.27"/>
    <s v="PayPal"/>
    <n v="514.29959999999994"/>
    <n v="803811.21050000039"/>
    <n v="1078.9412221476516"/>
    <n v="247"/>
    <s v="Low Value"/>
    <s v="Apr-2024"/>
    <s v="Outdoor Sports Water Bottle"/>
    <x v="0"/>
  </r>
  <r>
    <s v="PROD63"/>
    <s v="STORE11"/>
    <n v="4"/>
    <n v="592.67999999999995"/>
    <n v="0.03"/>
    <s v="Credit Card"/>
    <n v="2299.5983999999999"/>
    <n v="803296.91090000013"/>
    <n v="1079.7001490591399"/>
    <n v="246"/>
    <s v="High Value"/>
    <s v="Jan-2025"/>
    <s v="Organic Sunscreen Lotion"/>
    <x v="2"/>
  </r>
  <r>
    <s v="PROD70"/>
    <s v="STORE4"/>
    <n v="4"/>
    <n v="662.43"/>
    <n v="0.24"/>
    <s v="PayPal"/>
    <n v="2013.7872"/>
    <n v="800997.31250000012"/>
    <n v="1078.0582940780621"/>
    <n v="246"/>
    <s v="High Value"/>
    <s v="Mar-2024"/>
    <s v="Kitchen Storage Rack"/>
    <x v="3"/>
  </r>
  <r>
    <s v="PROD43"/>
    <s v="STORE8"/>
    <n v="3"/>
    <n v="518.35"/>
    <n v="0.21"/>
    <s v="COD"/>
    <n v="1228.4894999999999"/>
    <n v="798983.52530000021"/>
    <n v="1076.7972039083561"/>
    <n v="245"/>
    <s v="High Value"/>
    <s v="Jul-2024"/>
    <s v="USB External Hard Drive"/>
    <x v="1"/>
  </r>
  <r>
    <s v="PROD61"/>
    <s v="STORE5"/>
    <n v="1"/>
    <n v="85.58"/>
    <n v="0.1"/>
    <s v="COD"/>
    <n v="77.022000000000006"/>
    <n v="797755.03580000007"/>
    <n v="1076.5924909581647"/>
    <n v="245"/>
    <s v="Low Value"/>
    <s v="Aug-2024"/>
    <s v="Tennis Ball 3-Pack"/>
    <x v="0"/>
  </r>
  <r>
    <s v="PROD87"/>
    <s v="STORE1"/>
    <n v="4"/>
    <n v="800"/>
    <n v="0.2"/>
    <s v="Credit Card"/>
    <n v="2560"/>
    <n v="797678.01380000019"/>
    <n v="1077.9432618918922"/>
    <n v="245"/>
    <s v="High Value"/>
    <s v="Feb-2024"/>
    <s v="LED Bedside Lamp"/>
    <x v="3"/>
  </r>
  <r>
    <s v="PROD60"/>
    <s v="STORE10"/>
    <n v="3"/>
    <n v="118.25"/>
    <n v="0.26"/>
    <s v="PayPal"/>
    <n v="262.51499999999999"/>
    <n v="795118.01380000019"/>
    <n v="1075.9377723951288"/>
    <n v="245"/>
    <s v="Low Value"/>
    <s v="Aug-2025"/>
    <s v="Luxury Perfume Spray"/>
    <x v="2"/>
  </r>
  <r>
    <s v="PROD32"/>
    <s v="STORE15"/>
    <n v="1"/>
    <n v="223.25"/>
    <n v="0.28999999999999998"/>
    <s v="Credit Card"/>
    <n v="158.50749999999999"/>
    <n v="794855.49880000029"/>
    <n v="1077.039971273713"/>
    <n v="244"/>
    <s v="Low Value"/>
    <s v="Nov-2023"/>
    <s v="Vitamin C Face Serum"/>
    <x v="2"/>
  </r>
  <r>
    <s v="PROD32"/>
    <s v="STORE4"/>
    <n v="3"/>
    <n v="918.76"/>
    <n v="0.2"/>
    <s v="PayPal"/>
    <n v="2205.0239999999999"/>
    <n v="794696.99130000023"/>
    <n v="1078.2862839891454"/>
    <n v="244"/>
    <s v="High Value"/>
    <s v="Aug-2024"/>
    <s v="Vitamin C Face Serum"/>
    <x v="2"/>
  </r>
  <r>
    <s v="PROD84"/>
    <s v="STORE13"/>
    <n v="2"/>
    <n v="905.26"/>
    <n v="0.15"/>
    <s v="COD"/>
    <n v="1538.942"/>
    <n v="792491.96730000025"/>
    <n v="1076.7553903532612"/>
    <n v="243"/>
    <s v="High Value"/>
    <s v="Jul-2024"/>
    <s v="Wooden Bookshelf"/>
    <x v="3"/>
  </r>
  <r>
    <s v="PROD16"/>
    <s v="STORE19"/>
    <n v="4"/>
    <n v="295.39999999999998"/>
    <n v="0.23"/>
    <s v="PayPal"/>
    <n v="909.83199999999999"/>
    <n v="790953.02530000021"/>
    <n v="1076.126565034014"/>
    <n v="243"/>
    <s v="Low Value"/>
    <s v="Dec-2024"/>
    <s v="Beard Grooming Kit"/>
    <x v="2"/>
  </r>
  <r>
    <s v="PROD94"/>
    <s v="STORE5"/>
    <n v="1"/>
    <n v="252.18"/>
    <n v="0.23"/>
    <s v="PayPal"/>
    <n v="194.17859999999999"/>
    <n v="790043.19330000004"/>
    <n v="1076.3531243869211"/>
    <n v="242"/>
    <s v="Low Value"/>
    <s v="Jul-2025"/>
    <s v="Vitamin E Body Lotion"/>
    <x v="2"/>
  </r>
  <r>
    <s v="PROD97"/>
    <s v="STORE12"/>
    <n v="4"/>
    <n v="792.1"/>
    <n v="0.19"/>
    <s v="COD"/>
    <n v="2566.404"/>
    <n v="789849.01470000006"/>
    <n v="1077.5566366984995"/>
    <n v="241"/>
    <s v="High Value"/>
    <s v="Aug-2025"/>
    <s v="Cricket Bat"/>
    <x v="0"/>
  </r>
  <r>
    <s v="PROD88"/>
    <s v="STORE14"/>
    <n v="1"/>
    <n v="883.36"/>
    <n v="0.11"/>
    <s v="PayPal"/>
    <n v="786.19040000000007"/>
    <n v="787282.61070000019"/>
    <n v="1075.5226922131151"/>
    <n v="241"/>
    <s v="Low Value"/>
    <s v="May-2024"/>
    <s v="Sports Wrist Sweatbands"/>
    <x v="0"/>
  </r>
  <r>
    <s v="PROD69"/>
    <s v="STORE0"/>
    <n v="4"/>
    <n v="305.95"/>
    <n v="0.08"/>
    <s v="PayPal"/>
    <n v="1125.896"/>
    <n v="786496.4203"/>
    <n v="1075.9184956224351"/>
    <n v="240"/>
    <s v="High Value"/>
    <s v="Nov-2023"/>
    <s v="Men's Sports Shorts"/>
    <x v="4"/>
  </r>
  <r>
    <s v="PROD58"/>
    <s v="STORE7"/>
    <n v="3"/>
    <n v="742.45"/>
    <n v="0.23"/>
    <s v="COD"/>
    <n v="1715.0595000000001"/>
    <n v="785370.52430000005"/>
    <n v="1075.8500332876713"/>
    <n v="239"/>
    <s v="High Value"/>
    <s v="Nov-2024"/>
    <s v="Womens Cotton Scarf"/>
    <x v="4"/>
  </r>
  <r>
    <s v="PROD25"/>
    <s v="STORE18"/>
    <n v="3"/>
    <n v="336.1"/>
    <n v="0.12"/>
    <s v="COD"/>
    <n v="887.30400000000009"/>
    <n v="783655.46479999984"/>
    <n v="1074.9732027434841"/>
    <n v="239"/>
    <s v="Low Value"/>
    <s v="Apr-2024"/>
    <s v="Women's Scarf Set"/>
    <x v="4"/>
  </r>
  <r>
    <s v="PROD29"/>
    <s v="STORE7"/>
    <n v="3"/>
    <n v="310.36"/>
    <n v="0.14000000000000001"/>
    <s v="COD"/>
    <n v="800.72879999999998"/>
    <n v="782768.16080000007"/>
    <n v="1075.2309901098902"/>
    <n v="239"/>
    <s v="Low Value"/>
    <s v="Aug-2025"/>
    <s v="Fabric Sofa Throw Blanket"/>
    <x v="3"/>
  </r>
  <r>
    <s v="PROD98"/>
    <s v="STORE8"/>
    <n v="3"/>
    <n v="992.81"/>
    <n v="0.04"/>
    <s v="PayPal"/>
    <n v="2859.2928000000002"/>
    <n v="781967.43199999991"/>
    <n v="1075.6085722145804"/>
    <n v="239"/>
    <s v="High Value"/>
    <s v="Apr-2025"/>
    <s v="Portable Bluetooth Speaker"/>
    <x v="1"/>
  </r>
  <r>
    <s v="PROD60"/>
    <s v="STORE11"/>
    <n v="3"/>
    <n v="257.11"/>
    <n v="0.26"/>
    <s v="COD"/>
    <n v="570.78420000000006"/>
    <n v="779108.13919999998"/>
    <n v="1073.1517068870523"/>
    <n v="238"/>
    <s v="Low Value"/>
    <s v="Oct-2023"/>
    <s v="Luxury Perfume Spray"/>
    <x v="2"/>
  </r>
  <r>
    <s v="PROD95"/>
    <s v="STORE12"/>
    <n v="4"/>
    <n v="816.29"/>
    <n v="0.24"/>
    <s v="PayPal"/>
    <n v="2481.5216"/>
    <n v="778537.3550000001"/>
    <n v="1073.844627586207"/>
    <n v="238"/>
    <s v="High Value"/>
    <s v="Mar-2025"/>
    <s v="Sports Stopwatch Basic"/>
    <x v="0"/>
  </r>
  <r>
    <s v="PROD60"/>
    <s v="STORE12"/>
    <n v="4"/>
    <n v="755.82"/>
    <n v="0.22"/>
    <s v="COD"/>
    <n v="2358.1583999999998"/>
    <n v="776055.8334"/>
    <n v="1071.9003223756906"/>
    <n v="237"/>
    <s v="High Value"/>
    <s v="Dec-2023"/>
    <s v="Luxury Perfume Spray"/>
    <x v="2"/>
  </r>
  <r>
    <s v="PROD0"/>
    <s v="STORE14"/>
    <n v="1"/>
    <n v="449.6"/>
    <n v="0.01"/>
    <s v="PayPal"/>
    <n v="445.10399999999998"/>
    <n v="773697.67500000016"/>
    <n v="1070.1212655601662"/>
    <n v="237"/>
    <s v="Low Value"/>
    <s v="Aug-2024"/>
    <s v="Brother Laser Printer"/>
    <x v="1"/>
  </r>
  <r>
    <s v="PROD14"/>
    <s v="STORE0"/>
    <n v="2"/>
    <n v="779.29"/>
    <n v="0.12"/>
    <s v="COD"/>
    <n v="1371.5504000000001"/>
    <n v="773252.57100000011"/>
    <n v="1070.9869404432134"/>
    <n v="236"/>
    <s v="High Value"/>
    <s v="Jul-2024"/>
    <s v="Decorative Wall Mirror"/>
    <x v="3"/>
  </r>
  <r>
    <s v="PROD77"/>
    <s v="STORE17"/>
    <n v="1"/>
    <n v="748.75"/>
    <n v="0.1"/>
    <s v="COD"/>
    <n v="673.875"/>
    <n v="771881.02060000005"/>
    <n v="1070.5700701803053"/>
    <n v="236"/>
    <s v="Low Value"/>
    <s v="Dec-2023"/>
    <s v="WiFi Mesh Router"/>
    <x v="1"/>
  </r>
  <r>
    <s v="PROD89"/>
    <s v="STORE0"/>
    <n v="2"/>
    <n v="121.67"/>
    <n v="0.08"/>
    <s v="COD"/>
    <n v="223.87280000000001"/>
    <n v="771207.14560000005"/>
    <n v="1071.1210355555556"/>
    <n v="236"/>
    <s v="Low Value"/>
    <s v="Feb-2024"/>
    <s v="Face Foundation Kit"/>
    <x v="2"/>
  </r>
  <r>
    <s v="PROD49"/>
    <s v="STORE15"/>
    <n v="3"/>
    <n v="225.14"/>
    <n v="0.15"/>
    <s v="COD"/>
    <n v="574.10699999999997"/>
    <n v="770983.27280000004"/>
    <n v="1072.2994058414465"/>
    <n v="236"/>
    <s v="Low Value"/>
    <s v="May-2025"/>
    <s v="Men's Roll-On Perfume"/>
    <x v="2"/>
  </r>
  <r>
    <s v="PROD29"/>
    <s v="STORE19"/>
    <n v="1"/>
    <n v="654.17999999999995"/>
    <n v="0.19"/>
    <s v="PayPal"/>
    <n v="529.88580000000002"/>
    <n v="770409.16580000019"/>
    <n v="1072.9932671309195"/>
    <n v="236"/>
    <s v="Low Value"/>
    <s v="Aug-2025"/>
    <s v="Fabric Sofa Throw Blanket"/>
    <x v="3"/>
  </r>
  <r>
    <s v="PROD71"/>
    <s v="STORE5"/>
    <n v="2"/>
    <n v="504.98"/>
    <n v="0.08"/>
    <s v="COD"/>
    <n v="929.16320000000007"/>
    <n v="769879.28000000014"/>
    <n v="1073.7507391910742"/>
    <n v="235"/>
    <s v="Low Value"/>
    <s v="Sep-2024"/>
    <s v="Hair Repair Oil Treatment"/>
    <x v="2"/>
  </r>
  <r>
    <s v="PROD54"/>
    <s v="STORE8"/>
    <n v="2"/>
    <n v="623.20000000000005"/>
    <n v="0.14000000000000001"/>
    <s v="COD"/>
    <n v="1071.904"/>
    <n v="768950.11680000008"/>
    <n v="1073.9526770949722"/>
    <n v="235"/>
    <s v="High Value"/>
    <s v="Jun-2025"/>
    <s v="Sports Stopwatch Pro"/>
    <x v="0"/>
  </r>
  <r>
    <s v="PROD5"/>
    <s v="STORE16"/>
    <n v="2"/>
    <n v="530.54"/>
    <n v="0.28000000000000003"/>
    <s v="COD"/>
    <n v="763.97759999999994"/>
    <n v="767878.21279999998"/>
    <n v="1073.9555423776224"/>
    <n v="235"/>
    <s v="Low Value"/>
    <s v="Nov-2024"/>
    <s v="Men's Leather Belt"/>
    <x v="4"/>
  </r>
  <r>
    <s v="PROD0"/>
    <s v="STORE16"/>
    <n v="3"/>
    <n v="279.45"/>
    <n v="0.15"/>
    <s v="COD"/>
    <n v="712.59749999999985"/>
    <n v="767114.23519999988"/>
    <n v="1074.3896851540615"/>
    <n v="235"/>
    <s v="Low Value"/>
    <s v="Jun-2025"/>
    <s v="Brother Laser Printer"/>
    <x v="1"/>
  </r>
  <r>
    <s v="PROD12"/>
    <s v="STORE8"/>
    <n v="3"/>
    <n v="906.99"/>
    <n v="0.26"/>
    <s v="COD"/>
    <n v="2013.5178000000001"/>
    <n v="766401.63769999996"/>
    <n v="1074.8971075736324"/>
    <n v="235"/>
    <s v="High Value"/>
    <s v="Dec-2024"/>
    <s v="Hair Strengthening Shampoo"/>
    <x v="2"/>
  </r>
  <r>
    <s v="PROD80"/>
    <s v="STORE17"/>
    <n v="4"/>
    <n v="408.76"/>
    <n v="0.12"/>
    <s v="COD"/>
    <n v="1438.8352"/>
    <n v="764388.11989999993"/>
    <n v="1073.5788200842696"/>
    <n v="235"/>
    <s v="High Value"/>
    <s v="Apr-2025"/>
    <s v="Wall-Mounted Spice Rack"/>
    <x v="3"/>
  </r>
  <r>
    <s v="PROD36"/>
    <s v="STORE9"/>
    <n v="2"/>
    <n v="117.34"/>
    <n v="0.09"/>
    <s v="PayPal"/>
    <n v="213.55879999999999"/>
    <n v="762949.28470000008"/>
    <n v="1073.0650980309424"/>
    <n v="235"/>
    <s v="Low Value"/>
    <s v="Sep-2024"/>
    <s v="Women's Summer Dress"/>
    <x v="4"/>
  </r>
  <r>
    <s v="PROD91"/>
    <s v="STORE14"/>
    <n v="3"/>
    <n v="690.27"/>
    <n v="7.0000000000000007E-2"/>
    <s v="PayPal"/>
    <n v="1925.8533"/>
    <n v="762735.72590000008"/>
    <n v="1074.2756702816903"/>
    <n v="234"/>
    <s v="High Value"/>
    <s v="Mar-2024"/>
    <s v="Women's High Heels"/>
    <x v="4"/>
  </r>
  <r>
    <s v="PROD28"/>
    <s v="STORE17"/>
    <n v="4"/>
    <n v="377.18"/>
    <n v="0.24"/>
    <s v="PayPal"/>
    <n v="1146.6271999999999"/>
    <n v="760809.8726"/>
    <n v="1073.0745734837799"/>
    <n v="233"/>
    <s v="High Value"/>
    <s v="Feb-2025"/>
    <s v="Sports Stopwatch Timer"/>
    <x v="0"/>
  </r>
  <r>
    <s v="PROD40"/>
    <s v="STORE0"/>
    <n v="1"/>
    <n v="70.52"/>
    <n v="0.08"/>
    <s v="COD"/>
    <n v="64.878399999999999"/>
    <n v="759663.24540000001"/>
    <n v="1072.9706855932204"/>
    <n v="232"/>
    <s v="Low Value"/>
    <s v="Jun-2024"/>
    <s v="Noise-Canceling Headphones"/>
    <x v="1"/>
  </r>
  <r>
    <s v="PROD38"/>
    <s v="STORE9"/>
    <n v="1"/>
    <n v="40.25"/>
    <n v="0.1"/>
    <s v="PayPal"/>
    <n v="36.225000000000001"/>
    <n v="759598.3670000002"/>
    <n v="1074.3965586987274"/>
    <n v="232"/>
    <s v="Low Value"/>
    <s v="Feb-2024"/>
    <s v="Sports Water Hydration Pack"/>
    <x v="0"/>
  </r>
  <r>
    <s v="PROD89"/>
    <s v="STORE11"/>
    <n v="3"/>
    <n v="539.44000000000005"/>
    <n v="0.05"/>
    <s v="COD"/>
    <n v="1537.404"/>
    <n v="759562.14200000011"/>
    <n v="1075.8670566572239"/>
    <n v="231"/>
    <s v="High Value"/>
    <s v="Apr-2024"/>
    <s v="Face Foundation Kit"/>
    <x v="2"/>
  </r>
  <r>
    <s v="PROD60"/>
    <s v="STORE4"/>
    <n v="3"/>
    <n v="543.49"/>
    <n v="0.05"/>
    <s v="PayPal"/>
    <n v="1548.9465"/>
    <n v="758024.73800000001"/>
    <n v="1075.2123943262411"/>
    <n v="231"/>
    <s v="High Value"/>
    <s v="Jan-2024"/>
    <s v="Luxury Perfume Spray"/>
    <x v="2"/>
  </r>
  <r>
    <s v="PROD7"/>
    <s v="STORE6"/>
    <n v="4"/>
    <n v="547.21"/>
    <n v="0.1"/>
    <s v="COD"/>
    <n v="1969.9559999999999"/>
    <n v="756475.79149999993"/>
    <n v="1074.5394765624999"/>
    <n v="230"/>
    <s v="High Value"/>
    <s v="Oct-2023"/>
    <s v="LED Table Lamp"/>
    <x v="3"/>
  </r>
  <r>
    <s v="PROD65"/>
    <s v="STORE1"/>
    <n v="2"/>
    <n v="892.46"/>
    <n v="7.0000000000000007E-2"/>
    <s v="PayPal"/>
    <n v="1659.9756"/>
    <n v="754505.83549999993"/>
    <n v="1073.265768847795"/>
    <n v="230"/>
    <s v="High Value"/>
    <s v="Nov-2024"/>
    <s v="Adjustable Dumbbells 20kg"/>
    <x v="0"/>
  </r>
  <r>
    <s v="PROD26"/>
    <s v="STORE8"/>
    <n v="2"/>
    <n v="853.41"/>
    <n v="0.25"/>
    <s v="Credit Card"/>
    <n v="1280.115"/>
    <n v="752845.85989999992"/>
    <n v="1072.4299998575498"/>
    <n v="229"/>
    <s v="High Value"/>
    <s v="Dec-2023"/>
    <s v="Wireless Bluetooth Speaker"/>
    <x v="1"/>
  </r>
  <r>
    <s v="PROD82"/>
    <s v="STORE7"/>
    <n v="1"/>
    <n v="162.13999999999999"/>
    <n v="7.0000000000000007E-2"/>
    <s v="PayPal"/>
    <n v="150.7902"/>
    <n v="751565.74490000017"/>
    <n v="1072.1337302425109"/>
    <n v="229"/>
    <s v="Low Value"/>
    <s v="Jun-2024"/>
    <s v="Fitness Resistance Bands"/>
    <x v="0"/>
  </r>
  <r>
    <s v="PROD96"/>
    <s v="STORE16"/>
    <n v="1"/>
    <n v="893.14"/>
    <n v="0.09"/>
    <s v="Credit Card"/>
    <n v="812.75739999999996"/>
    <n v="751414.9547"/>
    <n v="1073.4499352857142"/>
    <n v="228"/>
    <s v="Low Value"/>
    <s v="Jul-2024"/>
    <s v="Women's Formal Blazer"/>
    <x v="4"/>
  </r>
  <r>
    <s v="PROD34"/>
    <s v="STORE8"/>
    <n v="4"/>
    <n v="349.07"/>
    <n v="0.28000000000000003"/>
    <s v="Credit Card"/>
    <n v="1005.3216"/>
    <n v="750602.19730000023"/>
    <n v="1073.8228859799717"/>
    <n v="228"/>
    <s v="High Value"/>
    <s v="Aug-2024"/>
    <s v="Gaming Mechanical Keyboard"/>
    <x v="1"/>
  </r>
  <r>
    <s v="PROD81"/>
    <s v="STORE13"/>
    <n v="1"/>
    <n v="747.9"/>
    <n v="0.21"/>
    <s v="COD"/>
    <n v="590.84100000000001"/>
    <n v="749596.87570000009"/>
    <n v="1073.9210253581664"/>
    <n v="228"/>
    <s v="Low Value"/>
    <s v="May-2024"/>
    <s v="Badminton Racket Set"/>
    <x v="0"/>
  </r>
  <r>
    <s v="PROD81"/>
    <s v="STORE6"/>
    <n v="3"/>
    <n v="438.92"/>
    <n v="0.21"/>
    <s v="Credit Card"/>
    <n v="1040.2403999999999"/>
    <n v="749006.03470000008"/>
    <n v="1074.6141100430418"/>
    <n v="228"/>
    <s v="High Value"/>
    <s v="Jul-2024"/>
    <s v="Badminton Racket Set"/>
    <x v="0"/>
  </r>
  <r>
    <s v="PROD77"/>
    <s v="STORE4"/>
    <n v="4"/>
    <n v="665.38"/>
    <n v="0.18"/>
    <s v="Credit Card"/>
    <n v="2182.4463999999998"/>
    <n v="747965.79430000007"/>
    <n v="1074.6634975574714"/>
    <n v="228"/>
    <s v="High Value"/>
    <s v="Nov-2023"/>
    <s v="WiFi Mesh Router"/>
    <x v="1"/>
  </r>
  <r>
    <s v="PROD60"/>
    <s v="STORE18"/>
    <n v="1"/>
    <n v="146.49"/>
    <n v="0.28000000000000003"/>
    <s v="Credit Card"/>
    <n v="105.47280000000001"/>
    <n v="745783.34790000005"/>
    <n v="1073.069565323741"/>
    <n v="228"/>
    <s v="Low Value"/>
    <s v="Nov-2024"/>
    <s v="Luxury Perfume Spray"/>
    <x v="2"/>
  </r>
  <r>
    <s v="PROD38"/>
    <s v="STORE15"/>
    <n v="2"/>
    <n v="235.39"/>
    <n v="0.27"/>
    <s v="COD"/>
    <n v="343.6694"/>
    <n v="745677.87509999995"/>
    <n v="1074.4637969740634"/>
    <n v="228"/>
    <s v="Low Value"/>
    <s v="Apr-2025"/>
    <s v="Sports Water Hydration Pack"/>
    <x v="0"/>
  </r>
  <r>
    <s v="PROD61"/>
    <s v="STORE5"/>
    <n v="3"/>
    <n v="38.07"/>
    <n v="0.09"/>
    <s v="PayPal"/>
    <n v="103.9311"/>
    <n v="745334.20570000017"/>
    <n v="1075.5183343434346"/>
    <n v="228"/>
    <s v="Low Value"/>
    <s v="Dec-2024"/>
    <s v="Tennis Ball 3-Pack"/>
    <x v="0"/>
  </r>
  <r>
    <s v="PROD34"/>
    <s v="STORE4"/>
    <n v="2"/>
    <n v="511.7"/>
    <n v="0.12"/>
    <s v="COD"/>
    <n v="900.59199999999998"/>
    <n v="745230.2746"/>
    <n v="1076.9223621387284"/>
    <n v="227"/>
    <s v="Low Value"/>
    <s v="Sep-2025"/>
    <s v="Gaming Mechanical Keyboard"/>
    <x v="1"/>
  </r>
  <r>
    <s v="PROD75"/>
    <s v="STORE8"/>
    <n v="4"/>
    <n v="488.72"/>
    <n v="0.23"/>
    <s v="PayPal"/>
    <n v="1505.2575999999999"/>
    <n v="744329.68260000017"/>
    <n v="1077.1775435600582"/>
    <n v="227"/>
    <s v="High Value"/>
    <s v="Apr-2024"/>
    <s v="Women's Ankle Boots"/>
    <x v="4"/>
  </r>
  <r>
    <s v="PROD50"/>
    <s v="STORE12"/>
    <n v="2"/>
    <n v="520.45000000000005"/>
    <n v="0.11"/>
    <s v="COD"/>
    <n v="926.40100000000007"/>
    <n v="742824.42500000016"/>
    <n v="1076.5571376811597"/>
    <n v="226"/>
    <s v="Low Value"/>
    <s v="Mar-2025"/>
    <s v="Boxing Hand Wraps"/>
    <x v="0"/>
  </r>
  <r>
    <s v="PROD48"/>
    <s v="STORE5"/>
    <n v="1"/>
    <n v="340.9"/>
    <n v="0.28999999999999998"/>
    <s v="Credit Card"/>
    <n v="242.03899999999999"/>
    <n v="741898.02400000009"/>
    <n v="1076.7750711175618"/>
    <n v="226"/>
    <s v="Low Value"/>
    <s v="Mar-2024"/>
    <s v="Car Dashboard Phone Holder"/>
    <x v="1"/>
  </r>
  <r>
    <s v="PROD31"/>
    <s v="STORE8"/>
    <n v="3"/>
    <n v="653.59"/>
    <n v="0.17"/>
    <s v="COD"/>
    <n v="1627.4391000000001"/>
    <n v="741655.9850000001"/>
    <n v="1077.9883502906978"/>
    <n v="226"/>
    <s v="High Value"/>
    <s v="Oct-2024"/>
    <s v="Basketball"/>
    <x v="0"/>
  </r>
  <r>
    <s v="PROD26"/>
    <s v="STORE18"/>
    <n v="1"/>
    <n v="179.77"/>
    <n v="0.23"/>
    <s v="COD"/>
    <n v="138.4229"/>
    <n v="740028.54590000014"/>
    <n v="1077.1885675400292"/>
    <n v="226"/>
    <s v="Low Value"/>
    <s v="Sep-2025"/>
    <s v="Wireless Bluetooth Speaker"/>
    <x v="1"/>
  </r>
  <r>
    <s v="PROD0"/>
    <s v="STORE9"/>
    <n v="2"/>
    <n v="943.8"/>
    <n v="0.06"/>
    <s v="Credit Card"/>
    <n v="1774.3440000000001"/>
    <n v="739890.12300000014"/>
    <n v="1078.5570306122452"/>
    <n v="226"/>
    <s v="High Value"/>
    <s v="Aug-2024"/>
    <s v="Brother Laser Printer"/>
    <x v="1"/>
  </r>
  <r>
    <s v="PROD71"/>
    <s v="STORE15"/>
    <n v="2"/>
    <n v="985"/>
    <n v="0.25"/>
    <s v="Credit Card"/>
    <n v="1477.5"/>
    <n v="738115.77900000021"/>
    <n v="1077.5412832116792"/>
    <n v="226"/>
    <s v="High Value"/>
    <s v="Nov-2023"/>
    <s v="Hair Repair Oil Treatment"/>
    <x v="2"/>
  </r>
  <r>
    <s v="PROD88"/>
    <s v="STORE10"/>
    <n v="4"/>
    <n v="216.81"/>
    <n v="0.28999999999999998"/>
    <s v="Credit Card"/>
    <n v="615.74040000000002"/>
    <n v="736638.27900000021"/>
    <n v="1076.9565482456144"/>
    <n v="226"/>
    <s v="Low Value"/>
    <s v="Apr-2024"/>
    <s v="Sports Wrist Sweatbands"/>
    <x v="0"/>
  </r>
  <r>
    <s v="PROD64"/>
    <s v="STORE2"/>
    <n v="4"/>
    <n v="950.21"/>
    <n v="0.27"/>
    <s v="COD"/>
    <n v="2774.6131999999998"/>
    <n v="736022.5386000002"/>
    <n v="1077.631828111274"/>
    <n v="226"/>
    <s v="High Value"/>
    <s v="Oct-2023"/>
    <s v="Matte Lipstick Set"/>
    <x v="2"/>
  </r>
  <r>
    <s v="PROD48"/>
    <s v="STORE7"/>
    <n v="2"/>
    <n v="271.39999999999998"/>
    <n v="0.17"/>
    <s v="PayPal"/>
    <n v="450.52399999999989"/>
    <n v="733247.92540000018"/>
    <n v="1075.1435856304988"/>
    <n v="226"/>
    <s v="Low Value"/>
    <s v="Jun-2025"/>
    <s v="Car Dashboard Phone Holder"/>
    <x v="1"/>
  </r>
  <r>
    <s v="PROD39"/>
    <s v="STORE8"/>
    <n v="4"/>
    <n v="708.19"/>
    <n v="0.1"/>
    <s v="PayPal"/>
    <n v="2549.4839999999999"/>
    <n v="732797.40140000021"/>
    <n v="1076.0607950073424"/>
    <n v="225"/>
    <s v="High Value"/>
    <s v="Aug-2025"/>
    <s v="Portable Power Bank"/>
    <x v="1"/>
  </r>
  <r>
    <s v="PROD54"/>
    <s v="STORE3"/>
    <n v="3"/>
    <n v="477.05"/>
    <n v="0.05"/>
    <s v="PayPal"/>
    <n v="1359.5925"/>
    <n v="730247.91740000003"/>
    <n v="1073.8939961764706"/>
    <n v="224"/>
    <s v="High Value"/>
    <s v="May-2025"/>
    <s v="Sports Stopwatch Pro"/>
    <x v="0"/>
  </r>
  <r>
    <s v="PROD74"/>
    <s v="STORE9"/>
    <n v="3"/>
    <n v="627.29"/>
    <n v="0.27"/>
    <s v="COD"/>
    <n v="1373.7651000000001"/>
    <n v="728888.32490000001"/>
    <n v="1073.4732325478644"/>
    <n v="223"/>
    <s v="High Value"/>
    <s v="Apr-2024"/>
    <s v="Bluetooth Car Audio System"/>
    <x v="1"/>
  </r>
  <r>
    <s v="PROD94"/>
    <s v="STORE11"/>
    <n v="3"/>
    <n v="206.84"/>
    <n v="0.19"/>
    <s v="PayPal"/>
    <n v="502.62119999999999"/>
    <n v="727514.55980000005"/>
    <n v="1073.0303241887907"/>
    <n v="223"/>
    <s v="Low Value"/>
    <s v="Feb-2024"/>
    <s v="Vitamin E Body Lotion"/>
    <x v="2"/>
  </r>
  <r>
    <s v="PROD30"/>
    <s v="STORE1"/>
    <n v="4"/>
    <n v="629.04999999999995"/>
    <n v="0.26"/>
    <s v="Credit Card"/>
    <n v="1861.9880000000001"/>
    <n v="727011.93859999999"/>
    <n v="1073.8728782865583"/>
    <n v="222"/>
    <s v="High Value"/>
    <s v="Jan-2024"/>
    <s v="Stainless Steel Cutlery Set"/>
    <x v="3"/>
  </r>
  <r>
    <s v="PROD74"/>
    <s v="STORE17"/>
    <n v="4"/>
    <n v="529.04"/>
    <n v="0.1"/>
    <s v="PayPal"/>
    <n v="1904.5440000000001"/>
    <n v="725149.9506000001"/>
    <n v="1072.707027514793"/>
    <n v="222"/>
    <s v="High Value"/>
    <s v="Sep-2024"/>
    <s v="Bluetooth Car Audio System"/>
    <x v="1"/>
  </r>
  <r>
    <s v="PROD30"/>
    <s v="STORE17"/>
    <n v="1"/>
    <n v="350.67"/>
    <n v="0.22"/>
    <s v="PayPal"/>
    <n v="273.52260000000001"/>
    <n v="723245.40659999999"/>
    <n v="1071.4746764444444"/>
    <n v="221"/>
    <s v="Low Value"/>
    <s v="Feb-2024"/>
    <s v="Stainless Steel Cutlery Set"/>
    <x v="3"/>
  </r>
  <r>
    <s v="PROD95"/>
    <s v="STORE1"/>
    <n v="1"/>
    <n v="128.93"/>
    <n v="0.26"/>
    <s v="Credit Card"/>
    <n v="95.408200000000008"/>
    <n v="722971.88400000008"/>
    <n v="1072.6585816023739"/>
    <n v="220"/>
    <s v="Low Value"/>
    <s v="Jul-2024"/>
    <s v="Sports Stopwatch Basic"/>
    <x v="0"/>
  </r>
  <r>
    <s v="PROD86"/>
    <s v="STORE15"/>
    <n v="2"/>
    <n v="384.92"/>
    <n v="0.09"/>
    <s v="Credit Card"/>
    <n v="700.5544000000001"/>
    <n v="722876.47580000001"/>
    <n v="1074.1106624071322"/>
    <n v="220"/>
    <s v="Low Value"/>
    <s v="Sep-2024"/>
    <s v="Kitchen Cutting Board"/>
    <x v="3"/>
  </r>
  <r>
    <s v="PROD5"/>
    <s v="STORE8"/>
    <n v="3"/>
    <n v="120.77"/>
    <n v="0.28999999999999998"/>
    <s v="PayPal"/>
    <n v="257.24009999999998"/>
    <n v="722175.92140000011"/>
    <n v="1074.6665497023812"/>
    <n v="220"/>
    <s v="Low Value"/>
    <s v="Dec-2023"/>
    <s v="Men's Leather Belt"/>
    <x v="4"/>
  </r>
  <r>
    <s v="PROD76"/>
    <s v="STORE17"/>
    <n v="4"/>
    <n v="661.39"/>
    <n v="7.0000000000000007E-2"/>
    <s v="Credit Card"/>
    <n v="2460.3708000000001"/>
    <n v="721918.68130000005"/>
    <n v="1075.8847709388972"/>
    <n v="219"/>
    <s v="High Value"/>
    <s v="Jun-2025"/>
    <s v="Wireless Mouse"/>
    <x v="1"/>
  </r>
  <r>
    <s v="PROD62"/>
    <s v="STORE2"/>
    <n v="1"/>
    <n v="195.24"/>
    <n v="0.27"/>
    <s v="PayPal"/>
    <n v="142.52520000000001"/>
    <n v="719458.31050000014"/>
    <n v="1073.8183738805972"/>
    <n v="219"/>
    <s v="Low Value"/>
    <s v="Dec-2023"/>
    <s v="Laptop Cooling Pad"/>
    <x v="1"/>
  </r>
  <r>
    <s v="PROD92"/>
    <s v="STORE18"/>
    <n v="2"/>
    <n v="177.4"/>
    <n v="0.19"/>
    <s v="PayPal"/>
    <n v="287.38799999999998"/>
    <n v="719315.78530000011"/>
    <n v="1075.2104414050823"/>
    <n v="218"/>
    <s v="Low Value"/>
    <s v="Nov-2023"/>
    <s v="Microwave Oven"/>
    <x v="3"/>
  </r>
  <r>
    <s v="PROD98"/>
    <s v="STORE11"/>
    <n v="4"/>
    <n v="862.67"/>
    <n v="0.2"/>
    <s v="PayPal"/>
    <n v="2760.5439999999999"/>
    <n v="719028.39730000019"/>
    <n v="1076.3898163173656"/>
    <n v="217"/>
    <s v="High Value"/>
    <s v="Jan-2025"/>
    <s v="Portable Bluetooth Speaker"/>
    <x v="1"/>
  </r>
  <r>
    <s v="PROD17"/>
    <s v="STORE6"/>
    <n v="1"/>
    <n v="55.04"/>
    <n v="0.01"/>
    <s v="COD"/>
    <n v="54.489600000000003"/>
    <n v="716267.85330000019"/>
    <n v="1073.8648475262371"/>
    <n v="216"/>
    <s v="Low Value"/>
    <s v="Sep-2024"/>
    <s v="Soccer Training Cone Set"/>
    <x v="0"/>
  </r>
  <r>
    <s v="PROD45"/>
    <s v="STORE0"/>
    <n v="2"/>
    <n v="905.47"/>
    <n v="0.2"/>
    <s v="COD"/>
    <n v="1448.752"/>
    <n v="716213.3637000001"/>
    <n v="1075.3954409909911"/>
    <n v="216"/>
    <s v="High Value"/>
    <s v="Dec-2024"/>
    <s v="High-Grip Football"/>
    <x v="0"/>
  </r>
  <r>
    <s v="PROD63"/>
    <s v="STORE13"/>
    <n v="3"/>
    <n v="217.13"/>
    <n v="0.28000000000000003"/>
    <s v="Credit Card"/>
    <n v="469.00080000000003"/>
    <n v="714764.61170000012"/>
    <n v="1074.8340025563912"/>
    <n v="216"/>
    <s v="Low Value"/>
    <s v="Sep-2024"/>
    <s v="Organic Sunscreen Lotion"/>
    <x v="2"/>
  </r>
  <r>
    <s v="PROD75"/>
    <s v="STORE0"/>
    <n v="3"/>
    <n v="580.45000000000005"/>
    <n v="0"/>
    <s v="PayPal"/>
    <n v="1741.35"/>
    <n v="714295.6109000002"/>
    <n v="1075.7464019578317"/>
    <n v="216"/>
    <s v="High Value"/>
    <s v="Oct-2025"/>
    <s v="Women's Ankle Boots"/>
    <x v="4"/>
  </r>
  <r>
    <s v="PROD4"/>
    <s v="STORE17"/>
    <n v="2"/>
    <n v="892.88"/>
    <n v="0.17"/>
    <s v="PayPal"/>
    <n v="1482.1808000000001"/>
    <n v="712554.26090000011"/>
    <n v="1074.7424749622928"/>
    <n v="215"/>
    <s v="High Value"/>
    <s v="Jul-2025"/>
    <s v="Women's Yoga Pants"/>
    <x v="4"/>
  </r>
  <r>
    <s v="PROD40"/>
    <s v="STORE18"/>
    <n v="2"/>
    <n v="356.28"/>
    <n v="0.11"/>
    <s v="COD"/>
    <n v="634.17840000000001"/>
    <n v="711072.08010000025"/>
    <n v="1074.1270092145019"/>
    <n v="214"/>
    <s v="Low Value"/>
    <s v="Oct-2025"/>
    <s v="Noise-Canceling Headphones"/>
    <x v="1"/>
  </r>
  <r>
    <s v="PROD80"/>
    <s v="STORE2"/>
    <n v="4"/>
    <n v="806.99"/>
    <n v="0.06"/>
    <s v="Credit Card"/>
    <n v="3034.2824000000001"/>
    <n v="710437.90170000016"/>
    <n v="1074.7925895612711"/>
    <n v="214"/>
    <s v="High Value"/>
    <s v="Sep-2025"/>
    <s v="Wall-Mounted Spice Rack"/>
    <x v="3"/>
  </r>
  <r>
    <s v="PROD20"/>
    <s v="STORE1"/>
    <n v="3"/>
    <n v="684.22"/>
    <n v="0.09"/>
    <s v="Credit Card"/>
    <n v="1867.9205999999999"/>
    <n v="707403.61930000014"/>
    <n v="1071.8236656060608"/>
    <n v="214"/>
    <s v="High Value"/>
    <s v="Jul-2025"/>
    <s v="Outdoor Sports Water Bottle"/>
    <x v="0"/>
  </r>
  <r>
    <s v="PROD93"/>
    <s v="STORE7"/>
    <n v="4"/>
    <n v="763.34"/>
    <n v="7.0000000000000007E-2"/>
    <s v="PayPal"/>
    <n v="2839.6248000000001"/>
    <n v="705535.69870000018"/>
    <n v="1070.6156277693478"/>
    <n v="214"/>
    <s v="High Value"/>
    <s v="Jun-2025"/>
    <s v="USB-C Laptop Charger"/>
    <x v="1"/>
  </r>
  <r>
    <s v="PROD50"/>
    <s v="STORE3"/>
    <n v="3"/>
    <n v="721.94"/>
    <n v="0.26"/>
    <s v="Credit Card"/>
    <n v="1602.7067999999999"/>
    <n v="702696.07390000019"/>
    <n v="1067.9271639817632"/>
    <n v="213"/>
    <s v="High Value"/>
    <s v="Mar-2025"/>
    <s v="Boxing Hand Wraps"/>
    <x v="0"/>
  </r>
  <r>
    <s v="PROD97"/>
    <s v="STORE1"/>
    <n v="3"/>
    <n v="760.38"/>
    <n v="0"/>
    <s v="COD"/>
    <n v="2281.14"/>
    <n v="701093.36710000027"/>
    <n v="1067.1131919330294"/>
    <n v="213"/>
    <s v="High Value"/>
    <s v="Feb-2024"/>
    <s v="Cricket Bat"/>
    <x v="0"/>
  </r>
  <r>
    <s v="PROD97"/>
    <s v="STORE6"/>
    <n v="3"/>
    <n v="612.53"/>
    <n v="0.21"/>
    <s v="COD"/>
    <n v="1451.6960999999999"/>
    <n v="698812.22710000013"/>
    <n v="1065.2625413109758"/>
    <n v="213"/>
    <s v="High Value"/>
    <s v="Mar-2024"/>
    <s v="Cricket Bat"/>
    <x v="0"/>
  </r>
  <r>
    <s v="PROD63"/>
    <s v="STORE16"/>
    <n v="3"/>
    <n v="841.37"/>
    <n v="0.28999999999999998"/>
    <s v="PayPal"/>
    <n v="1792.1180999999999"/>
    <n v="697360.53100000008"/>
    <n v="1064.6725664122139"/>
    <n v="213"/>
    <s v="High Value"/>
    <s v="Sep-2024"/>
    <s v="Organic Sunscreen Lotion"/>
    <x v="2"/>
  </r>
  <r>
    <s v="PROD48"/>
    <s v="STORE9"/>
    <n v="2"/>
    <n v="636.51"/>
    <n v="0.25"/>
    <s v="Credit Card"/>
    <n v="954.76499999999999"/>
    <n v="695568.41290000011"/>
    <n v="1063.5602643730888"/>
    <n v="212"/>
    <s v="Low Value"/>
    <s v="Nov-2023"/>
    <s v="Car Dashboard Phone Holder"/>
    <x v="1"/>
  </r>
  <r>
    <s v="PROD45"/>
    <s v="STORE8"/>
    <n v="2"/>
    <n v="732.37"/>
    <n v="0.22"/>
    <s v="COD"/>
    <n v="1142.4972"/>
    <n v="694613.6479000001"/>
    <n v="1063.7268727411947"/>
    <n v="212"/>
    <s v="High Value"/>
    <s v="Jan-2025"/>
    <s v="High-Grip Football"/>
    <x v="0"/>
  </r>
  <r>
    <s v="PROD54"/>
    <s v="STORE16"/>
    <n v="3"/>
    <n v="183.44"/>
    <n v="0.28000000000000003"/>
    <s v="COD"/>
    <n v="396.23039999999992"/>
    <n v="693471.1507"/>
    <n v="1063.6060593558282"/>
    <n v="212"/>
    <s v="Low Value"/>
    <s v="Sep-2025"/>
    <s v="Sports Stopwatch Pro"/>
    <x v="0"/>
  </r>
  <r>
    <s v="PROD11"/>
    <s v="STORE13"/>
    <n v="4"/>
    <n v="898.58"/>
    <n v="0.16"/>
    <s v="PayPal"/>
    <n v="3019.2287999999999"/>
    <n v="693074.9203"/>
    <n v="1064.6312139784945"/>
    <n v="212"/>
    <s v="High Value"/>
    <s v="Mar-2024"/>
    <s v="HD Smart TV Stick"/>
    <x v="1"/>
  </r>
  <r>
    <s v="PROD23"/>
    <s v="STORE2"/>
    <n v="3"/>
    <n v="152.41"/>
    <n v="0.25"/>
    <s v="Credit Card"/>
    <n v="342.92250000000001"/>
    <n v="690055.69149999996"/>
    <n v="1061.6241407692307"/>
    <n v="211"/>
    <s v="Low Value"/>
    <s v="Aug-2024"/>
    <s v="Men's Formal Shirt"/>
    <x v="4"/>
  </r>
  <r>
    <s v="PROD92"/>
    <s v="STORE14"/>
    <n v="3"/>
    <n v="972.58"/>
    <n v="0.28000000000000003"/>
    <s v="COD"/>
    <n v="2100.7728000000002"/>
    <n v="689712.76899999997"/>
    <n v="1062.7315392912171"/>
    <n v="211"/>
    <s v="High Value"/>
    <s v="Aug-2025"/>
    <s v="Microwave Oven"/>
    <x v="3"/>
  </r>
  <r>
    <s v="PROD69"/>
    <s v="STORE11"/>
    <n v="4"/>
    <n v="136.4"/>
    <n v="0.04"/>
    <s v="COD"/>
    <n v="523.77599999999995"/>
    <n v="687611.99620000005"/>
    <n v="1061.1296237654321"/>
    <n v="211"/>
    <s v="Low Value"/>
    <s v="Dec-2023"/>
    <s v="Men's Sports Shorts"/>
    <x v="4"/>
  </r>
  <r>
    <s v="PROD94"/>
    <s v="STORE15"/>
    <n v="1"/>
    <n v="509.63"/>
    <n v="0.27"/>
    <s v="COD"/>
    <n v="372.0299"/>
    <n v="687088.2202000001"/>
    <n v="1061.9601548686246"/>
    <n v="211"/>
    <s v="Low Value"/>
    <s v="Aug-2025"/>
    <s v="Vitamin E Body Lotion"/>
    <x v="2"/>
  </r>
  <r>
    <s v="PROD97"/>
    <s v="STORE3"/>
    <n v="4"/>
    <n v="360.28"/>
    <n v="0.09"/>
    <s v="COD"/>
    <n v="1311.4192"/>
    <n v="686716.19030000002"/>
    <n v="1063.0281583591332"/>
    <n v="211"/>
    <s v="High Value"/>
    <s v="Feb-2024"/>
    <s v="Cricket Bat"/>
    <x v="0"/>
  </r>
  <r>
    <s v="PROD89"/>
    <s v="STORE15"/>
    <n v="3"/>
    <n v="882.05"/>
    <n v="0.06"/>
    <s v="PayPal"/>
    <n v="2487.3809999999989"/>
    <n v="685404.77110000013"/>
    <n v="1062.6430559689925"/>
    <n v="211"/>
    <s v="High Value"/>
    <s v="Sep-2025"/>
    <s v="Face Foundation Kit"/>
    <x v="2"/>
  </r>
  <r>
    <s v="PROD79"/>
    <s v="STORE8"/>
    <n v="3"/>
    <n v="141.54"/>
    <n v="0.12"/>
    <s v="PayPal"/>
    <n v="373.66559999999998"/>
    <n v="682917.39010000008"/>
    <n v="1060.4307299689442"/>
    <n v="210"/>
    <s v="Low Value"/>
    <s v="Sep-2024"/>
    <s v="Decorative Lamp Shade"/>
    <x v="3"/>
  </r>
  <r>
    <s v="PROD15"/>
    <s v="STORE4"/>
    <n v="3"/>
    <n v="83.5"/>
    <n v="0.23"/>
    <s v="COD"/>
    <n v="192.88499999999999"/>
    <n v="682543.72450000013"/>
    <n v="1061.4987939346813"/>
    <n v="209"/>
    <s v="Low Value"/>
    <s v="Jun-2024"/>
    <s v="4K Home Projector"/>
    <x v="1"/>
  </r>
  <r>
    <s v="PROD14"/>
    <s v="STORE6"/>
    <n v="2"/>
    <n v="629.73"/>
    <n v="7.0000000000000007E-2"/>
    <s v="PayPal"/>
    <n v="1171.2978000000001"/>
    <n v="682350.83950000012"/>
    <n v="1062.8517749221185"/>
    <n v="209"/>
    <s v="High Value"/>
    <s v="Nov-2023"/>
    <s v="Decorative Wall Mirror"/>
    <x v="3"/>
  </r>
  <r>
    <s v="PROD33"/>
    <s v="STORE6"/>
    <n v="2"/>
    <n v="159.93"/>
    <n v="0.2"/>
    <s v="COD"/>
    <n v="255.88800000000001"/>
    <n v="681179.54170000006"/>
    <n v="1062.6825923556944"/>
    <n v="208"/>
    <s v="Low Value"/>
    <s v="Oct-2023"/>
    <s v="Modern Wall Clock"/>
    <x v="3"/>
  </r>
  <r>
    <s v="PROD45"/>
    <s v="STORE18"/>
    <n v="1"/>
    <n v="459.89"/>
    <n v="0.18"/>
    <s v="COD"/>
    <n v="377.10980000000001"/>
    <n v="680923.65370000002"/>
    <n v="1063.94320890625"/>
    <n v="208"/>
    <s v="Low Value"/>
    <s v="Jul-2025"/>
    <s v="High-Grip Football"/>
    <x v="0"/>
  </r>
  <r>
    <s v="PROD33"/>
    <s v="STORE19"/>
    <n v="4"/>
    <n v="885.57"/>
    <n v="0.27"/>
    <s v="Credit Card"/>
    <n v="2585.8643999999999"/>
    <n v="680546.54390000005"/>
    <n v="1065.0180655712052"/>
    <n v="208"/>
    <s v="High Value"/>
    <s v="Aug-2024"/>
    <s v="Modern Wall Clock"/>
    <x v="3"/>
  </r>
  <r>
    <s v="PROD54"/>
    <s v="STORE15"/>
    <n v="3"/>
    <n v="789.05"/>
    <n v="0"/>
    <s v="PayPal"/>
    <n v="2367.15"/>
    <n v="677960.67950000009"/>
    <n v="1062.6342938871476"/>
    <n v="208"/>
    <s v="High Value"/>
    <s v="Jun-2024"/>
    <s v="Sports Stopwatch Pro"/>
    <x v="0"/>
  </r>
  <r>
    <s v="PROD66"/>
    <s v="STORE0"/>
    <n v="1"/>
    <n v="570.52"/>
    <n v="0"/>
    <s v="PayPal"/>
    <n v="570.52"/>
    <n v="675593.52950000006"/>
    <n v="1060.5863885400315"/>
    <n v="207"/>
    <s v="Low Value"/>
    <s v="Nov-2023"/>
    <s v="Women's Hair Dryer Brush"/>
    <x v="2"/>
  </r>
  <r>
    <s v="PROD27"/>
    <s v="STORE16"/>
    <n v="4"/>
    <n v="310.79000000000002"/>
    <n v="0.22"/>
    <s v="COD"/>
    <n v="969.66480000000013"/>
    <n v="675023.00950000016"/>
    <n v="1061.3569331761009"/>
    <n v="206"/>
    <s v="Low Value"/>
    <s v="Jan-2024"/>
    <s v="Decorative Floor Vase"/>
    <x v="3"/>
  </r>
  <r>
    <s v="PROD68"/>
    <s v="STORE17"/>
    <n v="4"/>
    <n v="255.67"/>
    <n v="0.17"/>
    <s v="Credit Card"/>
    <n v="848.82439999999997"/>
    <n v="674053.34470000025"/>
    <n v="1061.5013302362208"/>
    <n v="206"/>
    <s v="Low Value"/>
    <s v="Apr-2025"/>
    <s v="Wooden Nightstand"/>
    <x v="3"/>
  </r>
  <r>
    <s v="PROD27"/>
    <s v="STORE16"/>
    <n v="2"/>
    <n v="270.66000000000003"/>
    <n v="0.1"/>
    <s v="COD"/>
    <n v="487.18799999999999"/>
    <n v="673204.52030000021"/>
    <n v="1061.8367828075714"/>
    <n v="206"/>
    <s v="Low Value"/>
    <s v="Apr-2024"/>
    <s v="Decorative Floor Vase"/>
    <x v="3"/>
  </r>
  <r>
    <s v="PROD23"/>
    <s v="STORE17"/>
    <n v="3"/>
    <n v="373.35"/>
    <n v="0.2"/>
    <s v="COD"/>
    <n v="896.04000000000019"/>
    <n v="672717.33230000013"/>
    <n v="1062.7446007898895"/>
    <n v="206"/>
    <s v="Low Value"/>
    <s v="Sep-2025"/>
    <s v="Men's Formal Shirt"/>
    <x v="4"/>
  </r>
  <r>
    <s v="PROD59"/>
    <s v="STORE11"/>
    <n v="2"/>
    <n v="23.58"/>
    <n v="0.02"/>
    <s v="PayPal"/>
    <n v="46.216799999999999"/>
    <n v="671821.29230000009"/>
    <n v="1063.0083738924052"/>
    <n v="206"/>
    <s v="Low Value"/>
    <s v="May-2024"/>
    <s v="Men's Hair Styling Gel"/>
    <x v="2"/>
  </r>
  <r>
    <s v="PROD35"/>
    <s v="STORE7"/>
    <n v="4"/>
    <n v="185.67"/>
    <n v="0.21"/>
    <s v="PayPal"/>
    <n v="586.71719999999993"/>
    <n v="671775.07550000015"/>
    <n v="1064.6197709984156"/>
    <n v="205"/>
    <s v="Low Value"/>
    <s v="May-2025"/>
    <s v="Bedroom Table Lamp"/>
    <x v="3"/>
  </r>
  <r>
    <s v="PROD18"/>
    <s v="STORE13"/>
    <n v="3"/>
    <n v="928.74"/>
    <n v="0.27"/>
    <s v="PayPal"/>
    <n v="2033.9405999999999"/>
    <n v="671188.35830000008"/>
    <n v="1065.3783465079366"/>
    <n v="204"/>
    <s v="High Value"/>
    <s v="Apr-2024"/>
    <s v="Women's Denim Jeans"/>
    <x v="4"/>
  </r>
  <r>
    <s v="PROD84"/>
    <s v="STORE5"/>
    <n v="3"/>
    <n v="923.38"/>
    <n v="7.0000000000000007E-2"/>
    <s v="COD"/>
    <n v="2576.2302"/>
    <n v="669154.41769999999"/>
    <n v="1063.83850190779"/>
    <n v="203"/>
    <s v="High Value"/>
    <s v="Nov-2023"/>
    <s v="Wooden Bookshelf"/>
    <x v="3"/>
  </r>
  <r>
    <s v="PROD4"/>
    <s v="STORE9"/>
    <n v="2"/>
    <n v="409.26"/>
    <n v="0.1"/>
    <s v="PayPal"/>
    <n v="736.66800000000001"/>
    <n v="666578.1875"/>
    <n v="1061.4302348726114"/>
    <n v="203"/>
    <s v="Low Value"/>
    <s v="Jul-2024"/>
    <s v="Women's Yoga Pants"/>
    <x v="4"/>
  </r>
  <r>
    <s v="PROD23"/>
    <s v="STORE7"/>
    <n v="2"/>
    <n v="608.46"/>
    <n v="0.16"/>
    <s v="Credit Card"/>
    <n v="1022.2128"/>
    <n v="665841.51950000005"/>
    <n v="1061.9481969696972"/>
    <n v="202"/>
    <s v="High Value"/>
    <s v="Dec-2023"/>
    <s v="Men's Formal Shirt"/>
    <x v="4"/>
  </r>
  <r>
    <s v="PROD42"/>
    <s v="STORE19"/>
    <n v="4"/>
    <n v="150.47999999999999"/>
    <n v="0.09"/>
    <s v="Credit Card"/>
    <n v="547.74720000000002"/>
    <n v="664819.30669999996"/>
    <n v="1062.0116720447284"/>
    <n v="202"/>
    <s v="Low Value"/>
    <s v="May-2025"/>
    <s v="Smart Home WiFi Camera"/>
    <x v="1"/>
  </r>
  <r>
    <s v="PROD68"/>
    <s v="STORE14"/>
    <n v="4"/>
    <n v="207.41"/>
    <n v="0.02"/>
    <s v="Credit Card"/>
    <n v="813.04719999999998"/>
    <n v="664271.55949999997"/>
    <n v="1062.8344952"/>
    <n v="202"/>
    <s v="Low Value"/>
    <s v="Aug-2024"/>
    <s v="Wooden Nightstand"/>
    <x v="3"/>
  </r>
  <r>
    <s v="PROD11"/>
    <s v="STORE6"/>
    <n v="1"/>
    <n v="56.59"/>
    <n v="0.15"/>
    <s v="PayPal"/>
    <n v="48.101500000000001"/>
    <n v="663458.51230000006"/>
    <n v="1063.2347953525641"/>
    <n v="202"/>
    <s v="Low Value"/>
    <s v="May-2025"/>
    <s v="HD Smart TV Stick"/>
    <x v="1"/>
  </r>
  <r>
    <s v="PROD39"/>
    <s v="STORE4"/>
    <n v="4"/>
    <n v="995.4"/>
    <n v="0.27"/>
    <s v="Credit Card"/>
    <n v="2906.5680000000002"/>
    <n v="663410.41080000007"/>
    <n v="1064.8642227929374"/>
    <n v="201"/>
    <s v="High Value"/>
    <s v="Jan-2025"/>
    <s v="Portable Power Bank"/>
    <x v="1"/>
  </r>
  <r>
    <s v="PROD47"/>
    <s v="STORE12"/>
    <n v="2"/>
    <n v="591.33000000000004"/>
    <n v="0.24"/>
    <s v="Credit Card"/>
    <n v="898.8216000000001"/>
    <n v="660503.84279999998"/>
    <n v="1061.903284244373"/>
    <n v="201"/>
    <s v="Low Value"/>
    <s v="Dec-2024"/>
    <s v="Makeup Brush Set"/>
    <x v="2"/>
  </r>
  <r>
    <s v="PROD48"/>
    <s v="STORE17"/>
    <n v="2"/>
    <n v="204.89"/>
    <n v="0.24"/>
    <s v="Credit Card"/>
    <n v="311.43279999999999"/>
    <n v="659605.02120000008"/>
    <n v="1062.165895652174"/>
    <n v="201"/>
    <s v="Low Value"/>
    <s v="Jul-2025"/>
    <s v="Car Dashboard Phone Holder"/>
    <x v="1"/>
  </r>
  <r>
    <s v="PROD65"/>
    <s v="STORE14"/>
    <n v="2"/>
    <n v="546.41"/>
    <n v="0.08"/>
    <s v="COD"/>
    <n v="1005.3944"/>
    <n v="659293.58840000012"/>
    <n v="1063.3767554838712"/>
    <n v="201"/>
    <s v="High Value"/>
    <s v="Sep-2024"/>
    <s v="Adjustable Dumbbells 20kg"/>
    <x v="0"/>
  </r>
  <r>
    <s v="PROD18"/>
    <s v="STORE12"/>
    <n v="4"/>
    <n v="455.49"/>
    <n v="0.17"/>
    <s v="Credit Card"/>
    <n v="1512.2267999999999"/>
    <n v="658288.19400000013"/>
    <n v="1063.4704264943459"/>
    <n v="201"/>
    <s v="High Value"/>
    <s v="Apr-2024"/>
    <s v="Women's Denim Jeans"/>
    <x v="4"/>
  </r>
  <r>
    <s v="PROD10"/>
    <s v="STORE16"/>
    <n v="2"/>
    <n v="700.27"/>
    <n v="0.16"/>
    <s v="Credit Card"/>
    <n v="1176.4536000000001"/>
    <n v="656775.96720000019"/>
    <n v="1062.744283495146"/>
    <n v="201"/>
    <s v="High Value"/>
    <s v="Mar-2024"/>
    <s v="Ceramic Kitchen Bowl Set"/>
    <x v="3"/>
  </r>
  <r>
    <s v="PROD82"/>
    <s v="STORE17"/>
    <n v="2"/>
    <n v="160.21"/>
    <n v="0.09"/>
    <s v="Credit Card"/>
    <n v="291.5822"/>
    <n v="655599.51360000018"/>
    <n v="1062.5599896272288"/>
    <n v="201"/>
    <s v="Low Value"/>
    <s v="Dec-2023"/>
    <s v="Fitness Resistance Bands"/>
    <x v="0"/>
  </r>
  <r>
    <s v="PROD47"/>
    <s v="STORE11"/>
    <n v="1"/>
    <n v="713.63"/>
    <n v="0.28000000000000003"/>
    <s v="COD"/>
    <n v="513.81359999999995"/>
    <n v="655307.93140000012"/>
    <n v="1063.8115769480521"/>
    <n v="201"/>
    <s v="Low Value"/>
    <s v="Mar-2025"/>
    <s v="Makeup Brush Set"/>
    <x v="2"/>
  </r>
  <r>
    <s v="PROD93"/>
    <s v="STORE7"/>
    <n v="2"/>
    <n v="224.69"/>
    <n v="0.2"/>
    <s v="COD"/>
    <n v="359.50400000000002"/>
    <n v="654794.11780000012"/>
    <n v="1064.7058826016262"/>
    <n v="201"/>
    <s v="Low Value"/>
    <s v="Jun-2024"/>
    <s v="USB-C Laptop Charger"/>
    <x v="1"/>
  </r>
  <r>
    <s v="PROD20"/>
    <s v="STORE14"/>
    <n v="2"/>
    <n v="740.57"/>
    <n v="0.06"/>
    <s v="Credit Card"/>
    <n v="1392.2716"/>
    <n v="654434.61380000017"/>
    <n v="1065.854419869707"/>
    <n v="201"/>
    <s v="High Value"/>
    <s v="Mar-2025"/>
    <s v="Outdoor Sports Water Bottle"/>
    <x v="0"/>
  </r>
  <r>
    <s v="PROD11"/>
    <s v="STORE3"/>
    <n v="3"/>
    <n v="250.14"/>
    <n v="0.23"/>
    <s v="PayPal"/>
    <n v="577.82339999999999"/>
    <n v="653042.34220000007"/>
    <n v="1065.3219285481241"/>
    <n v="201"/>
    <s v="Low Value"/>
    <s v="Mar-2024"/>
    <s v="HD Smart TV Stick"/>
    <x v="1"/>
  </r>
  <r>
    <s v="PROD98"/>
    <s v="STORE19"/>
    <n v="3"/>
    <n v="34.97"/>
    <n v="0.01"/>
    <s v="Credit Card"/>
    <n v="103.8609"/>
    <n v="652464.51880000008"/>
    <n v="1066.118494771242"/>
    <n v="200"/>
    <s v="Low Value"/>
    <s v="Dec-2024"/>
    <s v="Portable Bluetooth Speaker"/>
    <x v="1"/>
  </r>
  <r>
    <s v="PROD42"/>
    <s v="STORE16"/>
    <n v="1"/>
    <n v="653.91"/>
    <n v="0.3"/>
    <s v="PayPal"/>
    <n v="457.73700000000002"/>
    <n v="652360.65790000011"/>
    <n v="1067.6933844517187"/>
    <n v="200"/>
    <s v="Low Value"/>
    <s v="Jul-2025"/>
    <s v="Smart Home WiFi Camera"/>
    <x v="1"/>
  </r>
  <r>
    <s v="PROD66"/>
    <s v="STORE3"/>
    <n v="1"/>
    <n v="997.87"/>
    <n v="0.24"/>
    <s v="Credit Card"/>
    <n v="758.38120000000004"/>
    <n v="651902.92090000003"/>
    <n v="1068.6933129508197"/>
    <n v="199"/>
    <s v="Low Value"/>
    <s v="Feb-2024"/>
    <s v="Women's Hair Dryer Brush"/>
    <x v="2"/>
  </r>
  <r>
    <s v="PROD89"/>
    <s v="STORE14"/>
    <n v="1"/>
    <n v="174.27"/>
    <n v="0.27"/>
    <s v="COD"/>
    <n v="127.2171"/>
    <n v="651144.53970000008"/>
    <n v="1069.2028566502465"/>
    <n v="199"/>
    <s v="Low Value"/>
    <s v="Feb-2024"/>
    <s v="Face Foundation Kit"/>
    <x v="2"/>
  </r>
  <r>
    <s v="PROD49"/>
    <s v="STORE7"/>
    <n v="3"/>
    <n v="847.44"/>
    <n v="0.17"/>
    <s v="Credit Card"/>
    <n v="2110.1255999999998"/>
    <n v="651017.32260000007"/>
    <n v="1070.7521753289475"/>
    <n v="199"/>
    <s v="High Value"/>
    <s v="Mar-2024"/>
    <s v="Men's Roll-On Perfume"/>
    <x v="2"/>
  </r>
  <r>
    <s v="PROD2"/>
    <s v="STORE2"/>
    <n v="1"/>
    <n v="493.45"/>
    <n v="0.09"/>
    <s v="Credit Card"/>
    <n v="449.03949999999998"/>
    <n v="648907.19700000028"/>
    <n v="1069.0398632619444"/>
    <n v="199"/>
    <s v="Low Value"/>
    <s v="Nov-2023"/>
    <s v="Women's Casual Hoodie"/>
    <x v="4"/>
  </r>
  <r>
    <s v="PROD62"/>
    <s v="STORE2"/>
    <n v="4"/>
    <n v="111.66"/>
    <n v="0.14000000000000001"/>
    <s v="Credit Card"/>
    <n v="384.11040000000003"/>
    <n v="648458.1575000002"/>
    <n v="1070.0629661716175"/>
    <n v="199"/>
    <s v="Low Value"/>
    <s v="Oct-2024"/>
    <s v="Laptop Cooling Pad"/>
    <x v="1"/>
  </r>
  <r>
    <s v="PROD90"/>
    <s v="STORE11"/>
    <n v="1"/>
    <n v="413.65"/>
    <n v="0.1"/>
    <s v="COD"/>
    <n v="372.28500000000003"/>
    <n v="648074.0471000002"/>
    <n v="1071.196772066116"/>
    <n v="199"/>
    <s v="Low Value"/>
    <s v="Feb-2024"/>
    <s v="Gaming Mouse Pad XL"/>
    <x v="1"/>
  </r>
  <r>
    <s v="PROD89"/>
    <s v="STORE9"/>
    <n v="1"/>
    <n v="317.14999999999998"/>
    <n v="0.24"/>
    <s v="COD"/>
    <n v="241.03399999999999"/>
    <n v="647701.76210000028"/>
    <n v="1072.35391076159"/>
    <n v="199"/>
    <s v="Low Value"/>
    <s v="Mar-2025"/>
    <s v="Face Foundation Kit"/>
    <x v="2"/>
  </r>
  <r>
    <s v="PROD88"/>
    <s v="STORE1"/>
    <n v="3"/>
    <n v="642.94000000000005"/>
    <n v="0.05"/>
    <s v="COD"/>
    <n v="1832.3789999999999"/>
    <n v="647460.72810000018"/>
    <n v="1073.732550746269"/>
    <n v="199"/>
    <s v="High Value"/>
    <s v="Aug-2025"/>
    <s v="Sports Wrist Sweatbands"/>
    <x v="0"/>
  </r>
  <r>
    <s v="PROD57"/>
    <s v="STORE10"/>
    <n v="4"/>
    <n v="559.59"/>
    <n v="0.19"/>
    <s v="COD"/>
    <n v="1813.0716"/>
    <n v="645628.34910000011"/>
    <n v="1072.4723406976746"/>
    <n v="199"/>
    <s v="High Value"/>
    <s v="Nov-2024"/>
    <s v="Foam Roller"/>
    <x v="0"/>
  </r>
  <r>
    <s v="PROD29"/>
    <s v="STORE18"/>
    <n v="1"/>
    <n v="758.54"/>
    <n v="0.28999999999999998"/>
    <s v="PayPal"/>
    <n v="538.5634"/>
    <n v="643815.27750000008"/>
    <n v="1071.2400623960068"/>
    <n v="199"/>
    <s v="Low Value"/>
    <s v="Jun-2024"/>
    <s v="Fabric Sofa Throw Blanket"/>
    <x v="3"/>
  </r>
  <r>
    <s v="PROD80"/>
    <s v="STORE15"/>
    <n v="4"/>
    <n v="643.96"/>
    <n v="0.16"/>
    <s v="PayPal"/>
    <n v="2163.7055999999998"/>
    <n v="643276.71410000022"/>
    <n v="1072.1278568333337"/>
    <n v="198"/>
    <s v="High Value"/>
    <s v="Dec-2024"/>
    <s v="Wall-Mounted Spice Rack"/>
    <x v="3"/>
  </r>
  <r>
    <s v="PROD24"/>
    <s v="STORE9"/>
    <n v="1"/>
    <n v="882.73"/>
    <n v="0.1"/>
    <s v="Credit Card"/>
    <n v="794.45699999999999"/>
    <n v="641113.00850000011"/>
    <n v="1070.3055233722873"/>
    <n v="197"/>
    <s v="Low Value"/>
    <s v="Dec-2024"/>
    <s v="Foldable Camping Chair"/>
    <x v="0"/>
  </r>
  <r>
    <s v="PROD91"/>
    <s v="STORE19"/>
    <n v="2"/>
    <n v="600.03"/>
    <n v="0.26"/>
    <s v="PayPal"/>
    <n v="888.0444"/>
    <n v="640318.55150000006"/>
    <n v="1070.7668085284281"/>
    <n v="197"/>
    <s v="Low Value"/>
    <s v="Mar-2024"/>
    <s v="Women's High Heels"/>
    <x v="4"/>
  </r>
  <r>
    <s v="PROD54"/>
    <s v="STORE5"/>
    <n v="2"/>
    <n v="628.83000000000004"/>
    <n v="7.0000000000000007E-2"/>
    <s v="PayPal"/>
    <n v="1169.6238000000001"/>
    <n v="639430.50710000005"/>
    <n v="1071.0728762144054"/>
    <n v="196"/>
    <s v="High Value"/>
    <s v="Dec-2024"/>
    <s v="Sports Stopwatch Pro"/>
    <x v="0"/>
  </r>
  <r>
    <s v="PROD81"/>
    <s v="STORE9"/>
    <n v="3"/>
    <n v="113.87"/>
    <n v="0.21"/>
    <s v="COD"/>
    <n v="269.87189999999998"/>
    <n v="638260.8833000001"/>
    <n v="1070.9075223154364"/>
    <n v="195"/>
    <s v="Low Value"/>
    <s v="Dec-2023"/>
    <s v="Badminton Racket Set"/>
    <x v="0"/>
  </r>
  <r>
    <s v="PROD72"/>
    <s v="STORE7"/>
    <n v="4"/>
    <n v="282.07"/>
    <n v="0.18"/>
    <s v="PayPal"/>
    <n v="925.18960000000004"/>
    <n v="637991.01140000008"/>
    <n v="1072.2538006722691"/>
    <n v="195"/>
    <s v="Low Value"/>
    <s v="Feb-2024"/>
    <s v="Professional Jump Rope"/>
    <x v="0"/>
  </r>
  <r>
    <s v="PROD54"/>
    <s v="STORE6"/>
    <n v="3"/>
    <n v="676.77"/>
    <n v="0.17"/>
    <s v="PayPal"/>
    <n v="1685.1573000000001"/>
    <n v="637065.82179999992"/>
    <n v="1072.5013835016834"/>
    <n v="194"/>
    <s v="High Value"/>
    <s v="Dec-2023"/>
    <s v="Sports Stopwatch Pro"/>
    <x v="0"/>
  </r>
  <r>
    <s v="PROD7"/>
    <s v="STORE16"/>
    <n v="2"/>
    <n v="362.7"/>
    <n v="0.09"/>
    <s v="Credit Card"/>
    <n v="660.11400000000003"/>
    <n v="635380.66449999996"/>
    <n v="1071.46823693086"/>
    <n v="193"/>
    <s v="Low Value"/>
    <s v="Dec-2024"/>
    <s v="LED Table Lamp"/>
    <x v="3"/>
  </r>
  <r>
    <s v="PROD13"/>
    <s v="STORE2"/>
    <n v="1"/>
    <n v="908.5"/>
    <n v="0.2"/>
    <s v="COD"/>
    <n v="726.80000000000007"/>
    <n v="634720.5504999999"/>
    <n v="1072.1630920608106"/>
    <n v="193"/>
    <s v="Low Value"/>
    <s v="Jan-2025"/>
    <s v="USB-C Fast Charger"/>
    <x v="1"/>
  </r>
  <r>
    <s v="PROD25"/>
    <s v="STORE15"/>
    <n v="2"/>
    <n v="795.37"/>
    <n v="0.2"/>
    <s v="COD"/>
    <n v="1272.5920000000001"/>
    <n v="633993.75049999985"/>
    <n v="1072.7474627749575"/>
    <n v="193"/>
    <s v="High Value"/>
    <s v="Jan-2024"/>
    <s v="Women's Scarf Set"/>
    <x v="4"/>
  </r>
  <r>
    <s v="PROD35"/>
    <s v="STORE4"/>
    <n v="2"/>
    <n v="326.85000000000002"/>
    <n v="0.17"/>
    <s v="COD"/>
    <n v="542.57100000000003"/>
    <n v="632721.1584999999"/>
    <n v="1072.4087432203389"/>
    <n v="193"/>
    <s v="Low Value"/>
    <s v="Apr-2025"/>
    <s v="Bedroom Table Lamp"/>
    <x v="3"/>
  </r>
  <r>
    <s v="PROD56"/>
    <s v="STORE14"/>
    <n v="3"/>
    <n v="169.43"/>
    <n v="0.19"/>
    <s v="Credit Card"/>
    <n v="411.71490000000011"/>
    <n v="632178.58749999991"/>
    <n v="1073.3082979626483"/>
    <n v="193"/>
    <s v="Low Value"/>
    <s v="Nov-2024"/>
    <s v="Premium Blanket Throw"/>
    <x v="3"/>
  </r>
  <r>
    <s v="PROD83"/>
    <s v="STORE6"/>
    <n v="1"/>
    <n v="254.47"/>
    <n v="0.1"/>
    <s v="Credit Card"/>
    <n v="229.023"/>
    <n v="631766.87259999989"/>
    <n v="1074.4334568027209"/>
    <n v="193"/>
    <s v="Low Value"/>
    <s v="May-2024"/>
    <s v="Hydrating Face Cleanser"/>
    <x v="2"/>
  </r>
  <r>
    <s v="PROD25"/>
    <s v="STORE16"/>
    <n v="4"/>
    <n v="627.73"/>
    <n v="0.11"/>
    <s v="COD"/>
    <n v="2234.7188000000001"/>
    <n v="631537.84959999996"/>
    <n v="1075.8736790459966"/>
    <n v="193"/>
    <s v="High Value"/>
    <s v="Aug-2024"/>
    <s v="Women's Scarf Set"/>
    <x v="4"/>
  </r>
  <r>
    <s v="PROD31"/>
    <s v="STORE19"/>
    <n v="4"/>
    <n v="327.25"/>
    <n v="0.13"/>
    <s v="COD"/>
    <n v="1138.83"/>
    <n v="629303.13080000004"/>
    <n v="1073.8961276450514"/>
    <n v="193"/>
    <s v="High Value"/>
    <s v="Apr-2024"/>
    <s v="Basketball"/>
    <x v="0"/>
  </r>
  <r>
    <s v="PROD59"/>
    <s v="STORE11"/>
    <n v="4"/>
    <n v="511.43"/>
    <n v="0.18"/>
    <s v="COD"/>
    <n v="1677.4903999999999"/>
    <n v="628164.30079999997"/>
    <n v="1073.7851295726496"/>
    <n v="193"/>
    <s v="High Value"/>
    <s v="Apr-2025"/>
    <s v="Men's Hair Styling Gel"/>
    <x v="2"/>
  </r>
  <r>
    <s v="PROD63"/>
    <s v="STORE17"/>
    <n v="4"/>
    <n v="194.67"/>
    <n v="0.23"/>
    <s v="PayPal"/>
    <n v="599.58359999999993"/>
    <n v="626486.81039999996"/>
    <n v="1072.7513876712328"/>
    <n v="193"/>
    <s v="Low Value"/>
    <s v="Jun-2024"/>
    <s v="Organic Sunscreen Lotion"/>
    <x v="2"/>
  </r>
  <r>
    <s v="PROD23"/>
    <s v="STORE1"/>
    <n v="2"/>
    <n v="54.51"/>
    <n v="7.0000000000000007E-2"/>
    <s v="Credit Card"/>
    <n v="101.3886"/>
    <n v="625887.22680000006"/>
    <n v="1073.5629962264152"/>
    <n v="192"/>
    <s v="Low Value"/>
    <s v="Jan-2024"/>
    <s v="Men's Formal Shirt"/>
    <x v="4"/>
  </r>
  <r>
    <s v="PROD62"/>
    <s v="STORE11"/>
    <n v="4"/>
    <n v="964"/>
    <n v="0.14000000000000001"/>
    <s v="PayPal"/>
    <n v="3316.16"/>
    <n v="625785.8382"/>
    <n v="1075.2333989690721"/>
    <n v="192"/>
    <s v="High Value"/>
    <s v="Sep-2024"/>
    <s v="Laptop Cooling Pad"/>
    <x v="1"/>
  </r>
  <r>
    <s v="PROD89"/>
    <s v="STORE4"/>
    <n v="1"/>
    <n v="170.12"/>
    <n v="0.26"/>
    <s v="PayPal"/>
    <n v="125.8888"/>
    <n v="622469.6782000002"/>
    <n v="1071.3763824440623"/>
    <n v="191"/>
    <s v="Low Value"/>
    <s v="Aug-2024"/>
    <s v="Face Foundation Kit"/>
    <x v="2"/>
  </r>
  <r>
    <s v="PROD53"/>
    <s v="STORE19"/>
    <n v="2"/>
    <n v="664.5"/>
    <n v="0.23"/>
    <s v="Credit Card"/>
    <n v="1023.33"/>
    <n v="622343.78940000024"/>
    <n v="1073.0065334482763"/>
    <n v="190"/>
    <s v="High Value"/>
    <s v="Aug-2025"/>
    <s v="Men's Track Pants"/>
    <x v="4"/>
  </r>
  <r>
    <s v="PROD45"/>
    <s v="STORE10"/>
    <n v="4"/>
    <n v="557.51"/>
    <n v="0.11"/>
    <s v="Credit Card"/>
    <n v="1984.7356"/>
    <n v="621320.45940000017"/>
    <n v="1073.0923305699484"/>
    <n v="190"/>
    <s v="High Value"/>
    <s v="Oct-2025"/>
    <s v="High-Grip Football"/>
    <x v="0"/>
  </r>
  <r>
    <s v="PROD90"/>
    <s v="STORE1"/>
    <n v="2"/>
    <n v="410"/>
    <n v="0.13"/>
    <s v="COD"/>
    <n v="713.4"/>
    <n v="619335.72380000015"/>
    <n v="1071.5150930795851"/>
    <n v="190"/>
    <s v="Low Value"/>
    <s v="May-2025"/>
    <s v="Gaming Mouse Pad XL"/>
    <x v="1"/>
  </r>
  <r>
    <s v="PROD83"/>
    <s v="STORE5"/>
    <n v="2"/>
    <n v="879.93"/>
    <n v="0.28999999999999998"/>
    <s v="COD"/>
    <n v="1249.5006000000001"/>
    <n v="618622.32380000013"/>
    <n v="1072.1357431542463"/>
    <n v="190"/>
    <s v="High Value"/>
    <s v="Jun-2024"/>
    <s v="Hydrating Face Cleanser"/>
    <x v="2"/>
  </r>
  <r>
    <s v="PROD13"/>
    <s v="STORE18"/>
    <n v="1"/>
    <n v="350.58"/>
    <n v="0.03"/>
    <s v="COD"/>
    <n v="340.06259999999997"/>
    <n v="617372.82320000022"/>
    <n v="1071.827818055556"/>
    <n v="190"/>
    <s v="Low Value"/>
    <s v="Jan-2025"/>
    <s v="USB-C Fast Charger"/>
    <x v="1"/>
  </r>
  <r>
    <s v="PROD58"/>
    <s v="STORE3"/>
    <n v="4"/>
    <n v="348.58"/>
    <n v="0.16"/>
    <s v="Credit Card"/>
    <n v="1171.2288000000001"/>
    <n v="617032.76060000027"/>
    <n v="1073.1004532173918"/>
    <n v="190"/>
    <s v="High Value"/>
    <s v="Dec-2024"/>
    <s v="Womens Cotton Scarf"/>
    <x v="4"/>
  </r>
  <r>
    <s v="PROD25"/>
    <s v="STORE3"/>
    <n v="3"/>
    <n v="247.66"/>
    <n v="0.02"/>
    <s v="COD"/>
    <n v="728.12040000000002"/>
    <n v="615861.53180000035"/>
    <n v="1072.9294979094082"/>
    <n v="190"/>
    <s v="Low Value"/>
    <s v="Sep-2024"/>
    <s v="Women's Scarf Set"/>
    <x v="4"/>
  </r>
  <r>
    <s v="PROD39"/>
    <s v="STORE15"/>
    <n v="3"/>
    <n v="836.27"/>
    <n v="0.16"/>
    <s v="Credit Card"/>
    <n v="2107.4004"/>
    <n v="615133.41140000033"/>
    <n v="1073.5312589877842"/>
    <n v="190"/>
    <s v="High Value"/>
    <s v="Nov-2023"/>
    <s v="Portable Power Bank"/>
    <x v="1"/>
  </r>
  <r>
    <s v="PROD14"/>
    <s v="STORE10"/>
    <n v="3"/>
    <n v="696.74"/>
    <n v="0.13"/>
    <s v="COD"/>
    <n v="1818.4914000000001"/>
    <n v="613026.01100000029"/>
    <n v="1071.723795454546"/>
    <n v="190"/>
    <s v="High Value"/>
    <s v="Apr-2025"/>
    <s v="Decorative Wall Mirror"/>
    <x v="3"/>
  </r>
  <r>
    <s v="PROD94"/>
    <s v="STORE13"/>
    <n v="2"/>
    <n v="822.59"/>
    <n v="0.22"/>
    <s v="PayPal"/>
    <n v="1283.2403999999999"/>
    <n v="611207.51960000035"/>
    <n v="1070.4159712784594"/>
    <n v="190"/>
    <s v="High Value"/>
    <s v="May-2025"/>
    <s v="Vitamin E Body Lotion"/>
    <x v="2"/>
  </r>
  <r>
    <s v="PROD79"/>
    <s v="STORE2"/>
    <n v="1"/>
    <n v="462.23"/>
    <n v="0.3"/>
    <s v="PayPal"/>
    <n v="323.56099999999998"/>
    <n v="609924.27920000034"/>
    <n v="1070.04259508772"/>
    <n v="189"/>
    <s v="Low Value"/>
    <s v="Dec-2023"/>
    <s v="Decorative Lamp Shade"/>
    <x v="3"/>
  </r>
  <r>
    <s v="PROD42"/>
    <s v="STORE17"/>
    <n v="1"/>
    <n v="361.09"/>
    <n v="0.06"/>
    <s v="PayPal"/>
    <n v="339.42459999999988"/>
    <n v="609600.71820000035"/>
    <n v="1071.3545135325137"/>
    <n v="188"/>
    <s v="Low Value"/>
    <s v="Sep-2025"/>
    <s v="Smart Home WiFi Camera"/>
    <x v="1"/>
  </r>
  <r>
    <s v="PROD73"/>
    <s v="STORE19"/>
    <n v="3"/>
    <n v="59.37"/>
    <n v="0.03"/>
    <s v="PayPal"/>
    <n v="172.76669999999999"/>
    <n v="609261.29360000032"/>
    <n v="1072.6431225352119"/>
    <n v="187"/>
    <s v="Low Value"/>
    <s v="Nov-2023"/>
    <s v="Shin Guards – Adult"/>
    <x v="0"/>
  </r>
  <r>
    <s v="PROD40"/>
    <s v="STORE1"/>
    <n v="3"/>
    <n v="765.21"/>
    <n v="0.14000000000000001"/>
    <s v="COD"/>
    <n v="1974.2418"/>
    <n v="609088.52690000029"/>
    <n v="1074.2302061728401"/>
    <n v="186"/>
    <s v="High Value"/>
    <s v="Jan-2025"/>
    <s v="Noise-Canceling Headphones"/>
    <x v="1"/>
  </r>
  <r>
    <s v="PROD32"/>
    <s v="STORE12"/>
    <n v="4"/>
    <n v="303.56"/>
    <n v="0.2"/>
    <s v="COD"/>
    <n v="971.39200000000005"/>
    <n v="607114.28510000033"/>
    <n v="1072.6400796819794"/>
    <n v="186"/>
    <s v="Low Value"/>
    <s v="Jun-2024"/>
    <s v="Vitamin C Face Serum"/>
    <x v="2"/>
  </r>
  <r>
    <s v="PROD27"/>
    <s v="STORE0"/>
    <n v="1"/>
    <n v="640.92999999999995"/>
    <n v="0.19"/>
    <s v="PayPal"/>
    <n v="519.15329999999994"/>
    <n v="606142.89310000022"/>
    <n v="1072.8192798230093"/>
    <n v="186"/>
    <s v="Low Value"/>
    <s v="May-2025"/>
    <s v="Decorative Floor Vase"/>
    <x v="3"/>
  </r>
  <r>
    <s v="PROD86"/>
    <s v="STORE10"/>
    <n v="2"/>
    <n v="611.25"/>
    <n v="0.22"/>
    <s v="Credit Card"/>
    <n v="953.55000000000007"/>
    <n v="605623.73980000021"/>
    <n v="1073.800957092199"/>
    <n v="185"/>
    <s v="Low Value"/>
    <s v="Jun-2025"/>
    <s v="Kitchen Cutting Board"/>
    <x v="3"/>
  </r>
  <r>
    <s v="PROD66"/>
    <s v="STORE1"/>
    <n v="1"/>
    <n v="209.93"/>
    <n v="0.21"/>
    <s v="Credit Card"/>
    <n v="165.84469999999999"/>
    <n v="604670.18980000028"/>
    <n v="1074.0145467140326"/>
    <n v="185"/>
    <s v="Low Value"/>
    <s v="Apr-2025"/>
    <s v="Women's Hair Dryer Brush"/>
    <x v="2"/>
  </r>
  <r>
    <s v="PROD99"/>
    <s v="STORE10"/>
    <n v="3"/>
    <n v="130.38999999999999"/>
    <n v="0.24"/>
    <s v="PayPal"/>
    <n v="297.28919999999999"/>
    <n v="604504.34510000027"/>
    <n v="1075.6305072953742"/>
    <n v="185"/>
    <s v="Low Value"/>
    <s v="Jul-2025"/>
    <s v="Stainless Steel Cookware Set"/>
    <x v="3"/>
  </r>
  <r>
    <s v="PROD93"/>
    <s v="STORE7"/>
    <n v="2"/>
    <n v="846.18"/>
    <n v="0.1"/>
    <s v="COD"/>
    <n v="1523.124"/>
    <n v="604207.05590000027"/>
    <n v="1077.0179249554371"/>
    <n v="184"/>
    <s v="High Value"/>
    <s v="Jan-2024"/>
    <s v="USB-C Laptop Charger"/>
    <x v="1"/>
  </r>
  <r>
    <s v="PROD70"/>
    <s v="STORE14"/>
    <n v="2"/>
    <n v="424.53"/>
    <n v="0.14000000000000001"/>
    <s v="COD"/>
    <n v="730.19159999999999"/>
    <n v="602683.93190000032"/>
    <n v="1076.2213069642862"/>
    <n v="184"/>
    <s v="Low Value"/>
    <s v="Jun-2025"/>
    <s v="Kitchen Storage Rack"/>
    <x v="3"/>
  </r>
  <r>
    <s v="PROD88"/>
    <s v="STORE14"/>
    <n v="4"/>
    <n v="450.42"/>
    <n v="0.08"/>
    <s v="COD"/>
    <n v="1657.5455999999999"/>
    <n v="601953.7403000003"/>
    <n v="1076.840322540251"/>
    <n v="184"/>
    <s v="High Value"/>
    <s v="Sep-2024"/>
    <s v="Sports Wrist Sweatbands"/>
    <x v="0"/>
  </r>
  <r>
    <s v="PROD26"/>
    <s v="STORE9"/>
    <n v="4"/>
    <n v="896.91"/>
    <n v="0.1"/>
    <s v="Credit Card"/>
    <n v="3228.8760000000002"/>
    <n v="600296.19470000023"/>
    <n v="1075.7996320788534"/>
    <n v="184"/>
    <s v="High Value"/>
    <s v="Aug-2025"/>
    <s v="Wireless Bluetooth Speaker"/>
    <x v="1"/>
  </r>
  <r>
    <s v="PROD97"/>
    <s v="STORE10"/>
    <n v="3"/>
    <n v="679.38"/>
    <n v="0.3"/>
    <s v="COD"/>
    <n v="1426.6980000000001"/>
    <n v="597067.31870000029"/>
    <n v="1071.934144883304"/>
    <n v="184"/>
    <s v="High Value"/>
    <s v="Jun-2025"/>
    <s v="Cricket Bat"/>
    <x v="0"/>
  </r>
  <r>
    <s v="PROD80"/>
    <s v="STORE16"/>
    <n v="3"/>
    <n v="483.63"/>
    <n v="0"/>
    <s v="Credit Card"/>
    <n v="1450.89"/>
    <n v="595640.6207000002"/>
    <n v="1071.2960803956839"/>
    <n v="184"/>
    <s v="High Value"/>
    <s v="Oct-2024"/>
    <s v="Wall-Mounted Spice Rack"/>
    <x v="3"/>
  </r>
  <r>
    <s v="PROD39"/>
    <s v="STORE0"/>
    <n v="3"/>
    <n v="158.27000000000001"/>
    <n v="0.24"/>
    <s v="COD"/>
    <n v="360.85559999999998"/>
    <n v="594189.73070000019"/>
    <n v="1070.6121273873878"/>
    <n v="184"/>
    <s v="Low Value"/>
    <s v="Sep-2024"/>
    <s v="Portable Power Bank"/>
    <x v="1"/>
  </r>
  <r>
    <s v="PROD2"/>
    <s v="STORE15"/>
    <n v="4"/>
    <n v="601.5"/>
    <n v="0.18"/>
    <s v="Credit Card"/>
    <n v="1972.92"/>
    <n v="593828.87510000018"/>
    <n v="1071.893276353791"/>
    <n v="184"/>
    <s v="High Value"/>
    <s v="Apr-2025"/>
    <s v="Women's Casual Hoodie"/>
    <x v="4"/>
  </r>
  <r>
    <s v="PROD31"/>
    <s v="STORE18"/>
    <n v="2"/>
    <n v="46.39"/>
    <n v="7.0000000000000007E-2"/>
    <s v="Credit Card"/>
    <n v="86.285399999999996"/>
    <n v="591855.95510000014"/>
    <n v="1070.2639332730564"/>
    <n v="184"/>
    <s v="Low Value"/>
    <s v="Feb-2025"/>
    <s v="Basketball"/>
    <x v="0"/>
  </r>
  <r>
    <s v="PROD82"/>
    <s v="STORE8"/>
    <n v="4"/>
    <n v="892.28"/>
    <n v="0.23"/>
    <s v="Credit Card"/>
    <n v="2748.2224000000001"/>
    <n v="591769.66970000009"/>
    <n v="1072.0465030797102"/>
    <n v="184"/>
    <s v="High Value"/>
    <s v="Oct-2024"/>
    <s v="Fitness Resistance Bands"/>
    <x v="0"/>
  </r>
  <r>
    <s v="PROD10"/>
    <s v="STORE7"/>
    <n v="2"/>
    <n v="164.23"/>
    <n v="0.17"/>
    <s v="Credit Card"/>
    <n v="272.62180000000001"/>
    <n v="589021.4473"/>
    <n v="1069.0044415607986"/>
    <n v="184"/>
    <s v="Low Value"/>
    <s v="Jul-2024"/>
    <s v="Ceramic Kitchen Bowl Set"/>
    <x v="3"/>
  </r>
  <r>
    <s v="PROD9"/>
    <s v="STORE7"/>
    <n v="1"/>
    <n v="484.23"/>
    <n v="0.12"/>
    <s v="COD"/>
    <n v="426.12240000000003"/>
    <n v="588748.82550000004"/>
    <n v="1070.4524100000001"/>
    <n v="184"/>
    <s v="Low Value"/>
    <s v="Jan-2024"/>
    <s v="Adjustable Dumbbell Set"/>
    <x v="0"/>
  </r>
  <r>
    <s v="PROD35"/>
    <s v="STORE18"/>
    <n v="3"/>
    <n v="341.51"/>
    <n v="0.22"/>
    <s v="COD"/>
    <n v="799.13340000000005"/>
    <n v="588322.70309999993"/>
    <n v="1071.6260530054644"/>
    <n v="184"/>
    <s v="Low Value"/>
    <s v="Apr-2024"/>
    <s v="Bedroom Table Lamp"/>
    <x v="3"/>
  </r>
  <r>
    <s v="PROD98"/>
    <s v="STORE13"/>
    <n v="3"/>
    <n v="758.87"/>
    <n v="0.11"/>
    <s v="PayPal"/>
    <n v="2026.1829"/>
    <n v="587523.56969999999"/>
    <n v="1072.1233023722627"/>
    <n v="184"/>
    <s v="High Value"/>
    <s v="May-2025"/>
    <s v="Portable Bluetooth Speaker"/>
    <x v="1"/>
  </r>
  <r>
    <s v="PROD56"/>
    <s v="STORE12"/>
    <n v="3"/>
    <n v="560.52"/>
    <n v="0.17"/>
    <s v="Credit Card"/>
    <n v="1395.6948"/>
    <n v="585497.38679999998"/>
    <n v="1070.3791349177332"/>
    <n v="183"/>
    <s v="High Value"/>
    <s v="Jul-2025"/>
    <s v="Premium Blanket Throw"/>
    <x v="3"/>
  </r>
  <r>
    <s v="PROD96"/>
    <s v="STORE17"/>
    <n v="2"/>
    <n v="977.18"/>
    <n v="0.19"/>
    <s v="Credit Card"/>
    <n v="1583.0316"/>
    <n v="584101.69200000004"/>
    <n v="1069.7833186813189"/>
    <n v="183"/>
    <s v="High Value"/>
    <s v="Aug-2024"/>
    <s v="Women's Formal Blazer"/>
    <x v="4"/>
  </r>
  <r>
    <s v="PROD16"/>
    <s v="STORE14"/>
    <n v="4"/>
    <n v="761.35"/>
    <n v="0.08"/>
    <s v="Credit Card"/>
    <n v="2801.768"/>
    <n v="582518.66039999994"/>
    <n v="1068.8415787155961"/>
    <n v="183"/>
    <s v="High Value"/>
    <s v="Apr-2025"/>
    <s v="Beard Grooming Kit"/>
    <x v="2"/>
  </r>
  <r>
    <s v="PROD67"/>
    <s v="STORE18"/>
    <n v="2"/>
    <n v="947.56"/>
    <n v="0.02"/>
    <s v="COD"/>
    <n v="1857.2175999999999"/>
    <n v="579716.89240000001"/>
    <n v="1065.6560522058824"/>
    <n v="183"/>
    <s v="High Value"/>
    <s v="Aug-2025"/>
    <s v="Smart LED Light Strip"/>
    <x v="1"/>
  </r>
  <r>
    <s v="PROD43"/>
    <s v="STORE18"/>
    <n v="4"/>
    <n v="975.47"/>
    <n v="0.04"/>
    <s v="Credit Card"/>
    <n v="3745.8047999999999"/>
    <n v="577859.67480000004"/>
    <n v="1064.1982961325969"/>
    <n v="183"/>
    <s v="High Value"/>
    <s v="Oct-2025"/>
    <s v="USB External Hard Drive"/>
    <x v="1"/>
  </r>
  <r>
    <s v="PROD13"/>
    <s v="STORE9"/>
    <n v="3"/>
    <n v="769.06"/>
    <n v="0.23"/>
    <s v="COD"/>
    <n v="1776.5286000000001"/>
    <n v="574113.87"/>
    <n v="1059.2506826568265"/>
    <n v="183"/>
    <s v="High Value"/>
    <s v="Jun-2024"/>
    <s v="USB-C Fast Charger"/>
    <x v="1"/>
  </r>
  <r>
    <s v="PROD39"/>
    <s v="STORE2"/>
    <n v="3"/>
    <n v="824.75"/>
    <n v="0.23"/>
    <s v="Credit Card"/>
    <n v="1905.1724999999999"/>
    <n v="572337.34140000003"/>
    <n v="1057.9248454713495"/>
    <n v="183"/>
    <s v="High Value"/>
    <s v="Sep-2025"/>
    <s v="Portable Power Bank"/>
    <x v="1"/>
  </r>
  <r>
    <s v="PROD68"/>
    <s v="STORE4"/>
    <n v="2"/>
    <n v="821.35"/>
    <n v="0.11"/>
    <s v="PayPal"/>
    <n v="1462.0029999999999"/>
    <n v="570432.16889999993"/>
    <n v="1056.3558683333333"/>
    <n v="183"/>
    <s v="High Value"/>
    <s v="Jul-2024"/>
    <s v="Wooden Nightstand"/>
    <x v="3"/>
  </r>
  <r>
    <s v="PROD13"/>
    <s v="STORE10"/>
    <n v="1"/>
    <n v="120.57"/>
    <n v="0.06"/>
    <s v="PayPal"/>
    <n v="113.33580000000001"/>
    <n v="568970.16590000002"/>
    <n v="1055.6032762523191"/>
    <n v="182"/>
    <s v="Low Value"/>
    <s v="Mar-2025"/>
    <s v="USB-C Fast Charger"/>
    <x v="1"/>
  </r>
  <r>
    <s v="PROD89"/>
    <s v="STORE1"/>
    <n v="1"/>
    <n v="122.27"/>
    <n v="0.26"/>
    <s v="PayPal"/>
    <n v="90.479799999999997"/>
    <n v="568856.83010000002"/>
    <n v="1057.3547027881041"/>
    <n v="181"/>
    <s v="Low Value"/>
    <s v="Nov-2023"/>
    <s v="Face Foundation Kit"/>
    <x v="2"/>
  </r>
  <r>
    <s v="PROD26"/>
    <s v="STORE2"/>
    <n v="2"/>
    <n v="182.89"/>
    <n v="0.11"/>
    <s v="Credit Card"/>
    <n v="325.54419999999999"/>
    <n v="568766.35029999993"/>
    <n v="1059.1552147113593"/>
    <n v="180"/>
    <s v="Low Value"/>
    <s v="Aug-2025"/>
    <s v="Wireless Bluetooth Speaker"/>
    <x v="1"/>
  </r>
  <r>
    <s v="PROD46"/>
    <s v="STORE4"/>
    <n v="1"/>
    <n v="695.26"/>
    <n v="0.23"/>
    <s v="PayPal"/>
    <n v="535.35019999999997"/>
    <n v="568440.80610000005"/>
    <n v="1060.523891977612"/>
    <n v="180"/>
    <s v="Low Value"/>
    <s v="May-2025"/>
    <s v="Men's Winter Jacket"/>
    <x v="4"/>
  </r>
  <r>
    <s v="PROD29"/>
    <s v="STORE6"/>
    <n v="2"/>
    <n v="408.8"/>
    <n v="0.17"/>
    <s v="COD"/>
    <n v="678.60799999999995"/>
    <n v="567905.45590000006"/>
    <n v="1061.5055250467292"/>
    <n v="179"/>
    <s v="Low Value"/>
    <s v="Aug-2025"/>
    <s v="Fabric Sofa Throw Blanket"/>
    <x v="3"/>
  </r>
  <r>
    <s v="PROD49"/>
    <s v="STORE8"/>
    <n v="3"/>
    <n v="512.15"/>
    <n v="0.12"/>
    <s v="Credit Card"/>
    <n v="1352.076"/>
    <n v="567226.84790000005"/>
    <n v="1062.222561610487"/>
    <n v="179"/>
    <s v="High Value"/>
    <s v="Jan-2025"/>
    <s v="Men's Roll-On Perfume"/>
    <x v="2"/>
  </r>
  <r>
    <s v="PROD9"/>
    <s v="STORE8"/>
    <n v="3"/>
    <n v="136.4"/>
    <n v="0.15"/>
    <s v="PayPal"/>
    <n v="347.82000000000011"/>
    <n v="565874.77190000005"/>
    <n v="1061.6787465290809"/>
    <n v="179"/>
    <s v="Low Value"/>
    <s v="Oct-2024"/>
    <s v="Adjustable Dumbbell Set"/>
    <x v="0"/>
  </r>
  <r>
    <s v="PROD6"/>
    <s v="STORE3"/>
    <n v="2"/>
    <n v="42.51"/>
    <n v="0.04"/>
    <s v="COD"/>
    <n v="81.619199999999992"/>
    <n v="565526.9519000001"/>
    <n v="1063.0205862781957"/>
    <n v="178"/>
    <s v="Low Value"/>
    <s v="Dec-2023"/>
    <s v="Herbal Face Moisturizer"/>
    <x v="2"/>
  </r>
  <r>
    <s v="PROD75"/>
    <s v="STORE7"/>
    <n v="3"/>
    <n v="582.1"/>
    <n v="0.12"/>
    <s v="PayPal"/>
    <n v="1536.7439999999999"/>
    <n v="565445.33270000014"/>
    <n v="1064.8687998116764"/>
    <n v="178"/>
    <s v="High Value"/>
    <s v="Mar-2025"/>
    <s v="Women's Ankle Boots"/>
    <x v="4"/>
  </r>
  <r>
    <s v="PROD82"/>
    <s v="STORE17"/>
    <n v="4"/>
    <n v="461.52"/>
    <n v="0"/>
    <s v="COD"/>
    <n v="1846.08"/>
    <n v="563908.58870000008"/>
    <n v="1063.9784692452831"/>
    <n v="177"/>
    <s v="High Value"/>
    <s v="Mar-2024"/>
    <s v="Fitness Resistance Bands"/>
    <x v="0"/>
  </r>
  <r>
    <s v="PROD16"/>
    <s v="STORE11"/>
    <n v="1"/>
    <n v="558.41999999999996"/>
    <n v="0.03"/>
    <s v="Credit Card"/>
    <n v="541.66739999999993"/>
    <n v="562062.50870000001"/>
    <n v="1062.5000164461248"/>
    <n v="177"/>
    <s v="Low Value"/>
    <s v="Sep-2024"/>
    <s v="Beard Grooming Kit"/>
    <x v="2"/>
  </r>
  <r>
    <s v="PROD12"/>
    <s v="STORE18"/>
    <n v="4"/>
    <n v="700.98"/>
    <n v="0.12"/>
    <s v="PayPal"/>
    <n v="2467.4495999999999"/>
    <n v="561520.84130000009"/>
    <n v="1063.4864418560608"/>
    <n v="177"/>
    <s v="High Value"/>
    <s v="Dec-2023"/>
    <s v="Hair Strengthening Shampoo"/>
    <x v="2"/>
  </r>
  <r>
    <s v="PROD85"/>
    <s v="STORE18"/>
    <n v="2"/>
    <n v="227.97"/>
    <n v="0.08"/>
    <s v="COD"/>
    <n v="419.46480000000003"/>
    <n v="559053.39169999992"/>
    <n v="1060.8223751423147"/>
    <n v="176"/>
    <s v="Low Value"/>
    <s v="Nov-2024"/>
    <s v="Women's Beanie Hat"/>
    <x v="4"/>
  </r>
  <r>
    <s v="PROD39"/>
    <s v="STORE11"/>
    <n v="4"/>
    <n v="278.70999999999998"/>
    <n v="0.2"/>
    <s v="PayPal"/>
    <n v="891.87199999999996"/>
    <n v="558633.92689999996"/>
    <n v="1062.0416861216729"/>
    <n v="176"/>
    <s v="Low Value"/>
    <s v="Aug-2024"/>
    <s v="Portable Power Bank"/>
    <x v="1"/>
  </r>
  <r>
    <s v="PROD99"/>
    <s v="STORE8"/>
    <n v="2"/>
    <n v="916.12"/>
    <n v="0.05"/>
    <s v="PayPal"/>
    <n v="1740.6279999999999"/>
    <n v="557742.05489999999"/>
    <n v="1062.3658188571428"/>
    <n v="175"/>
    <s v="High Value"/>
    <s v="Mar-2024"/>
    <s v="Stainless Steel Cookware Set"/>
    <x v="3"/>
  </r>
  <r>
    <s v="PROD10"/>
    <s v="STORE12"/>
    <n v="4"/>
    <n v="228.98"/>
    <n v="0.22"/>
    <s v="PayPal"/>
    <n v="714.41759999999999"/>
    <n v="556001.42689999985"/>
    <n v="1061.0714253816791"/>
    <n v="174"/>
    <s v="Low Value"/>
    <s v="Oct-2024"/>
    <s v="Ceramic Kitchen Bowl Set"/>
    <x v="3"/>
  </r>
  <r>
    <s v="PROD89"/>
    <s v="STORE15"/>
    <n v="4"/>
    <n v="904.82"/>
    <n v="0.09"/>
    <s v="PayPal"/>
    <n v="3293.5448000000001"/>
    <n v="555287.00929999992"/>
    <n v="1061.7342434034415"/>
    <n v="173"/>
    <s v="High Value"/>
    <s v="Aug-2024"/>
    <s v="Face Foundation Kit"/>
    <x v="2"/>
  </r>
  <r>
    <s v="PROD23"/>
    <s v="STORE11"/>
    <n v="1"/>
    <n v="588.61"/>
    <n v="0.1"/>
    <s v="PayPal"/>
    <n v="529.74900000000002"/>
    <n v="551993.46449999989"/>
    <n v="1057.4587442528734"/>
    <n v="172"/>
    <s v="Low Value"/>
    <s v="May-2025"/>
    <s v="Men's Formal Shirt"/>
    <x v="4"/>
  </r>
  <r>
    <s v="PROD33"/>
    <s v="STORE3"/>
    <n v="4"/>
    <n v="695.97"/>
    <n v="0.02"/>
    <s v="Credit Card"/>
    <n v="2728.2024000000001"/>
    <n v="551463.71549999993"/>
    <n v="1058.4716228406908"/>
    <n v="171"/>
    <s v="High Value"/>
    <s v="Nov-2023"/>
    <s v="Modern Wall Clock"/>
    <x v="3"/>
  </r>
  <r>
    <s v="PROD97"/>
    <s v="STORE11"/>
    <n v="2"/>
    <n v="181.42"/>
    <n v="0.08"/>
    <s v="PayPal"/>
    <n v="333.81279999999998"/>
    <n v="548735.51309999998"/>
    <n v="1055.2606021153845"/>
    <n v="171"/>
    <s v="Low Value"/>
    <s v="Jan-2024"/>
    <s v="Cricket Bat"/>
    <x v="0"/>
  </r>
  <r>
    <s v="PROD97"/>
    <s v="STORE13"/>
    <n v="1"/>
    <n v="439.55"/>
    <n v="0.28999999999999998"/>
    <s v="COD"/>
    <n v="312.08049999999997"/>
    <n v="548401.70029999991"/>
    <n v="1056.6506749518303"/>
    <n v="170"/>
    <s v="Low Value"/>
    <s v="Mar-2024"/>
    <s v="Cricket Bat"/>
    <x v="0"/>
  </r>
  <r>
    <s v="PROD55"/>
    <s v="STORE18"/>
    <n v="3"/>
    <n v="471.27"/>
    <n v="0.27"/>
    <s v="COD"/>
    <n v="1032.0813000000001"/>
    <n v="548089.61979999999"/>
    <n v="1058.0880691119692"/>
    <n v="170"/>
    <s v="High Value"/>
    <s v="Mar-2025"/>
    <s v="Ceramic Plant Pot"/>
    <x v="3"/>
  </r>
  <r>
    <s v="PROD59"/>
    <s v="STORE12"/>
    <n v="1"/>
    <n v="758.89"/>
    <n v="0.1"/>
    <s v="Credit Card"/>
    <n v="683.00099999999998"/>
    <n v="547057.53849999991"/>
    <n v="1058.1383723404253"/>
    <n v="170"/>
    <s v="Low Value"/>
    <s v="May-2024"/>
    <s v="Men's Hair Styling Gel"/>
    <x v="2"/>
  </r>
  <r>
    <s v="PROD95"/>
    <s v="STORE15"/>
    <n v="4"/>
    <n v="918.1"/>
    <n v="0.19"/>
    <s v="COD"/>
    <n v="2974.6439999999998"/>
    <n v="546374.53749999986"/>
    <n v="1058.8653827519377"/>
    <n v="170"/>
    <s v="High Value"/>
    <s v="Jul-2025"/>
    <s v="Sports Stopwatch Basic"/>
    <x v="0"/>
  </r>
  <r>
    <s v="PROD94"/>
    <s v="STORE11"/>
    <n v="1"/>
    <n v="861.5"/>
    <n v="0.05"/>
    <s v="COD"/>
    <n v="818.42499999999995"/>
    <n v="543399.89349999989"/>
    <n v="1055.1454242718444"/>
    <n v="170"/>
    <s v="Low Value"/>
    <s v="Oct-2024"/>
    <s v="Vitamin E Body Lotion"/>
    <x v="2"/>
  </r>
  <r>
    <s v="PROD22"/>
    <s v="STORE14"/>
    <n v="1"/>
    <n v="588.29999999999995"/>
    <n v="0.26"/>
    <s v="COD"/>
    <n v="435.34199999999998"/>
    <n v="542581.46849999996"/>
    <n v="1055.6059698443578"/>
    <n v="170"/>
    <s v="Low Value"/>
    <s v="Jan-2025"/>
    <s v="Carbon Fiber Tennis Racket"/>
    <x v="0"/>
  </r>
  <r>
    <s v="PROD55"/>
    <s v="STORE7"/>
    <n v="1"/>
    <n v="917.26"/>
    <n v="0.05"/>
    <s v="PayPal"/>
    <n v="871.39699999999993"/>
    <n v="542146.1264999999"/>
    <n v="1056.8150614035085"/>
    <n v="170"/>
    <s v="Low Value"/>
    <s v="Dec-2024"/>
    <s v="Ceramic Plant Pot"/>
    <x v="3"/>
  </r>
  <r>
    <s v="PROD6"/>
    <s v="STORE18"/>
    <n v="4"/>
    <n v="96.78"/>
    <n v="0.11"/>
    <s v="PayPal"/>
    <n v="344.53680000000003"/>
    <n v="541274.72949999978"/>
    <n v="1057.1772060546871"/>
    <n v="169"/>
    <s v="Low Value"/>
    <s v="Jun-2024"/>
    <s v="Herbal Face Moisturizer"/>
    <x v="2"/>
  </r>
  <r>
    <s v="PROD28"/>
    <s v="STORE4"/>
    <n v="3"/>
    <n v="199.41"/>
    <n v="0.16"/>
    <s v="COD"/>
    <n v="502.51319999999998"/>
    <n v="540930.19269999978"/>
    <n v="1058.5718056751464"/>
    <n v="168"/>
    <s v="Low Value"/>
    <s v="Dec-2024"/>
    <s v="Sports Stopwatch Timer"/>
    <x v="0"/>
  </r>
  <r>
    <s v="PROD54"/>
    <s v="STORE9"/>
    <n v="1"/>
    <n v="687.91"/>
    <n v="0.25"/>
    <s v="Credit Card"/>
    <n v="515.9325"/>
    <n v="540427.67949999974"/>
    <n v="1059.6621166666662"/>
    <n v="168"/>
    <s v="Low Value"/>
    <s v="Mar-2025"/>
    <s v="Sports Stopwatch Pro"/>
    <x v="0"/>
  </r>
  <r>
    <s v="PROD71"/>
    <s v="STORE2"/>
    <n v="3"/>
    <n v="769.62"/>
    <n v="0.09"/>
    <s v="PayPal"/>
    <n v="2101.0626000000002"/>
    <n v="539911.74699999974"/>
    <n v="1060.7303477406674"/>
    <n v="168"/>
    <s v="High Value"/>
    <s v="Jul-2025"/>
    <s v="Hair Repair Oil Treatment"/>
    <x v="2"/>
  </r>
  <r>
    <s v="PROD4"/>
    <s v="STORE3"/>
    <n v="1"/>
    <n v="492.05"/>
    <n v="0.27"/>
    <s v="Credit Card"/>
    <n v="359.19650000000001"/>
    <n v="537810.68439999968"/>
    <n v="1058.6824496062986"/>
    <n v="167"/>
    <s v="Low Value"/>
    <s v="Oct-2023"/>
    <s v="Women's Yoga Pants"/>
    <x v="4"/>
  </r>
  <r>
    <s v="PROD17"/>
    <s v="STORE12"/>
    <n v="2"/>
    <n v="428.55"/>
    <n v="0"/>
    <s v="PayPal"/>
    <n v="857.1"/>
    <n v="537451.4878999996"/>
    <n v="1060.0621063116364"/>
    <n v="167"/>
    <s v="Low Value"/>
    <s v="Jan-2024"/>
    <s v="Soccer Training Cone Set"/>
    <x v="0"/>
  </r>
  <r>
    <s v="PROD10"/>
    <s v="STORE15"/>
    <n v="4"/>
    <n v="316.18"/>
    <n v="0.12"/>
    <s v="Credit Card"/>
    <n v="1112.9536000000001"/>
    <n v="536594.38789999974"/>
    <n v="1060.4632171936753"/>
    <n v="166"/>
    <s v="High Value"/>
    <s v="Nov-2023"/>
    <s v="Ceramic Kitchen Bowl Set"/>
    <x v="3"/>
  </r>
  <r>
    <s v="PROD13"/>
    <s v="STORE3"/>
    <n v="3"/>
    <n v="162.16999999999999"/>
    <n v="0.15"/>
    <s v="PayPal"/>
    <n v="413.5335"/>
    <n v="535481.43429999962"/>
    <n v="1060.3592758415834"/>
    <n v="166"/>
    <s v="Low Value"/>
    <s v="Sep-2024"/>
    <s v="USB-C Fast Charger"/>
    <x v="1"/>
  </r>
  <r>
    <s v="PROD4"/>
    <s v="STORE3"/>
    <n v="3"/>
    <n v="698.14"/>
    <n v="0.04"/>
    <s v="PayPal"/>
    <n v="2010.6432"/>
    <n v="535067.90079999971"/>
    <n v="1061.6426603174598"/>
    <n v="165"/>
    <s v="High Value"/>
    <s v="Apr-2024"/>
    <s v="Women's Yoga Pants"/>
    <x v="4"/>
  </r>
  <r>
    <s v="PROD74"/>
    <s v="STORE18"/>
    <n v="1"/>
    <n v="478.08"/>
    <n v="7.0000000000000007E-2"/>
    <s v="COD"/>
    <n v="444.61439999999988"/>
    <n v="533057.25759999978"/>
    <n v="1059.7559793240553"/>
    <n v="164"/>
    <s v="Low Value"/>
    <s v="May-2025"/>
    <s v="Bluetooth Car Audio System"/>
    <x v="1"/>
  </r>
  <r>
    <s v="PROD59"/>
    <s v="STORE7"/>
    <n v="2"/>
    <n v="958.64"/>
    <n v="0.2"/>
    <s v="PayPal"/>
    <n v="1533.8240000000001"/>
    <n v="532612.6431999997"/>
    <n v="1060.9813609561747"/>
    <n v="164"/>
    <s v="High Value"/>
    <s v="Jun-2025"/>
    <s v="Men's Hair Styling Gel"/>
    <x v="2"/>
  </r>
  <r>
    <s v="PROD41"/>
    <s v="STORE12"/>
    <n v="2"/>
    <n v="581.19000000000005"/>
    <n v="7.0000000000000007E-2"/>
    <s v="COD"/>
    <n v="1081.0134"/>
    <n v="531078.81919999979"/>
    <n v="1060.0375632734526"/>
    <n v="163"/>
    <s v="High Value"/>
    <s v="Oct-2024"/>
    <s v="Yoga Exercise Mat"/>
    <x v="0"/>
  </r>
  <r>
    <s v="PROD99"/>
    <s v="STORE11"/>
    <n v="1"/>
    <n v="736.54"/>
    <n v="0.16"/>
    <s v="PayPal"/>
    <n v="618.69359999999995"/>
    <n v="529997.80579999974"/>
    <n v="1059.9956115999994"/>
    <n v="163"/>
    <s v="Low Value"/>
    <s v="Nov-2024"/>
    <s v="Stainless Steel Cookware Set"/>
    <x v="3"/>
  </r>
  <r>
    <s v="PROD65"/>
    <s v="STORE15"/>
    <n v="1"/>
    <n v="524"/>
    <n v="0.28000000000000003"/>
    <s v="Credit Card"/>
    <n v="377.28"/>
    <n v="529379.11219999974"/>
    <n v="1060.879984368737"/>
    <n v="162"/>
    <s v="Low Value"/>
    <s v="Oct-2024"/>
    <s v="Adjustable Dumbbells 20kg"/>
    <x v="0"/>
  </r>
  <r>
    <s v="PROD28"/>
    <s v="STORE3"/>
    <n v="4"/>
    <n v="566.09"/>
    <n v="0.28000000000000003"/>
    <s v="COD"/>
    <n v="1630.3391999999999"/>
    <n v="529001.83219999971"/>
    <n v="1062.2526751004011"/>
    <n v="162"/>
    <s v="High Value"/>
    <s v="Sep-2024"/>
    <s v="Sports Stopwatch Timer"/>
    <x v="0"/>
  </r>
  <r>
    <s v="PROD21"/>
    <s v="STORE10"/>
    <n v="1"/>
    <n v="251.99"/>
    <n v="0.09"/>
    <s v="Credit Card"/>
    <n v="229.3109"/>
    <n v="527371.49299999978"/>
    <n v="1061.1096438631787"/>
    <n v="162"/>
    <s v="Low Value"/>
    <s v="Apr-2025"/>
    <s v="Multi-Purpose Storage Box"/>
    <x v="3"/>
  </r>
  <r>
    <s v="PROD17"/>
    <s v="STORE19"/>
    <n v="1"/>
    <n v="259.2"/>
    <n v="0.27"/>
    <s v="COD"/>
    <n v="189.21600000000001"/>
    <n v="527142.18209999986"/>
    <n v="1062.7866574596771"/>
    <n v="162"/>
    <s v="Low Value"/>
    <s v="Mar-2024"/>
    <s v="Soccer Training Cone Set"/>
    <x v="0"/>
  </r>
  <r>
    <s v="PROD59"/>
    <s v="STORE15"/>
    <n v="1"/>
    <n v="935.66"/>
    <n v="0.26"/>
    <s v="PayPal"/>
    <n v="692.38839999999993"/>
    <n v="526952.96609999985"/>
    <n v="1064.5514466666664"/>
    <n v="162"/>
    <s v="Low Value"/>
    <s v="Nov-2023"/>
    <s v="Men's Hair Styling Gel"/>
    <x v="2"/>
  </r>
  <r>
    <s v="PROD35"/>
    <s v="STORE8"/>
    <n v="4"/>
    <n v="480.75"/>
    <n v="0.02"/>
    <s v="Credit Card"/>
    <n v="1884.54"/>
    <n v="526260.57769999979"/>
    <n v="1065.3048131578944"/>
    <n v="161"/>
    <s v="High Value"/>
    <s v="Jul-2025"/>
    <s v="Bedroom Table Lamp"/>
    <x v="3"/>
  </r>
  <r>
    <s v="PROD81"/>
    <s v="STORE15"/>
    <n v="2"/>
    <n v="457.83"/>
    <n v="0.01"/>
    <s v="COD"/>
    <n v="906.50339999999994"/>
    <n v="524376.03769999987"/>
    <n v="1063.6430784989855"/>
    <n v="161"/>
    <s v="Low Value"/>
    <s v="Jan-2025"/>
    <s v="Badminton Racket Set"/>
    <x v="0"/>
  </r>
  <r>
    <s v="PROD48"/>
    <s v="STORE14"/>
    <n v="1"/>
    <n v="994.63"/>
    <n v="0.28000000000000003"/>
    <s v="Credit Card"/>
    <n v="716.1336"/>
    <n v="523469.53429999988"/>
    <n v="1063.9624680894306"/>
    <n v="161"/>
    <s v="Low Value"/>
    <s v="Sep-2025"/>
    <s v="Car Dashboard Phone Holder"/>
    <x v="1"/>
  </r>
  <r>
    <s v="PROD90"/>
    <s v="STORE0"/>
    <n v="3"/>
    <n v="65.569999999999993"/>
    <n v="0.3"/>
    <s v="COD"/>
    <n v="137.697"/>
    <n v="522753.40069999994"/>
    <n v="1064.6708771894093"/>
    <n v="161"/>
    <s v="Low Value"/>
    <s v="Apr-2025"/>
    <s v="Gaming Mouse Pad XL"/>
    <x v="1"/>
  </r>
  <r>
    <s v="PROD58"/>
    <s v="STORE17"/>
    <n v="3"/>
    <n v="622.98"/>
    <n v="0.28000000000000003"/>
    <s v="PayPal"/>
    <n v="1345.6368"/>
    <n v="522615.7036999999"/>
    <n v="1066.5626606122446"/>
    <n v="161"/>
    <s v="High Value"/>
    <s v="Jun-2025"/>
    <s v="Womens Cotton Scarf"/>
    <x v="4"/>
  </r>
  <r>
    <s v="PROD55"/>
    <s v="STORE13"/>
    <n v="1"/>
    <n v="170.68"/>
    <n v="0.13"/>
    <s v="PayPal"/>
    <n v="148.49160000000001"/>
    <n v="521270.06689999992"/>
    <n v="1065.9919568507155"/>
    <n v="160"/>
    <s v="Low Value"/>
    <s v="Feb-2025"/>
    <s v="Ceramic Plant Pot"/>
    <x v="3"/>
  </r>
  <r>
    <s v="PROD7"/>
    <s v="STORE8"/>
    <n v="4"/>
    <n v="797.83"/>
    <n v="0.08"/>
    <s v="Credit Card"/>
    <n v="2936.0144"/>
    <n v="521121.57529999997"/>
    <n v="1067.8720805327869"/>
    <n v="159"/>
    <s v="High Value"/>
    <s v="Jul-2025"/>
    <s v="LED Table Lamp"/>
    <x v="3"/>
  </r>
  <r>
    <s v="PROD2"/>
    <s v="STORE16"/>
    <n v="1"/>
    <n v="372.75"/>
    <n v="0.12"/>
    <s v="Credit Card"/>
    <n v="328.02"/>
    <n v="518185.56089999998"/>
    <n v="1064.0360593429157"/>
    <n v="159"/>
    <s v="Low Value"/>
    <s v="Sep-2025"/>
    <s v="Women's Casual Hoodie"/>
    <x v="4"/>
  </r>
  <r>
    <s v="PROD61"/>
    <s v="STORE4"/>
    <n v="1"/>
    <n v="994.18"/>
    <n v="0.05"/>
    <s v="PayPal"/>
    <n v="944.47099999999989"/>
    <n v="517857.54089999996"/>
    <n v="1065.5504956790123"/>
    <n v="159"/>
    <s v="Low Value"/>
    <s v="Jul-2024"/>
    <s v="Tennis Ball 3-Pack"/>
    <x v="0"/>
  </r>
  <r>
    <s v="PROD20"/>
    <s v="STORE13"/>
    <n v="1"/>
    <n v="136.12"/>
    <n v="7.0000000000000007E-2"/>
    <s v="Credit Card"/>
    <n v="126.5916"/>
    <n v="516913.06989999994"/>
    <n v="1065.8001441237113"/>
    <n v="158"/>
    <s v="Low Value"/>
    <s v="Jul-2024"/>
    <s v="Outdoor Sports Water Bottle"/>
    <x v="0"/>
  </r>
  <r>
    <s v="PROD52"/>
    <s v="STORE18"/>
    <n v="3"/>
    <n v="634.45000000000005"/>
    <n v="0.17"/>
    <s v="PayPal"/>
    <n v="1579.7805000000001"/>
    <n v="516786.47829999996"/>
    <n v="1067.7406576446281"/>
    <n v="158"/>
    <s v="High Value"/>
    <s v="Jul-2025"/>
    <s v="Rugby Ball"/>
    <x v="0"/>
  </r>
  <r>
    <s v="PROD64"/>
    <s v="STORE0"/>
    <n v="4"/>
    <n v="179.62"/>
    <n v="0.05"/>
    <s v="Credit Card"/>
    <n v="682.55600000000004"/>
    <n v="515206.69779999997"/>
    <n v="1066.680533747412"/>
    <n v="157"/>
    <s v="Low Value"/>
    <s v="Oct-2024"/>
    <s v="Matte Lipstick Set"/>
    <x v="2"/>
  </r>
  <r>
    <s v="PROD20"/>
    <s v="STORE18"/>
    <n v="4"/>
    <n v="558.83000000000004"/>
    <n v="0.16"/>
    <s v="PayPal"/>
    <n v="1877.6687999999999"/>
    <n v="514524.14179999998"/>
    <n v="1067.4774726141079"/>
    <n v="157"/>
    <s v="High Value"/>
    <s v="Jan-2025"/>
    <s v="Outdoor Sports Water Bottle"/>
    <x v="0"/>
  </r>
  <r>
    <s v="PROD94"/>
    <s v="STORE6"/>
    <n v="2"/>
    <n v="859.74"/>
    <n v="0.25"/>
    <s v="COD"/>
    <n v="1289.6099999999999"/>
    <n v="512646.473"/>
    <n v="1065.7930831600831"/>
    <n v="156"/>
    <s v="High Value"/>
    <s v="Jan-2025"/>
    <s v="Vitamin E Body Lotion"/>
    <x v="2"/>
  </r>
  <r>
    <s v="PROD65"/>
    <s v="STORE16"/>
    <n v="3"/>
    <n v="578.47"/>
    <n v="0.06"/>
    <s v="COD"/>
    <n v="1631.2854"/>
    <n v="511356.86299999995"/>
    <n v="1065.3267979166665"/>
    <n v="156"/>
    <s v="High Value"/>
    <s v="Oct-2025"/>
    <s v="Adjustable Dumbbells 20kg"/>
    <x v="0"/>
  </r>
  <r>
    <s v="PROD21"/>
    <s v="STORE12"/>
    <n v="1"/>
    <n v="440.48"/>
    <n v="0.11"/>
    <s v="COD"/>
    <n v="392.02720000000011"/>
    <n v="509725.57759999996"/>
    <n v="1064.1452559498955"/>
    <n v="156"/>
    <s v="Low Value"/>
    <s v="Feb-2024"/>
    <s v="Multi-Purpose Storage Box"/>
    <x v="3"/>
  </r>
  <r>
    <s v="PROD16"/>
    <s v="STORE19"/>
    <n v="2"/>
    <n v="303.67"/>
    <n v="0.05"/>
    <s v="PayPal"/>
    <n v="576.97299999999996"/>
    <n v="509333.55039999995"/>
    <n v="1065.551360669456"/>
    <n v="156"/>
    <s v="Low Value"/>
    <s v="Feb-2024"/>
    <s v="Beard Grooming Kit"/>
    <x v="2"/>
  </r>
  <r>
    <s v="PROD74"/>
    <s v="STORE14"/>
    <n v="2"/>
    <n v="611.21"/>
    <n v="0.22"/>
    <s v="COD"/>
    <n v="953.48760000000004"/>
    <n v="508756.57739999995"/>
    <n v="1066.575633962264"/>
    <n v="155"/>
    <s v="Low Value"/>
    <s v="Aug-2025"/>
    <s v="Bluetooth Car Audio System"/>
    <x v="1"/>
  </r>
  <r>
    <s v="PROD39"/>
    <s v="STORE15"/>
    <n v="2"/>
    <n v="768.08"/>
    <n v="0.26"/>
    <s v="PayPal"/>
    <n v="1136.7583999999999"/>
    <n v="507803.08979999996"/>
    <n v="1066.8132138655462"/>
    <n v="155"/>
    <s v="High Value"/>
    <s v="Nov-2023"/>
    <s v="Portable Power Bank"/>
    <x v="1"/>
  </r>
  <r>
    <s v="PROD23"/>
    <s v="STORE18"/>
    <n v="1"/>
    <n v="616.82000000000005"/>
    <n v="0.24"/>
    <s v="Credit Card"/>
    <n v="468.78320000000002"/>
    <n v="506666.33139999997"/>
    <n v="1066.6659608421053"/>
    <n v="154"/>
    <s v="Low Value"/>
    <s v="Jan-2024"/>
    <s v="Men's Formal Shirt"/>
    <x v="4"/>
  </r>
  <r>
    <s v="PROD40"/>
    <s v="STORE18"/>
    <n v="1"/>
    <n v="470.34"/>
    <n v="0.18"/>
    <s v="COD"/>
    <n v="385.67880000000002"/>
    <n v="506197.5481999999"/>
    <n v="1067.9273168776369"/>
    <n v="154"/>
    <s v="Low Value"/>
    <s v="Jan-2025"/>
    <s v="Noise-Canceling Headphones"/>
    <x v="1"/>
  </r>
  <r>
    <s v="PROD53"/>
    <s v="STORE8"/>
    <n v="2"/>
    <n v="616.36"/>
    <n v="0.12"/>
    <s v="PayPal"/>
    <n v="1084.7936"/>
    <n v="505811.86939999997"/>
    <n v="1069.3697027484143"/>
    <n v="154"/>
    <s v="High Value"/>
    <s v="Jul-2024"/>
    <s v="Men's Track Pants"/>
    <x v="4"/>
  </r>
  <r>
    <s v="PROD3"/>
    <s v="STORE9"/>
    <n v="3"/>
    <n v="657.24"/>
    <n v="0.18"/>
    <s v="PayPal"/>
    <n v="1616.8104000000001"/>
    <n v="504727.07579999993"/>
    <n v="1069.3370249999998"/>
    <n v="153"/>
    <s v="High Value"/>
    <s v="May-2024"/>
    <s v="Men's Running Jacket"/>
    <x v="4"/>
  </r>
  <r>
    <s v="PROD41"/>
    <s v="STORE19"/>
    <n v="2"/>
    <n v="392.45"/>
    <n v="0.04"/>
    <s v="PayPal"/>
    <n v="753.50399999999991"/>
    <n v="503110.26539999997"/>
    <n v="1068.1746611464969"/>
    <n v="152"/>
    <s v="Low Value"/>
    <s v="Aug-2025"/>
    <s v="Yoga Exercise Mat"/>
    <x v="0"/>
  </r>
  <r>
    <s v="PROD40"/>
    <s v="STORE14"/>
    <n v="3"/>
    <n v="62.03"/>
    <n v="0.01"/>
    <s v="COD"/>
    <n v="184.22909999999999"/>
    <n v="502356.76139999996"/>
    <n v="1068.8441731914893"/>
    <n v="151"/>
    <s v="Low Value"/>
    <s v="Feb-2024"/>
    <s v="Noise-Canceling Headphones"/>
    <x v="1"/>
  </r>
  <r>
    <s v="PROD96"/>
    <s v="STORE3"/>
    <n v="4"/>
    <n v="933.73"/>
    <n v="0.25"/>
    <s v="PayPal"/>
    <n v="2801.19"/>
    <n v="502172.53229999996"/>
    <n v="1070.7303460554369"/>
    <n v="151"/>
    <s v="High Value"/>
    <s v="Nov-2024"/>
    <s v="Women's Formal Blazer"/>
    <x v="4"/>
  </r>
  <r>
    <s v="PROD85"/>
    <s v="STORE16"/>
    <n v="3"/>
    <n v="615.30999999999995"/>
    <n v="0.14000000000000001"/>
    <s v="PayPal"/>
    <n v="1587.4998000000001"/>
    <n v="499371.34229999996"/>
    <n v="1067.0327826923076"/>
    <n v="150"/>
    <s v="High Value"/>
    <s v="Sep-2025"/>
    <s v="Women's Beanie Hat"/>
    <x v="4"/>
  </r>
  <r>
    <s v="PROD59"/>
    <s v="STORE18"/>
    <n v="4"/>
    <n v="790.38"/>
    <n v="0.22"/>
    <s v="COD"/>
    <n v="2465.9856"/>
    <n v="497783.84249999997"/>
    <n v="1065.9182922912205"/>
    <n v="149"/>
    <s v="High Value"/>
    <s v="Nov-2024"/>
    <s v="Men's Hair Styling Gel"/>
    <x v="2"/>
  </r>
  <r>
    <s v="PROD59"/>
    <s v="STORE17"/>
    <n v="2"/>
    <n v="102.85"/>
    <n v="0.08"/>
    <s v="PayPal"/>
    <n v="189.244"/>
    <n v="495317.85690000001"/>
    <n v="1062.9138560085837"/>
    <n v="149"/>
    <s v="Low Value"/>
    <s v="Aug-2024"/>
    <s v="Men's Hair Styling Gel"/>
    <x v="2"/>
  </r>
  <r>
    <s v="PROD11"/>
    <s v="STORE16"/>
    <n v="3"/>
    <n v="866.78"/>
    <n v="0.27"/>
    <s v="PayPal"/>
    <n v="1898.2482"/>
    <n v="495128.61290000001"/>
    <n v="1064.7927159139786"/>
    <n v="148"/>
    <s v="High Value"/>
    <s v="May-2025"/>
    <s v="HD Smart TV Stick"/>
    <x v="1"/>
  </r>
  <r>
    <s v="PROD78"/>
    <s v="STORE16"/>
    <n v="3"/>
    <n v="392.84"/>
    <n v="0.27"/>
    <s v="PayPal"/>
    <n v="860.31959999999992"/>
    <n v="493230.36470000003"/>
    <n v="1062.9964756465517"/>
    <n v="147"/>
    <s v="Low Value"/>
    <s v="Mar-2024"/>
    <s v="Essential Oil Diffuser"/>
    <x v="3"/>
  </r>
  <r>
    <s v="PROD9"/>
    <s v="STORE5"/>
    <n v="2"/>
    <n v="753.1"/>
    <n v="0.19"/>
    <s v="PayPal"/>
    <n v="1220.0219999999999"/>
    <n v="492370.0451000001"/>
    <n v="1063.434222678186"/>
    <n v="146"/>
    <s v="High Value"/>
    <s v="Jan-2025"/>
    <s v="Adjustable Dumbbell Set"/>
    <x v="0"/>
  </r>
  <r>
    <s v="PROD54"/>
    <s v="STORE17"/>
    <n v="2"/>
    <n v="700.91"/>
    <n v="0.1"/>
    <s v="PayPal"/>
    <n v="1261.6379999999999"/>
    <n v="491150.02310000011"/>
    <n v="1063.0952880952384"/>
    <n v="145"/>
    <s v="High Value"/>
    <s v="Sep-2025"/>
    <s v="Sports Stopwatch Pro"/>
    <x v="0"/>
  </r>
  <r>
    <s v="PROD15"/>
    <s v="STORE12"/>
    <n v="4"/>
    <n v="935.98"/>
    <n v="0.11"/>
    <s v="PayPal"/>
    <n v="3332.0888"/>
    <n v="489888.38510000007"/>
    <n v="1062.6646097613884"/>
    <n v="144"/>
    <s v="High Value"/>
    <s v="Apr-2025"/>
    <s v="4K Home Projector"/>
    <x v="1"/>
  </r>
  <r>
    <s v="PROD76"/>
    <s v="STORE16"/>
    <n v="1"/>
    <n v="539.9"/>
    <n v="7.0000000000000007E-2"/>
    <s v="Credit Card"/>
    <n v="502.10700000000003"/>
    <n v="486556.2963000001"/>
    <n v="1057.7310789130438"/>
    <n v="143"/>
    <s v="Low Value"/>
    <s v="Jul-2025"/>
    <s v="Wireless Mouse"/>
    <x v="1"/>
  </r>
  <r>
    <s v="PROD40"/>
    <s v="STORE6"/>
    <n v="1"/>
    <n v="312.81"/>
    <n v="0.14000000000000001"/>
    <s v="PayPal"/>
    <n v="269.01659999999998"/>
    <n v="486054.18930000009"/>
    <n v="1058.9415888888891"/>
    <n v="143"/>
    <s v="Low Value"/>
    <s v="Oct-2024"/>
    <s v="Noise-Canceling Headphones"/>
    <x v="1"/>
  </r>
  <r>
    <s v="PROD48"/>
    <s v="STORE7"/>
    <n v="3"/>
    <n v="855.96"/>
    <n v="0.28999999999999998"/>
    <s v="COD"/>
    <n v="1823.1948"/>
    <n v="485785.17270000011"/>
    <n v="1060.666315938865"/>
    <n v="142"/>
    <s v="High Value"/>
    <s v="Mar-2024"/>
    <s v="Car Dashboard Phone Holder"/>
    <x v="1"/>
  </r>
  <r>
    <s v="PROD1"/>
    <s v="STORE11"/>
    <n v="3"/>
    <n v="305"/>
    <n v="0.01"/>
    <s v="COD"/>
    <n v="905.85"/>
    <n v="483961.97790000011"/>
    <n v="1058.9977634573306"/>
    <n v="142"/>
    <s v="Low Value"/>
    <s v="Feb-2024"/>
    <s v="Men's Graphic T-Shirt"/>
    <x v="4"/>
  </r>
  <r>
    <s v="PROD99"/>
    <s v="STORE12"/>
    <n v="3"/>
    <n v="831.15"/>
    <n v="0.19"/>
    <s v="Credit Card"/>
    <n v="2019.6945000000001"/>
    <n v="483056.12790000014"/>
    <n v="1059.3336138157897"/>
    <n v="142"/>
    <s v="High Value"/>
    <s v="Mar-2024"/>
    <s v="Stainless Steel Cookware Set"/>
    <x v="3"/>
  </r>
  <r>
    <s v="PROD96"/>
    <s v="STORE3"/>
    <n v="2"/>
    <n v="644.97"/>
    <n v="0.24"/>
    <s v="COD"/>
    <n v="980.35440000000006"/>
    <n v="481036.43340000015"/>
    <n v="1057.2229305494509"/>
    <n v="142"/>
    <s v="Low Value"/>
    <s v="Sep-2025"/>
    <s v="Women's Formal Blazer"/>
    <x v="4"/>
  </r>
  <r>
    <s v="PROD88"/>
    <s v="STORE1"/>
    <n v="1"/>
    <n v="149.56"/>
    <n v="0.09"/>
    <s v="Credit Card"/>
    <n v="136.09960000000001"/>
    <n v="480056.07900000014"/>
    <n v="1057.3922444933924"/>
    <n v="142"/>
    <s v="Low Value"/>
    <s v="Jul-2025"/>
    <s v="Sports Wrist Sweatbands"/>
    <x v="0"/>
  </r>
  <r>
    <s v="PROD43"/>
    <s v="STORE19"/>
    <n v="1"/>
    <n v="661.77"/>
    <n v="0.03"/>
    <s v="PayPal"/>
    <n v="641.91689999999994"/>
    <n v="479919.97940000013"/>
    <n v="1059.4260030905079"/>
    <n v="142"/>
    <s v="Low Value"/>
    <s v="May-2024"/>
    <s v="USB External Hard Drive"/>
    <x v="1"/>
  </r>
  <r>
    <s v="PROD94"/>
    <s v="STORE7"/>
    <n v="3"/>
    <n v="99.67"/>
    <n v="0.17"/>
    <s v="Credit Card"/>
    <n v="248.17830000000001"/>
    <n v="479278.06250000012"/>
    <n v="1060.3496957964605"/>
    <n v="141"/>
    <s v="Low Value"/>
    <s v="Jun-2025"/>
    <s v="Vitamin E Body Lotion"/>
    <x v="2"/>
  </r>
  <r>
    <s v="PROD62"/>
    <s v="STORE1"/>
    <n v="3"/>
    <n v="103.66"/>
    <n v="0.26"/>
    <s v="COD"/>
    <n v="230.12520000000001"/>
    <n v="479029.88420000015"/>
    <n v="1062.150519290466"/>
    <n v="141"/>
    <s v="Low Value"/>
    <s v="Sep-2024"/>
    <s v="Laptop Cooling Pad"/>
    <x v="1"/>
  </r>
  <r>
    <s v="PROD40"/>
    <s v="STORE2"/>
    <n v="4"/>
    <n v="54.4"/>
    <n v="0.22"/>
    <s v="Credit Card"/>
    <n v="169.72800000000001"/>
    <n v="478799.75900000008"/>
    <n v="1063.9994644444446"/>
    <n v="141"/>
    <s v="Low Value"/>
    <s v="Nov-2023"/>
    <s v="Noise-Canceling Headphones"/>
    <x v="1"/>
  </r>
  <r>
    <s v="PROD84"/>
    <s v="STORE14"/>
    <n v="1"/>
    <n v="46.66"/>
    <n v="0.2"/>
    <s v="Credit Card"/>
    <n v="37.328000000000003"/>
    <n v="478630.03100000008"/>
    <n v="1065.9911603563476"/>
    <n v="141"/>
    <s v="Low Value"/>
    <s v="May-2024"/>
    <s v="Wooden Bookshelf"/>
    <x v="3"/>
  </r>
  <r>
    <s v="PROD73"/>
    <s v="STORE11"/>
    <n v="4"/>
    <n v="871.2"/>
    <n v="0.28999999999999998"/>
    <s v="Credit Card"/>
    <n v="2474.2080000000001"/>
    <n v="478592.7030000001"/>
    <n v="1068.287283482143"/>
    <n v="141"/>
    <s v="High Value"/>
    <s v="Jun-2024"/>
    <s v="Shin Guards – Adult"/>
    <x v="0"/>
  </r>
  <r>
    <s v="PROD18"/>
    <s v="STORE14"/>
    <n v="4"/>
    <n v="317.11"/>
    <n v="0.16"/>
    <s v="PayPal"/>
    <n v="1065.4896000000001"/>
    <n v="476118.49500000011"/>
    <n v="1065.1420469798661"/>
    <n v="141"/>
    <s v="High Value"/>
    <s v="Mar-2025"/>
    <s v="Women's Denim Jeans"/>
    <x v="4"/>
  </r>
  <r>
    <s v="PROD25"/>
    <s v="STORE13"/>
    <n v="2"/>
    <n v="388.34"/>
    <n v="0.09"/>
    <s v="PayPal"/>
    <n v="706.77879999999993"/>
    <n v="475053.00540000008"/>
    <n v="1065.1412677130047"/>
    <n v="140"/>
    <s v="Low Value"/>
    <s v="Feb-2024"/>
    <s v="Women's Scarf Set"/>
    <x v="4"/>
  </r>
  <r>
    <s v="PROD30"/>
    <s v="STORE6"/>
    <n v="4"/>
    <n v="998.2"/>
    <n v="0.15"/>
    <s v="Credit Card"/>
    <n v="3393.88"/>
    <n v="474346.22660000011"/>
    <n v="1065.9465766292137"/>
    <n v="139"/>
    <s v="High Value"/>
    <s v="Nov-2023"/>
    <s v="Stainless Steel Cutlery Set"/>
    <x v="3"/>
  </r>
  <r>
    <s v="PROD36"/>
    <s v="STORE0"/>
    <n v="1"/>
    <n v="887.38"/>
    <n v="0.01"/>
    <s v="COD"/>
    <n v="878.50620000000004"/>
    <n v="470952.34660000011"/>
    <n v="1060.7034833333337"/>
    <n v="139"/>
    <s v="Low Value"/>
    <s v="Nov-2024"/>
    <s v="Women's Summer Dress"/>
    <x v="4"/>
  </r>
  <r>
    <s v="PROD37"/>
    <s v="STORE12"/>
    <n v="4"/>
    <n v="332.97"/>
    <n v="0.28000000000000003"/>
    <s v="Credit Card"/>
    <n v="958.95360000000005"/>
    <n v="470073.8404000001"/>
    <n v="1061.1147638826187"/>
    <n v="139"/>
    <s v="Low Value"/>
    <s v="Aug-2024"/>
    <s v="Men's Casual Sneakers"/>
    <x v="4"/>
  </r>
  <r>
    <s v="PROD46"/>
    <s v="STORE0"/>
    <n v="2"/>
    <n v="157.91"/>
    <n v="0.09"/>
    <s v="COD"/>
    <n v="287.39620000000002"/>
    <n v="469114.88680000009"/>
    <n v="1061.3458977375567"/>
    <n v="139"/>
    <s v="Low Value"/>
    <s v="Oct-2025"/>
    <s v="Men's Winter Jacket"/>
    <x v="4"/>
  </r>
  <r>
    <s v="PROD12"/>
    <s v="STORE18"/>
    <n v="1"/>
    <n v="548.15"/>
    <n v="0.11"/>
    <s v="Credit Card"/>
    <n v="487.8535"/>
    <n v="468827.49060000008"/>
    <n v="1063.1008857142858"/>
    <n v="139"/>
    <s v="Low Value"/>
    <s v="Sep-2024"/>
    <s v="Hair Strengthening Shampoo"/>
    <x v="2"/>
  </r>
  <r>
    <s v="PROD48"/>
    <s v="STORE15"/>
    <n v="1"/>
    <n v="135.13"/>
    <n v="0.04"/>
    <s v="Credit Card"/>
    <n v="129.72479999999999"/>
    <n v="468339.63710000011"/>
    <n v="1064.4082661363639"/>
    <n v="139"/>
    <s v="Low Value"/>
    <s v="Sep-2024"/>
    <s v="Car Dashboard Phone Holder"/>
    <x v="1"/>
  </r>
  <r>
    <s v="PROD56"/>
    <s v="STORE3"/>
    <n v="3"/>
    <n v="579.26"/>
    <n v="0.19"/>
    <s v="Credit Card"/>
    <n v="1407.6017999999999"/>
    <n v="468209.91230000014"/>
    <n v="1066.5373856492031"/>
    <n v="139"/>
    <s v="High Value"/>
    <s v="Dec-2023"/>
    <s v="Premium Blanket Throw"/>
    <x v="3"/>
  </r>
  <r>
    <s v="PROD17"/>
    <s v="STORE0"/>
    <n v="1"/>
    <n v="465.63"/>
    <n v="0.25"/>
    <s v="Credit Card"/>
    <n v="349.22250000000003"/>
    <n v="466802.31050000014"/>
    <n v="1065.7586997716899"/>
    <n v="139"/>
    <s v="Low Value"/>
    <s v="Oct-2024"/>
    <s v="Soccer Training Cone Set"/>
    <x v="0"/>
  </r>
  <r>
    <s v="PROD76"/>
    <s v="STORE16"/>
    <n v="2"/>
    <n v="675.61"/>
    <n v="0.08"/>
    <s v="COD"/>
    <n v="1243.1224"/>
    <n v="466453.08800000016"/>
    <n v="1067.3983707093826"/>
    <n v="139"/>
    <s v="High Value"/>
    <s v="Mar-2024"/>
    <s v="Wireless Mouse"/>
    <x v="1"/>
  </r>
  <r>
    <s v="PROD33"/>
    <s v="STORE6"/>
    <n v="1"/>
    <n v="718.99"/>
    <n v="0.08"/>
    <s v="PayPal"/>
    <n v="661.47080000000005"/>
    <n v="465209.96560000017"/>
    <n v="1066.9953339449546"/>
    <n v="139"/>
    <s v="Low Value"/>
    <s v="Jun-2024"/>
    <s v="Modern Wall Clock"/>
    <x v="3"/>
  </r>
  <r>
    <s v="PROD14"/>
    <s v="STORE10"/>
    <n v="2"/>
    <n v="675.65"/>
    <n v="0.2"/>
    <s v="COD"/>
    <n v="1081.04"/>
    <n v="464548.4948000001"/>
    <n v="1067.9275742528739"/>
    <n v="138"/>
    <s v="High Value"/>
    <s v="Oct-2025"/>
    <s v="Decorative Wall Mirror"/>
    <x v="3"/>
  </r>
  <r>
    <s v="PROD95"/>
    <s v="STORE15"/>
    <n v="4"/>
    <n v="284.24"/>
    <n v="0.1"/>
    <s v="Credit Card"/>
    <n v="1023.264"/>
    <n v="463467.45480000012"/>
    <n v="1067.8973612903228"/>
    <n v="138"/>
    <s v="High Value"/>
    <s v="Mar-2024"/>
    <s v="Sports Stopwatch Basic"/>
    <x v="0"/>
  </r>
  <r>
    <s v="PROD1"/>
    <s v="STORE3"/>
    <n v="1"/>
    <n v="94.26"/>
    <n v="0.18"/>
    <s v="PayPal"/>
    <n v="77.293200000000013"/>
    <n v="462444.1908000001"/>
    <n v="1068.0004406466514"/>
    <n v="138"/>
    <s v="Low Value"/>
    <s v="Mar-2024"/>
    <s v="Men's Graphic T-Shirt"/>
    <x v="4"/>
  </r>
  <r>
    <s v="PROD6"/>
    <s v="STORE10"/>
    <n v="4"/>
    <n v="458.58"/>
    <n v="0.28999999999999998"/>
    <s v="COD"/>
    <n v="1302.3671999999999"/>
    <n v="462366.89760000014"/>
    <n v="1070.2937444444449"/>
    <n v="137"/>
    <s v="High Value"/>
    <s v="May-2025"/>
    <s v="Herbal Face Moisturizer"/>
    <x v="2"/>
  </r>
  <r>
    <s v="PROD65"/>
    <s v="STORE10"/>
    <n v="4"/>
    <n v="704.49"/>
    <n v="0.05"/>
    <s v="COD"/>
    <n v="2677.0619999999999"/>
    <n v="461064.53040000016"/>
    <n v="1069.7552909512765"/>
    <n v="137"/>
    <s v="High Value"/>
    <s v="Jun-2024"/>
    <s v="Adjustable Dumbbells 20kg"/>
    <x v="0"/>
  </r>
  <r>
    <s v="PROD27"/>
    <s v="STORE19"/>
    <n v="4"/>
    <n v="822.32"/>
    <n v="0.26"/>
    <s v="PayPal"/>
    <n v="2434.0672"/>
    <n v="458387.46840000013"/>
    <n v="1066.0173683720934"/>
    <n v="137"/>
    <s v="High Value"/>
    <s v="Dec-2023"/>
    <s v="Decorative Floor Vase"/>
    <x v="3"/>
  </r>
  <r>
    <s v="PROD3"/>
    <s v="STORE13"/>
    <n v="4"/>
    <n v="785.41"/>
    <n v="0.13"/>
    <s v="COD"/>
    <n v="2733.2267999999999"/>
    <n v="455953.40120000014"/>
    <n v="1062.8284410256413"/>
    <n v="136"/>
    <s v="High Value"/>
    <s v="Feb-2024"/>
    <s v="Men's Running Jacket"/>
    <x v="4"/>
  </r>
  <r>
    <s v="PROD39"/>
    <s v="STORE14"/>
    <n v="1"/>
    <n v="405.8"/>
    <n v="0.11"/>
    <s v="PayPal"/>
    <n v="361.16199999999998"/>
    <n v="453220.17440000008"/>
    <n v="1058.9256411214956"/>
    <n v="136"/>
    <s v="Low Value"/>
    <s v="Jun-2024"/>
    <s v="Portable Power Bank"/>
    <x v="1"/>
  </r>
  <r>
    <s v="PROD91"/>
    <s v="STORE9"/>
    <n v="2"/>
    <n v="976.83"/>
    <n v="0.1"/>
    <s v="PayPal"/>
    <n v="1758.2940000000001"/>
    <n v="452859.01240000007"/>
    <n v="1060.5597480093679"/>
    <n v="135"/>
    <s v="High Value"/>
    <s v="Nov-2024"/>
    <s v="Women's High Heels"/>
    <x v="4"/>
  </r>
  <r>
    <s v="PROD64"/>
    <s v="STORE2"/>
    <n v="1"/>
    <n v="644.15"/>
    <n v="0.06"/>
    <s v="Credit Card"/>
    <n v="605.50099999999998"/>
    <n v="451100.71840000007"/>
    <n v="1058.9218741784039"/>
    <n v="134"/>
    <s v="Low Value"/>
    <s v="Jun-2024"/>
    <s v="Matte Lipstick Set"/>
    <x v="2"/>
  </r>
  <r>
    <s v="PROD67"/>
    <s v="STORE13"/>
    <n v="1"/>
    <n v="470.55"/>
    <n v="0.23"/>
    <s v="PayPal"/>
    <n v="362.32350000000002"/>
    <n v="450495.21740000008"/>
    <n v="1059.9887468235297"/>
    <n v="134"/>
    <s v="Low Value"/>
    <s v="Aug-2025"/>
    <s v="Smart LED Light Strip"/>
    <x v="1"/>
  </r>
  <r>
    <s v="PROD7"/>
    <s v="STORE6"/>
    <n v="3"/>
    <n v="598.82000000000005"/>
    <n v="0.19"/>
    <s v="COD"/>
    <n v="1455.1325999999999"/>
    <n v="450132.89390000014"/>
    <n v="1061.6341837264154"/>
    <n v="133"/>
    <s v="High Value"/>
    <s v="Nov-2023"/>
    <s v="LED Table Lamp"/>
    <x v="3"/>
  </r>
  <r>
    <s v="PROD20"/>
    <s v="STORE12"/>
    <n v="4"/>
    <n v="659.17"/>
    <n v="0.12"/>
    <s v="Credit Card"/>
    <n v="2320.2784000000001"/>
    <n v="448677.76130000019"/>
    <n v="1060.7039274231684"/>
    <n v="133"/>
    <s v="High Value"/>
    <s v="Jul-2025"/>
    <s v="Outdoor Sports Water Bottle"/>
    <x v="0"/>
  </r>
  <r>
    <s v="PROD46"/>
    <s v="STORE1"/>
    <n v="2"/>
    <n v="216.02"/>
    <n v="0.25"/>
    <s v="Credit Card"/>
    <n v="324.02999999999997"/>
    <n v="446357.48290000018"/>
    <n v="1057.7191537914696"/>
    <n v="133"/>
    <s v="Low Value"/>
    <s v="Oct-2024"/>
    <s v="Men's Winter Jacket"/>
    <x v="4"/>
  </r>
  <r>
    <s v="PROD31"/>
    <s v="STORE10"/>
    <n v="2"/>
    <n v="613.47"/>
    <n v="0.02"/>
    <s v="PayPal"/>
    <n v="1202.4012"/>
    <n v="446033.45290000015"/>
    <n v="1059.4618833729219"/>
    <n v="133"/>
    <s v="High Value"/>
    <s v="Apr-2025"/>
    <s v="Basketball"/>
    <x v="0"/>
  </r>
  <r>
    <s v="PROD58"/>
    <s v="STORE12"/>
    <n v="2"/>
    <n v="485.17"/>
    <n v="0.11"/>
    <s v="PayPal"/>
    <n v="863.60260000000005"/>
    <n v="444831.05170000019"/>
    <n v="1059.1215516666671"/>
    <n v="132"/>
    <s v="Low Value"/>
    <s v="Sep-2025"/>
    <s v="Womens Cotton Scarf"/>
    <x v="4"/>
  </r>
  <r>
    <s v="PROD46"/>
    <s v="STORE10"/>
    <n v="1"/>
    <n v="209.7"/>
    <n v="0.2"/>
    <s v="PayPal"/>
    <n v="167.76"/>
    <n v="443967.4491000002"/>
    <n v="1059.5881840095469"/>
    <n v="131"/>
    <s v="Low Value"/>
    <s v="Dec-2023"/>
    <s v="Men's Winter Jacket"/>
    <x v="4"/>
  </r>
  <r>
    <s v="PROD92"/>
    <s v="STORE0"/>
    <n v="1"/>
    <n v="681.47"/>
    <n v="0.15"/>
    <s v="Credit Card"/>
    <n v="579.24950000000001"/>
    <n v="443799.68910000019"/>
    <n v="1061.7217442583737"/>
    <n v="130"/>
    <s v="Low Value"/>
    <s v="Apr-2024"/>
    <s v="Microwave Oven"/>
    <x v="3"/>
  </r>
  <r>
    <s v="PROD76"/>
    <s v="STORE17"/>
    <n v="2"/>
    <n v="877.21"/>
    <n v="0.1"/>
    <s v="Credit Card"/>
    <n v="1578.9780000000001"/>
    <n v="443220.43960000022"/>
    <n v="1062.8787520383698"/>
    <n v="130"/>
    <s v="High Value"/>
    <s v="Jan-2025"/>
    <s v="Wireless Mouse"/>
    <x v="1"/>
  </r>
  <r>
    <s v="PROD78"/>
    <s v="STORE5"/>
    <n v="2"/>
    <n v="479.77"/>
    <n v="0.21"/>
    <s v="PayPal"/>
    <n v="758.03660000000002"/>
    <n v="441641.46160000016"/>
    <n v="1061.6381288461541"/>
    <n v="130"/>
    <s v="Low Value"/>
    <s v="Sep-2025"/>
    <s v="Essential Oil Diffuser"/>
    <x v="3"/>
  </r>
  <r>
    <s v="PROD83"/>
    <s v="STORE15"/>
    <n v="1"/>
    <n v="140.72"/>
    <n v="0"/>
    <s v="COD"/>
    <n v="140.72"/>
    <n v="440883.42500000016"/>
    <n v="1062.3696987951812"/>
    <n v="129"/>
    <s v="Low Value"/>
    <s v="Oct-2024"/>
    <s v="Hydrating Face Cleanser"/>
    <x v="2"/>
  </r>
  <r>
    <s v="PROD19"/>
    <s v="STORE6"/>
    <n v="2"/>
    <n v="764.25"/>
    <n v="0.23"/>
    <s v="PayPal"/>
    <n v="1176.9449999999999"/>
    <n v="440742.70500000013"/>
    <n v="1064.5959057971018"/>
    <n v="129"/>
    <s v="High Value"/>
    <s v="Jan-2025"/>
    <s v="Knee Support Brace"/>
    <x v="0"/>
  </r>
  <r>
    <s v="PROD83"/>
    <s v="STORE5"/>
    <n v="3"/>
    <n v="107.8"/>
    <n v="0.28999999999999998"/>
    <s v="PayPal"/>
    <n v="229.614"/>
    <n v="439565.76000000018"/>
    <n v="1064.3238740920101"/>
    <n v="128"/>
    <s v="Low Value"/>
    <s v="Jan-2024"/>
    <s v="Hydrating Face Cleanser"/>
    <x v="2"/>
  </r>
  <r>
    <s v="PROD22"/>
    <s v="STORE8"/>
    <n v="4"/>
    <n v="565.37"/>
    <n v="7.0000000000000007E-2"/>
    <s v="PayPal"/>
    <n v="2103.1763999999998"/>
    <n v="439336.14600000018"/>
    <n v="1066.3498689320393"/>
    <n v="127"/>
    <s v="High Value"/>
    <s v="Apr-2025"/>
    <s v="Carbon Fiber Tennis Racket"/>
    <x v="0"/>
  </r>
  <r>
    <s v="PROD36"/>
    <s v="STORE4"/>
    <n v="3"/>
    <n v="811.45"/>
    <n v="0.26"/>
    <s v="Credit Card"/>
    <n v="1801.4190000000001"/>
    <n v="437232.96960000013"/>
    <n v="1063.8271766423361"/>
    <n v="126"/>
    <s v="High Value"/>
    <s v="Nov-2023"/>
    <s v="Women's Summer Dress"/>
    <x v="4"/>
  </r>
  <r>
    <s v="PROD33"/>
    <s v="STORE19"/>
    <n v="4"/>
    <n v="62.25"/>
    <n v="0.11"/>
    <s v="PayPal"/>
    <n v="221.61"/>
    <n v="435431.55060000019"/>
    <n v="1062.0281721951224"/>
    <n v="126"/>
    <s v="Low Value"/>
    <s v="Apr-2025"/>
    <s v="Modern Wall Clock"/>
    <x v="3"/>
  </r>
  <r>
    <s v="PROD95"/>
    <s v="STORE10"/>
    <n v="1"/>
    <n v="749.78"/>
    <n v="0.03"/>
    <s v="Credit Card"/>
    <n v="727.28659999999991"/>
    <n v="435209.94060000021"/>
    <n v="1064.0829843520787"/>
    <n v="125"/>
    <s v="Low Value"/>
    <s v="May-2025"/>
    <s v="Sports Stopwatch Basic"/>
    <x v="0"/>
  </r>
  <r>
    <s v="PROD59"/>
    <s v="STORE5"/>
    <n v="3"/>
    <n v="630.28"/>
    <n v="7.0000000000000007E-2"/>
    <s v="COD"/>
    <n v="1758.4811999999999"/>
    <n v="434482.65400000021"/>
    <n v="1064.9084656862751"/>
    <n v="125"/>
    <s v="High Value"/>
    <s v="Jul-2024"/>
    <s v="Men's Hair Styling Gel"/>
    <x v="2"/>
  </r>
  <r>
    <s v="PROD30"/>
    <s v="STORE16"/>
    <n v="1"/>
    <n v="101.84"/>
    <n v="0.17"/>
    <s v="Credit Card"/>
    <n v="84.527199999999993"/>
    <n v="432724.17280000023"/>
    <n v="1063.2043557739564"/>
    <n v="125"/>
    <s v="Low Value"/>
    <s v="Mar-2024"/>
    <s v="Stainless Steel Cutlery Set"/>
    <x v="3"/>
  </r>
  <r>
    <s v="PROD24"/>
    <s v="STORE18"/>
    <n v="4"/>
    <n v="641.45000000000005"/>
    <n v="0.16"/>
    <s v="COD"/>
    <n v="2155.2719999999999"/>
    <n v="432639.64560000022"/>
    <n v="1065.6148906403946"/>
    <n v="125"/>
    <s v="High Value"/>
    <s v="Nov-2023"/>
    <s v="Foldable Camping Chair"/>
    <x v="0"/>
  </r>
  <r>
    <s v="PROD43"/>
    <s v="STORE1"/>
    <n v="1"/>
    <n v="135.87"/>
    <n v="0.23"/>
    <s v="PayPal"/>
    <n v="104.6199"/>
    <n v="430484.37360000022"/>
    <n v="1062.9243792592599"/>
    <n v="125"/>
    <s v="Low Value"/>
    <s v="Jul-2025"/>
    <s v="USB External Hard Drive"/>
    <x v="1"/>
  </r>
  <r>
    <s v="PROD21"/>
    <s v="STORE6"/>
    <n v="1"/>
    <n v="388.35"/>
    <n v="0.01"/>
    <s v="PayPal"/>
    <n v="384.4665"/>
    <n v="430379.75370000018"/>
    <n v="1065.2964200495053"/>
    <n v="124"/>
    <s v="Low Value"/>
    <s v="Feb-2024"/>
    <s v="Multi-Purpose Storage Box"/>
    <x v="3"/>
  </r>
  <r>
    <s v="PROD38"/>
    <s v="STORE9"/>
    <n v="2"/>
    <n v="999.08"/>
    <n v="0.3"/>
    <s v="PayPal"/>
    <n v="1398.712"/>
    <n v="429995.2872000002"/>
    <n v="1066.9858243176184"/>
    <n v="123"/>
    <s v="High Value"/>
    <s v="Mar-2024"/>
    <s v="Sports Water Hydration Pack"/>
    <x v="0"/>
  </r>
  <r>
    <s v="PROD38"/>
    <s v="STORE17"/>
    <n v="3"/>
    <n v="453.19"/>
    <n v="0.08"/>
    <s v="COD"/>
    <n v="1250.8044"/>
    <n v="428596.57520000014"/>
    <n v="1066.1606348258711"/>
    <n v="122"/>
    <s v="High Value"/>
    <s v="Aug-2025"/>
    <s v="Sports Water Hydration Pack"/>
    <x v="0"/>
  </r>
  <r>
    <s v="PROD80"/>
    <s v="STORE10"/>
    <n v="2"/>
    <n v="61.31"/>
    <n v="0.15"/>
    <s v="COD"/>
    <n v="104.227"/>
    <n v="427345.77080000017"/>
    <n v="1065.700176558604"/>
    <n v="122"/>
    <s v="Low Value"/>
    <s v="Oct-2024"/>
    <s v="Wall-Mounted Spice Rack"/>
    <x v="3"/>
  </r>
  <r>
    <s v="PROD81"/>
    <s v="STORE10"/>
    <n v="2"/>
    <n v="870.13"/>
    <n v="0.23"/>
    <s v="Credit Card"/>
    <n v="1340.0001999999999"/>
    <n v="427241.54380000016"/>
    <n v="1068.1038595000005"/>
    <n v="122"/>
    <s v="High Value"/>
    <s v="Oct-2023"/>
    <s v="Badminton Racket Set"/>
    <x v="0"/>
  </r>
  <r>
    <s v="PROD15"/>
    <s v="STORE19"/>
    <n v="1"/>
    <n v="336.51"/>
    <n v="0.11"/>
    <s v="PayPal"/>
    <n v="299.4939"/>
    <n v="425901.54360000021"/>
    <n v="1067.4224150375944"/>
    <n v="122"/>
    <s v="Low Value"/>
    <s v="Jan-2025"/>
    <s v="4K Home Projector"/>
    <x v="1"/>
  </r>
  <r>
    <s v="PROD67"/>
    <s v="STORE0"/>
    <n v="1"/>
    <n v="305.70999999999998"/>
    <n v="0.26"/>
    <s v="COD"/>
    <n v="226.22540000000001"/>
    <n v="425602.04970000021"/>
    <n v="1069.3518836683422"/>
    <n v="121"/>
    <s v="Low Value"/>
    <s v="Jan-2024"/>
    <s v="Smart LED Light Strip"/>
    <x v="1"/>
  </r>
  <r>
    <s v="PROD10"/>
    <s v="STORE18"/>
    <n v="2"/>
    <n v="635.39"/>
    <n v="0.28999999999999998"/>
    <s v="COD"/>
    <n v="902.25379999999996"/>
    <n v="425375.82430000015"/>
    <n v="1071.4756279596982"/>
    <n v="121"/>
    <s v="Low Value"/>
    <s v="Oct-2023"/>
    <s v="Ceramic Kitchen Bowl Set"/>
    <x v="3"/>
  </r>
  <r>
    <s v="PROD92"/>
    <s v="STORE19"/>
    <n v="2"/>
    <n v="253.87"/>
    <n v="0.23"/>
    <s v="COD"/>
    <n v="390.95979999999997"/>
    <n v="424473.57050000021"/>
    <n v="1071.9029558080813"/>
    <n v="121"/>
    <s v="Low Value"/>
    <s v="Jul-2024"/>
    <s v="Microwave Oven"/>
    <x v="3"/>
  </r>
  <r>
    <s v="PROD76"/>
    <s v="STORE17"/>
    <n v="3"/>
    <n v="915.81"/>
    <n v="0.17"/>
    <s v="COD"/>
    <n v="2280.3669"/>
    <n v="424082.61070000019"/>
    <n v="1073.6268625316461"/>
    <n v="121"/>
    <s v="High Value"/>
    <s v="Jun-2024"/>
    <s v="Wireless Mouse"/>
    <x v="1"/>
  </r>
  <r>
    <s v="PROD42"/>
    <s v="STORE8"/>
    <n v="3"/>
    <n v="779.5"/>
    <n v="0.02"/>
    <s v="Credit Card"/>
    <n v="2291.73"/>
    <n v="421802.24380000023"/>
    <n v="1070.5640705583762"/>
    <n v="121"/>
    <s v="High Value"/>
    <s v="May-2025"/>
    <s v="Smart Home WiFi Camera"/>
    <x v="1"/>
  </r>
  <r>
    <s v="PROD61"/>
    <s v="STORE16"/>
    <n v="2"/>
    <n v="780.57"/>
    <n v="0.26"/>
    <s v="Credit Card"/>
    <n v="1155.2436"/>
    <n v="419510.51380000025"/>
    <n v="1067.456778117049"/>
    <n v="121"/>
    <s v="High Value"/>
    <s v="Jun-2024"/>
    <s v="Tennis Ball 3-Pack"/>
    <x v="0"/>
  </r>
  <r>
    <s v="PROD95"/>
    <s v="STORE19"/>
    <n v="1"/>
    <n v="511.35"/>
    <n v="0"/>
    <s v="Credit Card"/>
    <n v="511.35"/>
    <n v="418355.2702000002"/>
    <n v="1067.2328321428577"/>
    <n v="121"/>
    <s v="Low Value"/>
    <s v="Apr-2024"/>
    <s v="Sports Stopwatch Basic"/>
    <x v="0"/>
  </r>
  <r>
    <s v="PROD97"/>
    <s v="STORE3"/>
    <n v="4"/>
    <n v="44.07"/>
    <n v="0.28999999999999998"/>
    <s v="COD"/>
    <n v="125.1588"/>
    <n v="417843.92020000017"/>
    <n v="1068.6545273657293"/>
    <n v="121"/>
    <s v="Low Value"/>
    <s v="May-2025"/>
    <s v="Cricket Bat"/>
    <x v="0"/>
  </r>
  <r>
    <s v="PROD69"/>
    <s v="STORE11"/>
    <n v="2"/>
    <n v="895.92"/>
    <n v="0.15"/>
    <s v="Credit Card"/>
    <n v="1523.0640000000001"/>
    <n v="417718.76140000019"/>
    <n v="1071.0737471794878"/>
    <n v="121"/>
    <s v="High Value"/>
    <s v="Jan-2024"/>
    <s v="Men's Sports Shorts"/>
    <x v="4"/>
  </r>
  <r>
    <s v="PROD53"/>
    <s v="STORE2"/>
    <n v="4"/>
    <n v="456.32"/>
    <n v="0.22"/>
    <s v="COD"/>
    <n v="1423.7184"/>
    <n v="416195.69740000018"/>
    <n v="1069.9118185089978"/>
    <n v="121"/>
    <s v="High Value"/>
    <s v="Nov-2024"/>
    <s v="Men's Track Pants"/>
    <x v="4"/>
  </r>
  <r>
    <s v="PROD34"/>
    <s v="STORE0"/>
    <n v="1"/>
    <n v="905.5"/>
    <n v="0.28999999999999998"/>
    <s v="COD"/>
    <n v="642.90499999999997"/>
    <n v="414771.97900000022"/>
    <n v="1068.9999458762893"/>
    <n v="121"/>
    <s v="Low Value"/>
    <s v="Apr-2025"/>
    <s v="Gaming Mechanical Keyboard"/>
    <x v="1"/>
  </r>
  <r>
    <s v="PROD16"/>
    <s v="STORE13"/>
    <n v="3"/>
    <n v="63.19"/>
    <n v="0.08"/>
    <s v="Credit Card"/>
    <n v="174.40440000000001"/>
    <n v="414129.0740000002"/>
    <n v="1070.1009664082692"/>
    <n v="121"/>
    <s v="Low Value"/>
    <s v="Aug-2024"/>
    <s v="Beard Grooming Kit"/>
    <x v="2"/>
  </r>
  <r>
    <s v="PROD70"/>
    <s v="STORE7"/>
    <n v="3"/>
    <n v="687.66"/>
    <n v="0.06"/>
    <s v="PayPal"/>
    <n v="1939.2012"/>
    <n v="413954.6696000002"/>
    <n v="1072.4214238341974"/>
    <n v="121"/>
    <s v="High Value"/>
    <s v="Dec-2024"/>
    <s v="Kitchen Storage Rack"/>
    <x v="3"/>
  </r>
  <r>
    <s v="PROD43"/>
    <s v="STORE9"/>
    <n v="4"/>
    <n v="639.05999999999995"/>
    <n v="0.12"/>
    <s v="PayPal"/>
    <n v="2249.4911999999999"/>
    <n v="412015.46840000019"/>
    <n v="1070.1700477922084"/>
    <n v="120"/>
    <s v="High Value"/>
    <s v="Mar-2025"/>
    <s v="USB External Hard Drive"/>
    <x v="1"/>
  </r>
  <r>
    <s v="PROD71"/>
    <s v="STORE7"/>
    <n v="1"/>
    <n v="475.15"/>
    <n v="0.04"/>
    <s v="COD"/>
    <n v="456.14399999999989"/>
    <n v="409765.9772000002"/>
    <n v="1067.0988989583338"/>
    <n v="119"/>
    <s v="Low Value"/>
    <s v="Jun-2024"/>
    <s v="Hair Repair Oil Treatment"/>
    <x v="2"/>
  </r>
  <r>
    <s v="PROD44"/>
    <s v="STORE6"/>
    <n v="1"/>
    <n v="62.38"/>
    <n v="0.08"/>
    <s v="COD"/>
    <n v="57.389600000000002"/>
    <n v="409309.83320000017"/>
    <n v="1068.6940814621414"/>
    <n v="119"/>
    <s v="Low Value"/>
    <s v="Aug-2024"/>
    <s v="Adjustable Jump Rope"/>
    <x v="0"/>
  </r>
  <r>
    <s v="PROD15"/>
    <s v="STORE7"/>
    <n v="1"/>
    <n v="977.02"/>
    <n v="0.2"/>
    <s v="COD"/>
    <n v="781.61599999999999"/>
    <n v="409252.44360000017"/>
    <n v="1071.3414753926706"/>
    <n v="119"/>
    <s v="Low Value"/>
    <s v="Mar-2024"/>
    <s v="4K Home Projector"/>
    <x v="1"/>
  </r>
  <r>
    <s v="PROD83"/>
    <s v="STORE4"/>
    <n v="2"/>
    <n v="898.81"/>
    <n v="0.25"/>
    <s v="Credit Card"/>
    <n v="1348.2149999999999"/>
    <n v="408470.82760000019"/>
    <n v="1072.1019097112867"/>
    <n v="119"/>
    <s v="High Value"/>
    <s v="Sep-2024"/>
    <s v="Hydrating Face Cleanser"/>
    <x v="2"/>
  </r>
  <r>
    <s v="PROD57"/>
    <s v="STORE3"/>
    <n v="2"/>
    <n v="422.13"/>
    <n v="0.28000000000000003"/>
    <s v="Credit Card"/>
    <n v="607.86720000000003"/>
    <n v="407122.61260000023"/>
    <n v="1071.3752963157901"/>
    <n v="119"/>
    <s v="Low Value"/>
    <s v="Apr-2025"/>
    <s v="Foam Roller"/>
    <x v="0"/>
  </r>
  <r>
    <s v="PROD34"/>
    <s v="STORE11"/>
    <n v="1"/>
    <n v="324.56"/>
    <n v="0.03"/>
    <s v="COD"/>
    <n v="314.82319999999999"/>
    <n v="406514.74540000019"/>
    <n v="1072.5982728232195"/>
    <n v="119"/>
    <s v="Low Value"/>
    <s v="Aug-2024"/>
    <s v="Gaming Mechanical Keyboard"/>
    <x v="1"/>
  </r>
  <r>
    <s v="PROD55"/>
    <s v="STORE16"/>
    <n v="4"/>
    <n v="570.38"/>
    <n v="0.26"/>
    <s v="PayPal"/>
    <n v="1688.3248000000001"/>
    <n v="406199.9222000002"/>
    <n v="1074.6029687830694"/>
    <n v="119"/>
    <s v="High Value"/>
    <s v="Aug-2024"/>
    <s v="Ceramic Plant Pot"/>
    <x v="3"/>
  </r>
  <r>
    <s v="PROD34"/>
    <s v="STORE15"/>
    <n v="2"/>
    <n v="223.73"/>
    <n v="0.11"/>
    <s v="PayPal"/>
    <n v="398.23939999999999"/>
    <n v="404511.5974000002"/>
    <n v="1072.9750594164461"/>
    <n v="118"/>
    <s v="Low Value"/>
    <s v="Jul-2024"/>
    <s v="Gaming Mechanical Keyboard"/>
    <x v="1"/>
  </r>
  <r>
    <s v="PROD86"/>
    <s v="STORE16"/>
    <n v="4"/>
    <n v="164.93"/>
    <n v="0.11"/>
    <s v="Credit Card"/>
    <n v="587.1508"/>
    <n v="404113.35800000018"/>
    <n v="1074.7695691489366"/>
    <n v="117"/>
    <s v="Low Value"/>
    <s v="Jul-2025"/>
    <s v="Kitchen Cutting Board"/>
    <x v="3"/>
  </r>
  <r>
    <s v="PROD15"/>
    <s v="STORE7"/>
    <n v="3"/>
    <n v="326.66000000000003"/>
    <n v="0.28000000000000003"/>
    <s v="COD"/>
    <n v="705.5856"/>
    <n v="403526.20720000018"/>
    <n v="1076.0698858666672"/>
    <n v="117"/>
    <s v="Low Value"/>
    <s v="Oct-2024"/>
    <s v="4K Home Projector"/>
    <x v="1"/>
  </r>
  <r>
    <s v="PROD1"/>
    <s v="STORE15"/>
    <n v="2"/>
    <n v="462.93"/>
    <n v="0.17"/>
    <s v="PayPal"/>
    <n v="768.46379999999999"/>
    <n v="402820.62160000019"/>
    <n v="1077.0604855614979"/>
    <n v="117"/>
    <s v="Low Value"/>
    <s v="Mar-2024"/>
    <s v="Men's Graphic T-Shirt"/>
    <x v="4"/>
  </r>
  <r>
    <s v="PROD0"/>
    <s v="STORE16"/>
    <n v="3"/>
    <n v="60.26"/>
    <n v="0.04"/>
    <s v="Credit Card"/>
    <n v="173.5488"/>
    <n v="402052.15780000016"/>
    <n v="1077.8878225201076"/>
    <n v="116"/>
    <s v="Low Value"/>
    <s v="Aug-2025"/>
    <s v="Brother Laser Printer"/>
    <x v="1"/>
  </r>
  <r>
    <s v="PROD34"/>
    <s v="STORE9"/>
    <n v="3"/>
    <n v="109.5"/>
    <n v="0.06"/>
    <s v="COD"/>
    <n v="308.79000000000002"/>
    <n v="401878.60900000017"/>
    <n v="1080.3188413978498"/>
    <n v="116"/>
    <s v="Low Value"/>
    <s v="Jun-2025"/>
    <s v="Gaming Mechanical Keyboard"/>
    <x v="1"/>
  </r>
  <r>
    <s v="PROD70"/>
    <s v="STORE16"/>
    <n v="1"/>
    <n v="505.83"/>
    <n v="0.14000000000000001"/>
    <s v="COD"/>
    <n v="435.0138"/>
    <n v="401569.81900000019"/>
    <n v="1082.3984339622646"/>
    <n v="116"/>
    <s v="Low Value"/>
    <s v="Mar-2025"/>
    <s v="Kitchen Storage Rack"/>
    <x v="3"/>
  </r>
  <r>
    <s v="PROD98"/>
    <s v="STORE10"/>
    <n v="2"/>
    <n v="443.15"/>
    <n v="0.27"/>
    <s v="PayPal"/>
    <n v="646.99899999999991"/>
    <n v="401134.80520000018"/>
    <n v="1084.1481221621627"/>
    <n v="116"/>
    <s v="Low Value"/>
    <s v="Aug-2024"/>
    <s v="Portable Bluetooth Speaker"/>
    <x v="1"/>
  </r>
  <r>
    <s v="PROD7"/>
    <s v="STORE7"/>
    <n v="2"/>
    <n v="784.26"/>
    <n v="0.23"/>
    <s v="PayPal"/>
    <n v="1207.7603999999999"/>
    <n v="400487.80620000017"/>
    <n v="1085.3328081300817"/>
    <n v="115"/>
    <s v="High Value"/>
    <s v="Mar-2025"/>
    <s v="LED Table Lamp"/>
    <x v="3"/>
  </r>
  <r>
    <s v="PROD39"/>
    <s v="STORE11"/>
    <n v="3"/>
    <n v="590.30999999999995"/>
    <n v="0.17"/>
    <s v="PayPal"/>
    <n v="1469.8719000000001"/>
    <n v="399280.04580000014"/>
    <n v="1085.0001244565221"/>
    <n v="114"/>
    <s v="High Value"/>
    <s v="Aug-2024"/>
    <s v="Portable Power Bank"/>
    <x v="1"/>
  </r>
  <r>
    <s v="PROD69"/>
    <s v="STORE16"/>
    <n v="1"/>
    <n v="696.13"/>
    <n v="0.06"/>
    <s v="COD"/>
    <n v="654.36219999999992"/>
    <n v="397810.17390000017"/>
    <n v="1083.9514275204365"/>
    <n v="113"/>
    <s v="Low Value"/>
    <s v="Sep-2024"/>
    <s v="Men's Sports Shorts"/>
    <x v="4"/>
  </r>
  <r>
    <s v="PROD51"/>
    <s v="STORE6"/>
    <n v="4"/>
    <n v="194.39"/>
    <n v="0.25"/>
    <s v="Credit Card"/>
    <n v="583.16999999999996"/>
    <n v="397155.81170000014"/>
    <n v="1085.1251685792354"/>
    <n v="113"/>
    <s v="Low Value"/>
    <s v="Feb-2024"/>
    <s v="HDMI Cable – 2m"/>
    <x v="1"/>
  </r>
  <r>
    <s v="PROD33"/>
    <s v="STORE1"/>
    <n v="1"/>
    <n v="339.7"/>
    <n v="0.1"/>
    <s v="Credit Card"/>
    <n v="305.73"/>
    <n v="396572.64170000015"/>
    <n v="1086.5003882191786"/>
    <n v="113"/>
    <s v="Low Value"/>
    <s v="May-2024"/>
    <s v="Modern Wall Clock"/>
    <x v="3"/>
  </r>
  <r>
    <s v="PROD68"/>
    <s v="STORE13"/>
    <n v="4"/>
    <n v="463.16"/>
    <n v="0.27"/>
    <s v="PayPal"/>
    <n v="1352.4272000000001"/>
    <n v="396266.91170000017"/>
    <n v="1088.6453618131873"/>
    <n v="113"/>
    <s v="High Value"/>
    <s v="Sep-2025"/>
    <s v="Wooden Nightstand"/>
    <x v="3"/>
  </r>
  <r>
    <s v="PROD5"/>
    <s v="STORE10"/>
    <n v="2"/>
    <n v="824.91"/>
    <n v="0.09"/>
    <s v="Credit Card"/>
    <n v="1501.3362"/>
    <n v="394914.48450000014"/>
    <n v="1087.9186900826451"/>
    <n v="112"/>
    <s v="High Value"/>
    <s v="Feb-2025"/>
    <s v="Men's Leather Belt"/>
    <x v="4"/>
  </r>
  <r>
    <s v="PROD5"/>
    <s v="STORE2"/>
    <n v="4"/>
    <n v="796.89"/>
    <n v="0.17"/>
    <s v="Credit Card"/>
    <n v="2645.6747999999998"/>
    <n v="393413.14830000012"/>
    <n v="1086.7766527624312"/>
    <n v="112"/>
    <s v="High Value"/>
    <s v="Aug-2024"/>
    <s v="Men's Leather Belt"/>
    <x v="4"/>
  </r>
  <r>
    <s v="PROD26"/>
    <s v="STORE17"/>
    <n v="3"/>
    <n v="543.92999999999995"/>
    <n v="0.3"/>
    <s v="COD"/>
    <n v="1142.2529999999999"/>
    <n v="390767.47350000014"/>
    <n v="1082.4583753462607"/>
    <n v="112"/>
    <s v="High Value"/>
    <s v="Jul-2024"/>
    <s v="Wireless Bluetooth Speaker"/>
    <x v="1"/>
  </r>
  <r>
    <s v="PROD14"/>
    <s v="STORE7"/>
    <n v="2"/>
    <n v="44.65"/>
    <n v="0.03"/>
    <s v="PayPal"/>
    <n v="86.620999999999995"/>
    <n v="389625.22050000005"/>
    <n v="1082.2922791666667"/>
    <n v="112"/>
    <s v="Low Value"/>
    <s v="Jul-2024"/>
    <s v="Decorative Wall Mirror"/>
    <x v="3"/>
  </r>
  <r>
    <s v="PROD56"/>
    <s v="STORE0"/>
    <n v="4"/>
    <n v="827.39"/>
    <n v="0.06"/>
    <s v="COD"/>
    <n v="3110.9863999999998"/>
    <n v="389538.59950000007"/>
    <n v="1085.0657367688025"/>
    <n v="111"/>
    <s v="High Value"/>
    <s v="Mar-2025"/>
    <s v="Premium Blanket Throw"/>
    <x v="3"/>
  </r>
  <r>
    <s v="PROD14"/>
    <s v="STORE12"/>
    <n v="2"/>
    <n v="403.2"/>
    <n v="0.21"/>
    <s v="PayPal"/>
    <n v="637.05600000000004"/>
    <n v="386427.61310000008"/>
    <n v="1079.4067405027936"/>
    <n v="111"/>
    <s v="Low Value"/>
    <s v="Jan-2024"/>
    <s v="Decorative Wall Mirror"/>
    <x v="3"/>
  </r>
  <r>
    <s v="PROD86"/>
    <s v="STORE13"/>
    <n v="4"/>
    <n v="292.31"/>
    <n v="0.27"/>
    <s v="PayPal"/>
    <n v="853.54520000000002"/>
    <n v="385790.55710000003"/>
    <n v="1080.6458182072829"/>
    <n v="110"/>
    <s v="Low Value"/>
    <s v="Sep-2024"/>
    <s v="Kitchen Cutting Board"/>
    <x v="3"/>
  </r>
  <r>
    <s v="PROD2"/>
    <s v="STORE10"/>
    <n v="1"/>
    <n v="948.33"/>
    <n v="0.11"/>
    <s v="Credit Card"/>
    <n v="844.01370000000009"/>
    <n v="384937.01189999998"/>
    <n v="1081.2837412921349"/>
    <n v="109"/>
    <s v="Low Value"/>
    <s v="May-2025"/>
    <s v="Women's Casual Hoodie"/>
    <x v="4"/>
  </r>
  <r>
    <s v="PROD39"/>
    <s v="STORE5"/>
    <n v="1"/>
    <n v="702.27"/>
    <n v="0.17"/>
    <s v="COD"/>
    <n v="582.88409999999999"/>
    <n v="384092.99819999997"/>
    <n v="1081.9521076056337"/>
    <n v="109"/>
    <s v="Low Value"/>
    <s v="Jan-2024"/>
    <s v="Portable Power Bank"/>
    <x v="1"/>
  </r>
  <r>
    <s v="PROD30"/>
    <s v="STORE3"/>
    <n v="2"/>
    <n v="379.28"/>
    <n v="0.26"/>
    <s v="Credit Card"/>
    <n v="561.33439999999996"/>
    <n v="383510.11410000001"/>
    <n v="1083.3619042372882"/>
    <n v="109"/>
    <s v="Low Value"/>
    <s v="Aug-2025"/>
    <s v="Stainless Steel Cutlery Set"/>
    <x v="3"/>
  </r>
  <r>
    <s v="PROD47"/>
    <s v="STORE0"/>
    <n v="4"/>
    <n v="92.35"/>
    <n v="0.15"/>
    <s v="Credit Card"/>
    <n v="313.99"/>
    <n v="382948.77970000001"/>
    <n v="1084.8407356940511"/>
    <n v="109"/>
    <s v="Low Value"/>
    <s v="Jan-2025"/>
    <s v="Makeup Brush Set"/>
    <x v="2"/>
  </r>
  <r>
    <s v="PROD39"/>
    <s v="STORE12"/>
    <n v="4"/>
    <n v="721.54"/>
    <n v="0.21"/>
    <s v="Credit Card"/>
    <n v="2280.0664000000002"/>
    <n v="382634.78970000002"/>
    <n v="1087.0306525568183"/>
    <n v="109"/>
    <s v="High Value"/>
    <s v="Nov-2024"/>
    <s v="Portable Power Bank"/>
    <x v="1"/>
  </r>
  <r>
    <s v="PROD38"/>
    <s v="STORE9"/>
    <n v="1"/>
    <n v="228.69"/>
    <n v="0.14000000000000001"/>
    <s v="Credit Card"/>
    <n v="196.67339999999999"/>
    <n v="380354.72330000001"/>
    <n v="1083.6316903133904"/>
    <n v="109"/>
    <s v="Low Value"/>
    <s v="May-2025"/>
    <s v="Sports Water Hydration Pack"/>
    <x v="0"/>
  </r>
  <r>
    <s v="PROD53"/>
    <s v="STORE10"/>
    <n v="1"/>
    <n v="899.09"/>
    <n v="0.2"/>
    <s v="PayPal"/>
    <n v="719.27200000000005"/>
    <n v="380158.04989999998"/>
    <n v="1086.1658568571429"/>
    <n v="109"/>
    <s v="Low Value"/>
    <s v="Sep-2025"/>
    <s v="Men's Track Pants"/>
    <x v="4"/>
  </r>
  <r>
    <s v="PROD8"/>
    <s v="STORE8"/>
    <n v="4"/>
    <n v="195.75"/>
    <n v="0.17"/>
    <s v="Credit Card"/>
    <n v="649.89"/>
    <n v="379438.77789999999"/>
    <n v="1087.217128653295"/>
    <n v="108"/>
    <s v="Low Value"/>
    <s v="Mar-2024"/>
    <s v="Wireless Bluetooth Earbuds"/>
    <x v="1"/>
  </r>
  <r>
    <s v="PROD93"/>
    <s v="STORE15"/>
    <n v="3"/>
    <n v="199.13"/>
    <n v="0.24"/>
    <s v="Credit Card"/>
    <n v="454.01639999999998"/>
    <n v="378788.88790000003"/>
    <n v="1088.4738158045977"/>
    <n v="108"/>
    <s v="Low Value"/>
    <s v="Aug-2024"/>
    <s v="USB-C Laptop Charger"/>
    <x v="1"/>
  </r>
  <r>
    <s v="PROD22"/>
    <s v="STORE14"/>
    <n v="2"/>
    <n v="833.62"/>
    <n v="0.18"/>
    <s v="Credit Card"/>
    <n v="1367.1368"/>
    <n v="378334.87150000001"/>
    <n v="1090.3022233429394"/>
    <n v="108"/>
    <s v="High Value"/>
    <s v="Jun-2024"/>
    <s v="Carbon Fiber Tennis Racket"/>
    <x v="0"/>
  </r>
  <r>
    <s v="PROD75"/>
    <s v="STORE0"/>
    <n v="1"/>
    <n v="676.26"/>
    <n v="0.14000000000000001"/>
    <s v="Credit Card"/>
    <n v="581.58359999999993"/>
    <n v="376967.73470000009"/>
    <n v="1089.5021234104049"/>
    <n v="108"/>
    <s v="Low Value"/>
    <s v="Apr-2024"/>
    <s v="Women's Ankle Boots"/>
    <x v="4"/>
  </r>
  <r>
    <s v="PROD60"/>
    <s v="STORE9"/>
    <n v="2"/>
    <n v="666.49"/>
    <n v="0.06"/>
    <s v="Credit Card"/>
    <n v="1253.0011999999999"/>
    <n v="376386.15110000008"/>
    <n v="1090.9743510144929"/>
    <n v="108"/>
    <s v="High Value"/>
    <s v="Feb-2025"/>
    <s v="Luxury Perfume Spray"/>
    <x v="2"/>
  </r>
  <r>
    <s v="PROD15"/>
    <s v="STORE4"/>
    <n v="3"/>
    <n v="471.19"/>
    <n v="0.28000000000000003"/>
    <s v="COD"/>
    <n v="1017.7704"/>
    <n v="375133.14990000013"/>
    <n v="1090.5033427325586"/>
    <n v="108"/>
    <s v="High Value"/>
    <s v="Mar-2025"/>
    <s v="4K Home Projector"/>
    <x v="1"/>
  </r>
  <r>
    <s v="PROD8"/>
    <s v="STORE3"/>
    <n v="4"/>
    <n v="555.65"/>
    <n v="0.25"/>
    <s v="COD"/>
    <n v="1666.95"/>
    <n v="374115.3795000001"/>
    <n v="1090.7153921282802"/>
    <n v="108"/>
    <s v="High Value"/>
    <s v="Nov-2023"/>
    <s v="Wireless Bluetooth Earbuds"/>
    <x v="1"/>
  </r>
  <r>
    <s v="PROD95"/>
    <s v="STORE14"/>
    <n v="2"/>
    <n v="100.42"/>
    <n v="0.06"/>
    <s v="Credit Card"/>
    <n v="188.78960000000001"/>
    <n v="372448.42950000014"/>
    <n v="1089.0304956140355"/>
    <n v="108"/>
    <s v="Low Value"/>
    <s v="Dec-2023"/>
    <s v="Sports Stopwatch Basic"/>
    <x v="0"/>
  </r>
  <r>
    <s v="PROD98"/>
    <s v="STORE18"/>
    <n v="3"/>
    <n v="981.69"/>
    <n v="0.05"/>
    <s v="COD"/>
    <n v="2797.8164999999999"/>
    <n v="372259.63990000013"/>
    <n v="1091.6704982404697"/>
    <n v="108"/>
    <s v="High Value"/>
    <s v="Feb-2024"/>
    <s v="Portable Bluetooth Speaker"/>
    <x v="1"/>
  </r>
  <r>
    <s v="PROD10"/>
    <s v="STORE16"/>
    <n v="2"/>
    <n v="848.87"/>
    <n v="0.09"/>
    <s v="COD"/>
    <n v="1544.9434000000001"/>
    <n v="369461.82340000017"/>
    <n v="1086.6524217647063"/>
    <n v="108"/>
    <s v="High Value"/>
    <s v="Jan-2024"/>
    <s v="Ceramic Kitchen Bowl Set"/>
    <x v="3"/>
  </r>
  <r>
    <s v="PROD96"/>
    <s v="STORE10"/>
    <n v="3"/>
    <n v="582.32000000000005"/>
    <n v="0"/>
    <s v="PayPal"/>
    <n v="1746.96"/>
    <n v="367916.88000000018"/>
    <n v="1085.3005309734519"/>
    <n v="108"/>
    <s v="High Value"/>
    <s v="Oct-2023"/>
    <s v="Women's Formal Blazer"/>
    <x v="4"/>
  </r>
  <r>
    <s v="PROD49"/>
    <s v="STORE17"/>
    <n v="2"/>
    <n v="869.43"/>
    <n v="0.24"/>
    <s v="COD"/>
    <n v="1321.5336"/>
    <n v="366169.92000000016"/>
    <n v="1083.3429585798822"/>
    <n v="107"/>
    <s v="High Value"/>
    <s v="Feb-2024"/>
    <s v="Men's Roll-On Perfume"/>
    <x v="2"/>
  </r>
  <r>
    <s v="PROD54"/>
    <s v="STORE4"/>
    <n v="1"/>
    <n v="62.26"/>
    <n v="0.03"/>
    <s v="COD"/>
    <n v="60.392200000000003"/>
    <n v="364848.38640000013"/>
    <n v="1082.6361614243328"/>
    <n v="107"/>
    <s v="Low Value"/>
    <s v="May-2024"/>
    <s v="Sports Stopwatch Pro"/>
    <x v="0"/>
  </r>
  <r>
    <s v="PROD39"/>
    <s v="STORE14"/>
    <n v="3"/>
    <n v="343.97"/>
    <n v="0.04"/>
    <s v="COD"/>
    <n v="990.6336"/>
    <n v="364787.99420000013"/>
    <n v="1085.678554166667"/>
    <n v="107"/>
    <s v="Low Value"/>
    <s v="May-2025"/>
    <s v="Portable Power Bank"/>
    <x v="1"/>
  </r>
  <r>
    <s v="PROD24"/>
    <s v="STORE12"/>
    <n v="3"/>
    <n v="304.67"/>
    <n v="0.11"/>
    <s v="Credit Card"/>
    <n v="813.46889999999996"/>
    <n v="363797.36060000013"/>
    <n v="1085.9622704477615"/>
    <n v="107"/>
    <s v="Low Value"/>
    <s v="Jan-2024"/>
    <s v="Foldable Camping Chair"/>
    <x v="0"/>
  </r>
  <r>
    <s v="PROD27"/>
    <s v="STORE9"/>
    <n v="4"/>
    <n v="208.34"/>
    <n v="0.01"/>
    <s v="PayPal"/>
    <n v="825.02639999999997"/>
    <n v="362983.89170000015"/>
    <n v="1086.778118862276"/>
    <n v="107"/>
    <s v="Low Value"/>
    <s v="Jan-2024"/>
    <s v="Decorative Floor Vase"/>
    <x v="3"/>
  </r>
  <r>
    <s v="PROD86"/>
    <s v="STORE1"/>
    <n v="1"/>
    <n v="119.04"/>
    <n v="0.13"/>
    <s v="COD"/>
    <n v="103.56480000000001"/>
    <n v="362158.86530000012"/>
    <n v="1087.5641600600604"/>
    <n v="106"/>
    <s v="Low Value"/>
    <s v="Jul-2025"/>
    <s v="Kitchen Cutting Board"/>
    <x v="3"/>
  </r>
  <r>
    <s v="PROD44"/>
    <s v="STORE9"/>
    <n v="4"/>
    <n v="791.65"/>
    <n v="0.06"/>
    <s v="COD"/>
    <n v="2976.6039999999998"/>
    <n v="362055.30050000013"/>
    <n v="1090.5280135542173"/>
    <n v="106"/>
    <s v="High Value"/>
    <s v="Jul-2025"/>
    <s v="Adjustable Jump Rope"/>
    <x v="0"/>
  </r>
  <r>
    <s v="PROD14"/>
    <s v="STORE2"/>
    <n v="2"/>
    <n v="414.86"/>
    <n v="0.23"/>
    <s v="Credit Card"/>
    <n v="638.88440000000003"/>
    <n v="359078.69650000014"/>
    <n v="1084.8298987915412"/>
    <n v="106"/>
    <s v="Low Value"/>
    <s v="Jul-2025"/>
    <s v="Decorative Wall Mirror"/>
    <x v="3"/>
  </r>
  <r>
    <s v="PROD38"/>
    <s v="STORE12"/>
    <n v="2"/>
    <n v="960.81"/>
    <n v="0.28000000000000003"/>
    <s v="PayPal"/>
    <n v="1383.5663999999999"/>
    <n v="358439.8121000001"/>
    <n v="1086.181248787879"/>
    <n v="106"/>
    <s v="High Value"/>
    <s v="Apr-2024"/>
    <s v="Sports Water Hydration Pack"/>
    <x v="0"/>
  </r>
  <r>
    <s v="PROD50"/>
    <s v="STORE4"/>
    <n v="4"/>
    <n v="943.36"/>
    <n v="0.18"/>
    <s v="PayPal"/>
    <n v="3094.2208000000001"/>
    <n v="357056.24570000015"/>
    <n v="1085.2773425531918"/>
    <n v="105"/>
    <s v="High Value"/>
    <s v="Jan-2025"/>
    <s v="Boxing Hand Wraps"/>
    <x v="0"/>
  </r>
  <r>
    <s v="PROD3"/>
    <s v="STORE13"/>
    <n v="1"/>
    <n v="830.42"/>
    <n v="0.26"/>
    <s v="COD"/>
    <n v="614.51080000000002"/>
    <n v="353962.02490000013"/>
    <n v="1079.1525149390247"/>
    <n v="104"/>
    <s v="Low Value"/>
    <s v="Sep-2024"/>
    <s v="Men's Running Jacket"/>
    <x v="4"/>
  </r>
  <r>
    <s v="PROD67"/>
    <s v="STORE17"/>
    <n v="1"/>
    <n v="762.55"/>
    <n v="0.19"/>
    <s v="Credit Card"/>
    <n v="617.66549999999995"/>
    <n v="353347.51410000009"/>
    <n v="1080.5734376146793"/>
    <n v="104"/>
    <s v="Low Value"/>
    <s v="Dec-2024"/>
    <s v="Smart LED Light Strip"/>
    <x v="1"/>
  </r>
  <r>
    <s v="PROD74"/>
    <s v="STORE18"/>
    <n v="2"/>
    <n v="464.43"/>
    <n v="0.24"/>
    <s v="COD"/>
    <n v="705.93360000000007"/>
    <n v="352729.84860000008"/>
    <n v="1081.9934006134972"/>
    <n v="104"/>
    <s v="Low Value"/>
    <s v="Jul-2025"/>
    <s v="Bluetooth Car Audio System"/>
    <x v="1"/>
  </r>
  <r>
    <s v="PROD64"/>
    <s v="STORE18"/>
    <n v="1"/>
    <n v="711.08"/>
    <n v="0.24"/>
    <s v="PayPal"/>
    <n v="540.42079999999999"/>
    <n v="352023.91500000004"/>
    <n v="1083.1505076923079"/>
    <n v="104"/>
    <s v="Low Value"/>
    <s v="Jul-2025"/>
    <s v="Matte Lipstick Set"/>
    <x v="2"/>
  </r>
  <r>
    <s v="PROD45"/>
    <s v="STORE14"/>
    <n v="2"/>
    <n v="984.96"/>
    <n v="0.16"/>
    <s v="PayPal"/>
    <n v="1654.7328"/>
    <n v="351483.49420000007"/>
    <n v="1084.8255993827163"/>
    <n v="103"/>
    <s v="High Value"/>
    <s v="Dec-2024"/>
    <s v="High-Grip Football"/>
    <x v="0"/>
  </r>
  <r>
    <s v="PROD38"/>
    <s v="STORE12"/>
    <n v="1"/>
    <n v="21.14"/>
    <n v="0.06"/>
    <s v="COD"/>
    <n v="19.871600000000001"/>
    <n v="349828.76140000002"/>
    <n v="1083.0611808049537"/>
    <n v="102"/>
    <s v="Low Value"/>
    <s v="Apr-2025"/>
    <s v="Sports Water Hydration Pack"/>
    <x v="0"/>
  </r>
  <r>
    <s v="PROD98"/>
    <s v="STORE8"/>
    <n v="1"/>
    <n v="343.03"/>
    <n v="0.16"/>
    <s v="Credit Card"/>
    <n v="288.14519999999999"/>
    <n v="349808.8898"/>
    <n v="1086.3630118012422"/>
    <n v="102"/>
    <s v="Low Value"/>
    <s v="Jan-2025"/>
    <s v="Portable Bluetooth Speaker"/>
    <x v="1"/>
  </r>
  <r>
    <s v="PROD20"/>
    <s v="STORE18"/>
    <n v="3"/>
    <n v="94.83"/>
    <n v="0.16"/>
    <s v="COD"/>
    <n v="238.9716"/>
    <n v="349520.74460000003"/>
    <n v="1088.8496716510904"/>
    <n v="102"/>
    <s v="Low Value"/>
    <s v="Nov-2023"/>
    <s v="Outdoor Sports Water Bottle"/>
    <x v="0"/>
  </r>
  <r>
    <s v="PROD69"/>
    <s v="STORE19"/>
    <n v="3"/>
    <n v="74.66"/>
    <n v="0.03"/>
    <s v="PayPal"/>
    <n v="217.26060000000001"/>
    <n v="349281.77299999999"/>
    <n v="1091.5055406249999"/>
    <n v="102"/>
    <s v="Low Value"/>
    <s v="May-2025"/>
    <s v="Men's Sports Shorts"/>
    <x v="4"/>
  </r>
  <r>
    <s v="PROD37"/>
    <s v="STORE15"/>
    <n v="3"/>
    <n v="281.95999999999998"/>
    <n v="0.01"/>
    <s v="COD"/>
    <n v="837.42119999999989"/>
    <n v="349064.51240000001"/>
    <n v="1094.2461203761757"/>
    <n v="101"/>
    <s v="Low Value"/>
    <s v="Dec-2023"/>
    <s v="Men's Casual Sneakers"/>
    <x v="4"/>
  </r>
  <r>
    <s v="PROD71"/>
    <s v="STORE18"/>
    <n v="4"/>
    <n v="622.27"/>
    <n v="0.02"/>
    <s v="PayPal"/>
    <n v="2439.2984000000001"/>
    <n v="348227.09120000002"/>
    <n v="1095.0537459119498"/>
    <n v="101"/>
    <s v="High Value"/>
    <s v="Jan-2025"/>
    <s v="Hair Repair Oil Treatment"/>
    <x v="2"/>
  </r>
  <r>
    <s v="PROD37"/>
    <s v="STORE7"/>
    <n v="2"/>
    <n v="78.27"/>
    <n v="0.28999999999999998"/>
    <s v="COD"/>
    <n v="111.1434"/>
    <n v="345787.7928"/>
    <n v="1090.8132264984226"/>
    <n v="100"/>
    <s v="Low Value"/>
    <s v="Jul-2024"/>
    <s v="Men's Casual Sneakers"/>
    <x v="4"/>
  </r>
  <r>
    <s v="PROD62"/>
    <s v="STORE13"/>
    <n v="4"/>
    <n v="676.58"/>
    <n v="0.23"/>
    <s v="COD"/>
    <n v="2083.8663999999999"/>
    <n v="345676.64939999999"/>
    <n v="1093.9134474683544"/>
    <n v="100"/>
    <s v="High Value"/>
    <s v="Jul-2025"/>
    <s v="Laptop Cooling Pad"/>
    <x v="1"/>
  </r>
  <r>
    <s v="PROD31"/>
    <s v="STORE1"/>
    <n v="2"/>
    <n v="938.6"/>
    <n v="0.04"/>
    <s v="PayPal"/>
    <n v="1802.1120000000001"/>
    <n v="343592.783"/>
    <n v="1090.7707396825397"/>
    <n v="100"/>
    <s v="High Value"/>
    <s v="Jun-2024"/>
    <s v="Basketball"/>
    <x v="0"/>
  </r>
  <r>
    <s v="PROD13"/>
    <s v="STORE14"/>
    <n v="2"/>
    <n v="859.47"/>
    <n v="0.01"/>
    <s v="Credit Card"/>
    <n v="1701.7506000000001"/>
    <n v="341790.67100000003"/>
    <n v="1088.5053216560511"/>
    <n v="99"/>
    <s v="High Value"/>
    <s v="Apr-2025"/>
    <s v="USB-C Fast Charger"/>
    <x v="1"/>
  </r>
  <r>
    <s v="PROD27"/>
    <s v="STORE14"/>
    <n v="3"/>
    <n v="672.98"/>
    <n v="0.23"/>
    <s v="PayPal"/>
    <n v="1554.5838000000001"/>
    <n v="340088.9204"/>
    <n v="1086.5460715654951"/>
    <n v="99"/>
    <s v="High Value"/>
    <s v="Mar-2024"/>
    <s v="Decorative Floor Vase"/>
    <x v="3"/>
  </r>
  <r>
    <s v="PROD56"/>
    <s v="STORE18"/>
    <n v="1"/>
    <n v="75.8"/>
    <n v="0.28999999999999998"/>
    <s v="PayPal"/>
    <n v="53.817999999999998"/>
    <n v="338534.33659999998"/>
    <n v="1085.0459506410257"/>
    <n v="98"/>
    <s v="Low Value"/>
    <s v="May-2024"/>
    <s v="Premium Blanket Throw"/>
    <x v="3"/>
  </r>
  <r>
    <s v="PROD17"/>
    <s v="STORE15"/>
    <n v="4"/>
    <n v="742.15"/>
    <n v="0.1"/>
    <s v="COD"/>
    <n v="2671.74"/>
    <n v="338480.51859999995"/>
    <n v="1088.3617961414789"/>
    <n v="97"/>
    <s v="High Value"/>
    <s v="Sep-2024"/>
    <s v="Soccer Training Cone Set"/>
    <x v="0"/>
  </r>
  <r>
    <s v="PROD30"/>
    <s v="STORE7"/>
    <n v="1"/>
    <n v="637.39"/>
    <n v="0.22"/>
    <s v="PayPal"/>
    <n v="497.16419999999999"/>
    <n v="335808.77859999996"/>
    <n v="1083.254124516129"/>
    <n v="97"/>
    <s v="Low Value"/>
    <s v="Jun-2024"/>
    <s v="Stainless Steel Cutlery Set"/>
    <x v="3"/>
  </r>
  <r>
    <s v="PROD6"/>
    <s v="STORE17"/>
    <n v="1"/>
    <n v="631"/>
    <n v="0.04"/>
    <s v="Credit Card"/>
    <n v="605.76"/>
    <n v="335311.61439999996"/>
    <n v="1085.1508556634303"/>
    <n v="96"/>
    <s v="Low Value"/>
    <s v="Oct-2023"/>
    <s v="Herbal Face Moisturizer"/>
    <x v="2"/>
  </r>
  <r>
    <s v="PROD80"/>
    <s v="STORE3"/>
    <n v="4"/>
    <n v="983.98"/>
    <n v="0.11"/>
    <s v="COD"/>
    <n v="3502.9688000000001"/>
    <n v="334705.85439999995"/>
    <n v="1086.7073194805193"/>
    <n v="96"/>
    <s v="High Value"/>
    <s v="Sep-2025"/>
    <s v="Wall-Mounted Spice Rack"/>
    <x v="3"/>
  </r>
  <r>
    <s v="PROD55"/>
    <s v="STORE11"/>
    <n v="4"/>
    <n v="73.69"/>
    <n v="0.08"/>
    <s v="Credit Card"/>
    <n v="271.17919999999998"/>
    <n v="331202.88559999998"/>
    <n v="1078.8367609120521"/>
    <n v="96"/>
    <s v="Low Value"/>
    <s v="Mar-2024"/>
    <s v="Ceramic Plant Pot"/>
    <x v="3"/>
  </r>
  <r>
    <s v="PROD11"/>
    <s v="STORE7"/>
    <n v="3"/>
    <n v="110.99"/>
    <n v="0.21"/>
    <s v="Credit Card"/>
    <n v="263.04629999999997"/>
    <n v="330931.70639999997"/>
    <n v="1081.4761647058822"/>
    <n v="96"/>
    <s v="Low Value"/>
    <s v="Jul-2024"/>
    <s v="HD Smart TV Stick"/>
    <x v="1"/>
  </r>
  <r>
    <s v="PROD10"/>
    <s v="STORE7"/>
    <n v="1"/>
    <n v="66.86"/>
    <n v="0.22"/>
    <s v="COD"/>
    <n v="52.150799999999997"/>
    <n v="330668.66009999998"/>
    <n v="1084.1595413114753"/>
    <n v="96"/>
    <s v="Low Value"/>
    <s v="Jul-2025"/>
    <s v="Ceramic Kitchen Bowl Set"/>
    <x v="3"/>
  </r>
  <r>
    <s v="PROD67"/>
    <s v="STORE18"/>
    <n v="1"/>
    <n v="980.26"/>
    <n v="0.14000000000000001"/>
    <s v="PayPal"/>
    <n v="843.02359999999999"/>
    <n v="330616.50929999998"/>
    <n v="1087.5543069078947"/>
    <n v="96"/>
    <s v="Low Value"/>
    <s v="Aug-2024"/>
    <s v="Smart LED Light Strip"/>
    <x v="1"/>
  </r>
  <r>
    <s v="PROD18"/>
    <s v="STORE18"/>
    <n v="1"/>
    <n v="235.28"/>
    <n v="0.05"/>
    <s v="PayPal"/>
    <n v="223.51599999999999"/>
    <n v="329773.48569999996"/>
    <n v="1088.3613389438942"/>
    <n v="95"/>
    <s v="Low Value"/>
    <s v="Jan-2024"/>
    <s v="Women's Denim Jeans"/>
    <x v="4"/>
  </r>
  <r>
    <s v="PROD0"/>
    <s v="STORE15"/>
    <n v="3"/>
    <n v="407.39"/>
    <n v="0.08"/>
    <s v="PayPal"/>
    <n v="1124.3964000000001"/>
    <n v="329549.96969999996"/>
    <n v="1091.225065231788"/>
    <n v="94"/>
    <s v="High Value"/>
    <s v="Sep-2024"/>
    <s v="Brother Laser Printer"/>
    <x v="1"/>
  </r>
  <r>
    <s v="PROD27"/>
    <s v="STORE14"/>
    <n v="4"/>
    <n v="459.83"/>
    <n v="0.12"/>
    <s v="COD"/>
    <n v="1618.6016"/>
    <n v="328425.57329999999"/>
    <n v="1091.1148614617939"/>
    <n v="93"/>
    <s v="High Value"/>
    <s v="Jan-2025"/>
    <s v="Decorative Floor Vase"/>
    <x v="3"/>
  </r>
  <r>
    <s v="PROD93"/>
    <s v="STORE4"/>
    <n v="3"/>
    <n v="706.6"/>
    <n v="0.17"/>
    <s v="PayPal"/>
    <n v="1759.434"/>
    <n v="326806.97169999999"/>
    <n v="1089.3565723333334"/>
    <n v="93"/>
    <s v="High Value"/>
    <s v="Feb-2024"/>
    <s v="USB-C Laptop Charger"/>
    <x v="1"/>
  </r>
  <r>
    <s v="PROD91"/>
    <s v="STORE19"/>
    <n v="3"/>
    <n v="811.16"/>
    <n v="0.1"/>
    <s v="COD"/>
    <n v="2190.1320000000001"/>
    <n v="325047.53770000004"/>
    <n v="1087.1155107023412"/>
    <n v="92"/>
    <s v="High Value"/>
    <s v="Jun-2025"/>
    <s v="Women's High Heels"/>
    <x v="4"/>
  </r>
  <r>
    <s v="PROD37"/>
    <s v="STORE7"/>
    <n v="2"/>
    <n v="985.79"/>
    <n v="0.04"/>
    <s v="PayPal"/>
    <n v="1892.7167999999999"/>
    <n v="322857.4057"/>
    <n v="1083.4141130872483"/>
    <n v="92"/>
    <s v="High Value"/>
    <s v="Dec-2023"/>
    <s v="Men's Casual Sneakers"/>
    <x v="4"/>
  </r>
  <r>
    <s v="PROD33"/>
    <s v="STORE14"/>
    <n v="1"/>
    <n v="255.02"/>
    <n v="0.3"/>
    <s v="Credit Card"/>
    <n v="178.51400000000001"/>
    <n v="320964.68890000001"/>
    <n v="1080.6891882154882"/>
    <n v="91"/>
    <s v="Low Value"/>
    <s v="Aug-2024"/>
    <s v="Modern Wall Clock"/>
    <x v="3"/>
  </r>
  <r>
    <s v="PROD19"/>
    <s v="STORE8"/>
    <n v="1"/>
    <n v="153.57"/>
    <n v="0.01"/>
    <s v="PayPal"/>
    <n v="152.0343"/>
    <n v="320786.17489999998"/>
    <n v="1083.7370773648647"/>
    <n v="91"/>
    <s v="Low Value"/>
    <s v="Feb-2025"/>
    <s v="Knee Support Brace"/>
    <x v="0"/>
  </r>
  <r>
    <s v="PROD43"/>
    <s v="STORE18"/>
    <n v="3"/>
    <n v="962.98"/>
    <n v="0.21"/>
    <s v="Credit Card"/>
    <n v="2282.2626"/>
    <n v="320634.14059999998"/>
    <n v="1086.8953918644067"/>
    <n v="90"/>
    <s v="High Value"/>
    <s v="Mar-2025"/>
    <s v="USB External Hard Drive"/>
    <x v="1"/>
  </r>
  <r>
    <s v="PROD44"/>
    <s v="STORE8"/>
    <n v="3"/>
    <n v="884.46"/>
    <n v="0.25"/>
    <s v="Credit Card"/>
    <n v="1990.0350000000001"/>
    <n v="318351.87799999997"/>
    <n v="1082.8295170068027"/>
    <n v="90"/>
    <s v="High Value"/>
    <s v="Mar-2024"/>
    <s v="Adjustable Jump Rope"/>
    <x v="0"/>
  </r>
  <r>
    <s v="PROD67"/>
    <s v="STORE10"/>
    <n v="4"/>
    <n v="359.71"/>
    <n v="0.05"/>
    <s v="PayPal"/>
    <n v="1366.8979999999999"/>
    <n v="316361.84299999994"/>
    <n v="1079.7332525597267"/>
    <n v="90"/>
    <s v="High Value"/>
    <s v="May-2025"/>
    <s v="Smart LED Light Strip"/>
    <x v="1"/>
  </r>
  <r>
    <s v="PROD50"/>
    <s v="STORE4"/>
    <n v="3"/>
    <n v="766.47"/>
    <n v="0.18"/>
    <s v="Credit Card"/>
    <n v="1885.5162"/>
    <n v="314994.94499999995"/>
    <n v="1078.7498116438355"/>
    <n v="89"/>
    <s v="High Value"/>
    <s v="Feb-2025"/>
    <s v="Boxing Hand Wraps"/>
    <x v="0"/>
  </r>
  <r>
    <s v="PROD56"/>
    <s v="STORE18"/>
    <n v="1"/>
    <n v="772.07"/>
    <n v="0.26"/>
    <s v="PayPal"/>
    <n v="571.33180000000004"/>
    <n v="313109.42879999999"/>
    <n v="1075.977418556701"/>
    <n v="89"/>
    <s v="Low Value"/>
    <s v="Jul-2024"/>
    <s v="Premium Blanket Throw"/>
    <x v="3"/>
  </r>
  <r>
    <s v="PROD19"/>
    <s v="STORE5"/>
    <n v="3"/>
    <n v="108.31"/>
    <n v="0.26"/>
    <s v="COD"/>
    <n v="240.44820000000001"/>
    <n v="312538.09699999995"/>
    <n v="1077.7175758620688"/>
    <n v="88"/>
    <s v="Low Value"/>
    <s v="Jan-2024"/>
    <s v="Knee Support Brace"/>
    <x v="0"/>
  </r>
  <r>
    <s v="PROD79"/>
    <s v="STORE6"/>
    <n v="1"/>
    <n v="502.53"/>
    <n v="0"/>
    <s v="PayPal"/>
    <n v="502.53"/>
    <n v="312297.64879999997"/>
    <n v="1080.6147017301037"/>
    <n v="88"/>
    <s v="Low Value"/>
    <s v="Jan-2024"/>
    <s v="Decorative Lamp Shade"/>
    <x v="3"/>
  </r>
  <r>
    <s v="PROD1"/>
    <s v="STORE16"/>
    <n v="2"/>
    <n v="508.52"/>
    <n v="0.11"/>
    <s v="COD"/>
    <n v="905.16559999999993"/>
    <n v="311795.11879999994"/>
    <n v="1082.6219402777776"/>
    <n v="87"/>
    <s v="Low Value"/>
    <s v="Sep-2024"/>
    <s v="Men's Graphic T-Shirt"/>
    <x v="4"/>
  </r>
  <r>
    <s v="PROD74"/>
    <s v="STORE3"/>
    <n v="1"/>
    <n v="492"/>
    <n v="0.26"/>
    <s v="PayPal"/>
    <n v="364.08"/>
    <n v="310889.95319999999"/>
    <n v="1083.2402550522647"/>
    <n v="87"/>
    <s v="Low Value"/>
    <s v="Oct-2024"/>
    <s v="Bluetooth Car Audio System"/>
    <x v="1"/>
  </r>
  <r>
    <s v="PROD37"/>
    <s v="STORE14"/>
    <n v="4"/>
    <n v="746.36"/>
    <n v="0.02"/>
    <s v="Credit Card"/>
    <n v="2925.7312000000002"/>
    <n v="310525.87319999997"/>
    <n v="1085.7548013986013"/>
    <n v="86"/>
    <s v="High Value"/>
    <s v="Feb-2024"/>
    <s v="Men's Casual Sneakers"/>
    <x v="4"/>
  </r>
  <r>
    <s v="PROD12"/>
    <s v="STORE1"/>
    <n v="1"/>
    <n v="120.83"/>
    <n v="0.08"/>
    <s v="Credit Card"/>
    <n v="111.1636"/>
    <n v="307600.14200000005"/>
    <n v="1079.2987438596492"/>
    <n v="86"/>
    <s v="Low Value"/>
    <s v="Jun-2025"/>
    <s v="Hair Strengthening Shampoo"/>
    <x v="2"/>
  </r>
  <r>
    <s v="PROD77"/>
    <s v="STORE18"/>
    <n v="2"/>
    <n v="68.31"/>
    <n v="0.28999999999999998"/>
    <s v="COD"/>
    <n v="97.000199999999992"/>
    <n v="307488.97840000002"/>
    <n v="1082.7076704225353"/>
    <n v="86"/>
    <s v="Low Value"/>
    <s v="Apr-2024"/>
    <s v="WiFi Mesh Router"/>
    <x v="1"/>
  </r>
  <r>
    <s v="PROD22"/>
    <s v="STORE18"/>
    <n v="2"/>
    <n v="761.71"/>
    <n v="0.02"/>
    <s v="PayPal"/>
    <n v="1492.9516000000001"/>
    <n v="307391.97820000001"/>
    <n v="1086.1907356890461"/>
    <n v="86"/>
    <s v="High Value"/>
    <s v="Dec-2023"/>
    <s v="Carbon Fiber Tennis Racket"/>
    <x v="0"/>
  </r>
  <r>
    <s v="PROD78"/>
    <s v="STORE3"/>
    <n v="4"/>
    <n v="346.37"/>
    <n v="0.18"/>
    <s v="COD"/>
    <n v="1136.0935999999999"/>
    <n v="305899.02659999998"/>
    <n v="1084.7483212765958"/>
    <n v="85"/>
    <s v="High Value"/>
    <s v="Dec-2023"/>
    <s v="Essential Oil Diffuser"/>
    <x v="3"/>
  </r>
  <r>
    <s v="PROD55"/>
    <s v="STORE12"/>
    <n v="1"/>
    <n v="846.3"/>
    <n v="0.14000000000000001"/>
    <s v="PayPal"/>
    <n v="727.81799999999998"/>
    <n v="304762.93300000002"/>
    <n v="1084.5655978647687"/>
    <n v="85"/>
    <s v="Low Value"/>
    <s v="Feb-2025"/>
    <s v="Ceramic Plant Pot"/>
    <x v="3"/>
  </r>
  <r>
    <s v="PROD0"/>
    <s v="STORE19"/>
    <n v="1"/>
    <n v="458.97"/>
    <n v="0.1"/>
    <s v="PayPal"/>
    <n v="413.07299999999998"/>
    <n v="304035.11499999999"/>
    <n v="1085.8396964285714"/>
    <n v="84"/>
    <s v="Low Value"/>
    <s v="Nov-2024"/>
    <s v="Brother Laser Printer"/>
    <x v="1"/>
  </r>
  <r>
    <s v="PROD43"/>
    <s v="STORE7"/>
    <n v="2"/>
    <n v="536.61"/>
    <n v="0.14000000000000001"/>
    <s v="Credit Card"/>
    <n v="922.9692"/>
    <n v="303622.04200000002"/>
    <n v="1088.2510465949822"/>
    <n v="83"/>
    <s v="Low Value"/>
    <s v="Mar-2025"/>
    <s v="USB External Hard Drive"/>
    <x v="1"/>
  </r>
  <r>
    <s v="PROD58"/>
    <s v="STORE0"/>
    <n v="3"/>
    <n v="130.41"/>
    <n v="0.14000000000000001"/>
    <s v="PayPal"/>
    <n v="336.45780000000002"/>
    <n v="302699.07279999997"/>
    <n v="1088.8455856115106"/>
    <n v="83"/>
    <s v="Low Value"/>
    <s v="Feb-2025"/>
    <s v="Womens Cotton Scarf"/>
    <x v="4"/>
  </r>
  <r>
    <s v="PROD89"/>
    <s v="STORE12"/>
    <n v="4"/>
    <n v="706.67"/>
    <n v="0.01"/>
    <s v="Credit Card"/>
    <n v="2798.4132"/>
    <n v="302362.61499999999"/>
    <n v="1091.5617870036101"/>
    <n v="82"/>
    <s v="High Value"/>
    <s v="Mar-2025"/>
    <s v="Face Foundation Kit"/>
    <x v="2"/>
  </r>
  <r>
    <s v="PROD27"/>
    <s v="STORE3"/>
    <n v="3"/>
    <n v="523.45000000000005"/>
    <n v="0.17"/>
    <s v="Credit Card"/>
    <n v="1303.3905"/>
    <n v="299564.20180000004"/>
    <n v="1085.3775427536234"/>
    <n v="82"/>
    <s v="High Value"/>
    <s v="Jan-2025"/>
    <s v="Decorative Floor Vase"/>
    <x v="3"/>
  </r>
  <r>
    <s v="PROD91"/>
    <s v="STORE18"/>
    <n v="3"/>
    <n v="482.2"/>
    <n v="0.23"/>
    <s v="COD"/>
    <n v="1113.8820000000001"/>
    <n v="298260.81130000006"/>
    <n v="1084.5847683636366"/>
    <n v="82"/>
    <s v="High Value"/>
    <s v="Feb-2025"/>
    <s v="Women's High Heels"/>
    <x v="4"/>
  </r>
  <r>
    <s v="PROD63"/>
    <s v="STORE5"/>
    <n v="4"/>
    <n v="688.86"/>
    <n v="0.02"/>
    <s v="COD"/>
    <n v="2700.3312000000001"/>
    <n v="297146.92930000008"/>
    <n v="1084.4778441605843"/>
    <n v="82"/>
    <s v="High Value"/>
    <s v="Mar-2025"/>
    <s v="Organic Sunscreen Lotion"/>
    <x v="2"/>
  </r>
  <r>
    <s v="PROD12"/>
    <s v="STORE0"/>
    <n v="1"/>
    <n v="145.47999999999999"/>
    <n v="0.1"/>
    <s v="COD"/>
    <n v="130.93199999999999"/>
    <n v="294446.59810000006"/>
    <n v="1078.5589673992677"/>
    <n v="82"/>
    <s v="Low Value"/>
    <s v="Oct-2023"/>
    <s v="Hair Strengthening Shampoo"/>
    <x v="2"/>
  </r>
  <r>
    <s v="PROD31"/>
    <s v="STORE11"/>
    <n v="4"/>
    <n v="862.25"/>
    <n v="0.28000000000000003"/>
    <s v="PayPal"/>
    <n v="2483.2800000000002"/>
    <n v="294315.66610000003"/>
    <n v="1082.0428900735296"/>
    <n v="82"/>
    <s v="High Value"/>
    <s v="Sep-2024"/>
    <s v="Basketball"/>
    <x v="0"/>
  </r>
  <r>
    <s v="PROD1"/>
    <s v="STORE14"/>
    <n v="4"/>
    <n v="146.12"/>
    <n v="0.12"/>
    <s v="COD"/>
    <n v="514.3424"/>
    <n v="291832.38610000006"/>
    <n v="1076.8722734317346"/>
    <n v="81"/>
    <s v="Low Value"/>
    <s v="Jan-2024"/>
    <s v="Men's Graphic T-Shirt"/>
    <x v="4"/>
  </r>
  <r>
    <s v="PROD31"/>
    <s v="STORE18"/>
    <n v="2"/>
    <n v="695.02"/>
    <n v="0.3"/>
    <s v="COD"/>
    <n v="973.02799999999991"/>
    <n v="291318.04369999998"/>
    <n v="1078.9557174074073"/>
    <n v="81"/>
    <s v="Low Value"/>
    <s v="Sep-2024"/>
    <s v="Basketball"/>
    <x v="0"/>
  </r>
  <r>
    <s v="PROD94"/>
    <s v="STORE10"/>
    <n v="2"/>
    <n v="886.67"/>
    <n v="0.24"/>
    <s v="PayPal"/>
    <n v="1347.7384"/>
    <n v="290345.01569999999"/>
    <n v="1079.3495007434944"/>
    <n v="81"/>
    <s v="High Value"/>
    <s v="Nov-2023"/>
    <s v="Vitamin E Body Lotion"/>
    <x v="2"/>
  </r>
  <r>
    <s v="PROD66"/>
    <s v="STORE18"/>
    <n v="2"/>
    <n v="864.09"/>
    <n v="0.06"/>
    <s v="COD"/>
    <n v="1624.4892"/>
    <n v="288997.27730000002"/>
    <n v="1078.3480496268658"/>
    <n v="80"/>
    <s v="High Value"/>
    <s v="Dec-2024"/>
    <s v="Women's Hair Dryer Brush"/>
    <x v="2"/>
  </r>
  <r>
    <s v="PROD12"/>
    <s v="STORE9"/>
    <n v="1"/>
    <n v="437.65"/>
    <n v="0.02"/>
    <s v="PayPal"/>
    <n v="428.89699999999999"/>
    <n v="287372.78810000001"/>
    <n v="1076.3025771535581"/>
    <n v="80"/>
    <s v="Low Value"/>
    <s v="Jul-2025"/>
    <s v="Hair Strengthening Shampoo"/>
    <x v="2"/>
  </r>
  <r>
    <s v="PROD36"/>
    <s v="STORE13"/>
    <n v="2"/>
    <n v="208.09"/>
    <n v="0.27"/>
    <s v="Credit Card"/>
    <n v="303.81139999999999"/>
    <n v="286943.89109999995"/>
    <n v="1078.7364327067667"/>
    <n v="79"/>
    <s v="Low Value"/>
    <s v="Jul-2025"/>
    <s v="Women's Summer Dress"/>
    <x v="4"/>
  </r>
  <r>
    <s v="PROD93"/>
    <s v="STORE17"/>
    <n v="4"/>
    <n v="825.78"/>
    <n v="0.02"/>
    <s v="Credit Card"/>
    <n v="3237.0576000000001"/>
    <n v="286640.07969999994"/>
    <n v="1081.6606781132073"/>
    <n v="79"/>
    <s v="High Value"/>
    <s v="Jul-2024"/>
    <s v="USB-C Laptop Charger"/>
    <x v="1"/>
  </r>
  <r>
    <s v="PROD25"/>
    <s v="STORE17"/>
    <n v="3"/>
    <n v="849.77"/>
    <n v="0.12"/>
    <s v="PayPal"/>
    <n v="2243.3928000000001"/>
    <n v="283403.02209999994"/>
    <n v="1073.4962958333331"/>
    <n v="79"/>
    <s v="High Value"/>
    <s v="Jan-2024"/>
    <s v="Women's Scarf Set"/>
    <x v="4"/>
  </r>
  <r>
    <s v="PROD60"/>
    <s v="STORE4"/>
    <n v="1"/>
    <n v="88.78"/>
    <n v="0.18"/>
    <s v="Credit Card"/>
    <n v="72.799600000000012"/>
    <n v="281159.62930000003"/>
    <n v="1069.0480201520913"/>
    <n v="78"/>
    <s v="Low Value"/>
    <s v="Jan-2024"/>
    <s v="Luxury Perfume Spray"/>
    <x v="2"/>
  </r>
  <r>
    <s v="PROD78"/>
    <s v="STORE4"/>
    <n v="4"/>
    <n v="507.22"/>
    <n v="0.14000000000000001"/>
    <s v="PayPal"/>
    <n v="1744.8368"/>
    <n v="281086.8297"/>
    <n v="1072.850495038168"/>
    <n v="78"/>
    <s v="High Value"/>
    <s v="Aug-2024"/>
    <s v="Essential Oil Diffuser"/>
    <x v="3"/>
  </r>
  <r>
    <s v="PROD96"/>
    <s v="STORE0"/>
    <n v="3"/>
    <n v="330.98"/>
    <n v="0.11"/>
    <s v="Credit Card"/>
    <n v="883.71660000000008"/>
    <n v="279341.99290000007"/>
    <n v="1070.2758348659006"/>
    <n v="77"/>
    <s v="Low Value"/>
    <s v="Aug-2025"/>
    <s v="Women's Formal Blazer"/>
    <x v="4"/>
  </r>
  <r>
    <s v="PROD37"/>
    <s v="STORE19"/>
    <n v="4"/>
    <n v="442.87"/>
    <n v="0.08"/>
    <s v="Credit Card"/>
    <n v="1629.7616"/>
    <n v="278458.27630000009"/>
    <n v="1070.9933703846157"/>
    <n v="77"/>
    <s v="High Value"/>
    <s v="Sep-2024"/>
    <s v="Men's Casual Sneakers"/>
    <x v="4"/>
  </r>
  <r>
    <s v="PROD96"/>
    <s v="STORE2"/>
    <n v="2"/>
    <n v="939.66"/>
    <n v="0.14000000000000001"/>
    <s v="PayPal"/>
    <n v="1616.2152000000001"/>
    <n v="276828.51470000012"/>
    <n v="1068.8359640926647"/>
    <n v="77"/>
    <s v="High Value"/>
    <s v="Aug-2025"/>
    <s v="Women's Formal Blazer"/>
    <x v="4"/>
  </r>
  <r>
    <s v="PROD73"/>
    <s v="STORE3"/>
    <n v="1"/>
    <n v="24.13"/>
    <n v="0"/>
    <s v="Credit Card"/>
    <n v="24.13"/>
    <n v="275212.29950000008"/>
    <n v="1066.7143391472871"/>
    <n v="76"/>
    <s v="Low Value"/>
    <s v="Sep-2024"/>
    <s v="Shin Guards – Adult"/>
    <x v="0"/>
  </r>
  <r>
    <s v="PROD41"/>
    <s v="STORE3"/>
    <n v="3"/>
    <n v="239.54"/>
    <n v="0.28999999999999998"/>
    <s v="COD"/>
    <n v="510.22019999999998"/>
    <n v="275188.16950000008"/>
    <n v="1070.7710875486384"/>
    <n v="76"/>
    <s v="Low Value"/>
    <s v="Mar-2024"/>
    <s v="Yoga Exercise Mat"/>
    <x v="0"/>
  </r>
  <r>
    <s v="PROD46"/>
    <s v="STORE14"/>
    <n v="1"/>
    <n v="588.53"/>
    <n v="0.1"/>
    <s v="Credit Card"/>
    <n v="529.67700000000002"/>
    <n v="274677.94930000015"/>
    <n v="1072.9607394531256"/>
    <n v="76"/>
    <s v="Low Value"/>
    <s v="Nov-2023"/>
    <s v="Men's Winter Jacket"/>
    <x v="4"/>
  </r>
  <r>
    <s v="PROD60"/>
    <s v="STORE15"/>
    <n v="1"/>
    <n v="145.96"/>
    <n v="0.3"/>
    <s v="Credit Card"/>
    <n v="102.172"/>
    <n v="274148.27230000013"/>
    <n v="1075.0912639215692"/>
    <n v="76"/>
    <s v="Low Value"/>
    <s v="Jul-2025"/>
    <s v="Luxury Perfume Spray"/>
    <x v="2"/>
  </r>
  <r>
    <s v="PROD70"/>
    <s v="STORE4"/>
    <n v="4"/>
    <n v="640.91"/>
    <n v="0.06"/>
    <s v="Credit Card"/>
    <n v="2409.8216000000002"/>
    <n v="274046.10030000011"/>
    <n v="1078.9216547244098"/>
    <n v="76"/>
    <s v="High Value"/>
    <s v="Oct-2024"/>
    <s v="Kitchen Storage Rack"/>
    <x v="3"/>
  </r>
  <r>
    <s v="PROD64"/>
    <s v="STORE11"/>
    <n v="3"/>
    <n v="773.86"/>
    <n v="0.22"/>
    <s v="Credit Card"/>
    <n v="1810.8324"/>
    <n v="271636.27870000014"/>
    <n v="1073.6611806324115"/>
    <n v="76"/>
    <s v="High Value"/>
    <s v="May-2025"/>
    <s v="Matte Lipstick Set"/>
    <x v="2"/>
  </r>
  <r>
    <s v="PROD31"/>
    <s v="STORE15"/>
    <n v="2"/>
    <n v="31.28"/>
    <n v="0.2"/>
    <s v="COD"/>
    <n v="50.048000000000002"/>
    <n v="269825.44630000019"/>
    <n v="1070.7358980158738"/>
    <n v="76"/>
    <s v="Low Value"/>
    <s v="Mar-2025"/>
    <s v="Basketball"/>
    <x v="0"/>
  </r>
  <r>
    <s v="PROD82"/>
    <s v="STORE6"/>
    <n v="4"/>
    <n v="389.22"/>
    <n v="0.18"/>
    <s v="Credit Card"/>
    <n v="1276.6415999999999"/>
    <n v="269775.39830000018"/>
    <n v="1074.8023836653394"/>
    <n v="76"/>
    <s v="High Value"/>
    <s v="Jul-2025"/>
    <s v="Fitness Resistance Bands"/>
    <x v="0"/>
  </r>
  <r>
    <s v="PROD64"/>
    <s v="STORE15"/>
    <n v="3"/>
    <n v="543.44000000000005"/>
    <n v="0.13"/>
    <s v="PayPal"/>
    <n v="1418.3784000000001"/>
    <n v="268498.75670000014"/>
    <n v="1073.9950268000007"/>
    <n v="76"/>
    <s v="High Value"/>
    <s v="Jul-2024"/>
    <s v="Matte Lipstick Set"/>
    <x v="2"/>
  </r>
  <r>
    <s v="PROD97"/>
    <s v="STORE19"/>
    <n v="4"/>
    <n v="715.42"/>
    <n v="0.28999999999999998"/>
    <s v="PayPal"/>
    <n v="2031.7927999999999"/>
    <n v="267080.37830000016"/>
    <n v="1072.6119610441774"/>
    <n v="75"/>
    <s v="High Value"/>
    <s v="Jan-2024"/>
    <s v="Cricket Bat"/>
    <x v="0"/>
  </r>
  <r>
    <s v="PROD12"/>
    <s v="STORE4"/>
    <n v="4"/>
    <n v="676.14"/>
    <n v="0.11"/>
    <s v="COD"/>
    <n v="2407.0583999999999"/>
    <n v="265048.5855000001"/>
    <n v="1068.7442963709682"/>
    <n v="74"/>
    <s v="High Value"/>
    <s v="Aug-2025"/>
    <s v="Hair Strengthening Shampoo"/>
    <x v="2"/>
  </r>
  <r>
    <s v="PROD39"/>
    <s v="STORE1"/>
    <n v="4"/>
    <n v="352.72"/>
    <n v="0.25"/>
    <s v="Credit Card"/>
    <n v="1058.1600000000001"/>
    <n v="262641.52710000012"/>
    <n v="1063.3260206477737"/>
    <n v="74"/>
    <s v="High Value"/>
    <s v="May-2024"/>
    <s v="Portable Power Bank"/>
    <x v="1"/>
  </r>
  <r>
    <s v="PROD11"/>
    <s v="STORE12"/>
    <n v="1"/>
    <n v="470.18"/>
    <n v="0.19"/>
    <s v="PayPal"/>
    <n v="380.84580000000011"/>
    <n v="261583.36710000006"/>
    <n v="1063.3470207317075"/>
    <n v="74"/>
    <s v="Low Value"/>
    <s v="May-2025"/>
    <s v="HD Smart TV Stick"/>
    <x v="1"/>
  </r>
  <r>
    <s v="PROD66"/>
    <s v="STORE11"/>
    <n v="1"/>
    <n v="891.79"/>
    <n v="0.03"/>
    <s v="Credit Card"/>
    <n v="865.03629999999998"/>
    <n v="261202.52130000005"/>
    <n v="1066.1327400000002"/>
    <n v="73"/>
    <s v="Low Value"/>
    <s v="Aug-2025"/>
    <s v="Women's Hair Dryer Brush"/>
    <x v="2"/>
  </r>
  <r>
    <s v="PROD89"/>
    <s v="STORE17"/>
    <n v="2"/>
    <n v="433.07"/>
    <n v="0.25"/>
    <s v="COD"/>
    <n v="649.60500000000002"/>
    <n v="260337.48500000004"/>
    <n v="1066.956905737705"/>
    <n v="73"/>
    <s v="Low Value"/>
    <s v="Apr-2024"/>
    <s v="Face Foundation Kit"/>
    <x v="2"/>
  </r>
  <r>
    <s v="PROD66"/>
    <s v="STORE19"/>
    <n v="3"/>
    <n v="626.71"/>
    <n v="7.0000000000000007E-2"/>
    <s v="COD"/>
    <n v="1748.5209"/>
    <n v="259687.88000000006"/>
    <n v="1068.6744032921813"/>
    <n v="73"/>
    <s v="High Value"/>
    <s v="Mar-2024"/>
    <s v="Women's Hair Dryer Brush"/>
    <x v="2"/>
  </r>
  <r>
    <s v="PROD36"/>
    <s v="STORE0"/>
    <n v="2"/>
    <n v="324.18"/>
    <n v="0.06"/>
    <s v="COD"/>
    <n v="609.45839999999998"/>
    <n v="257939.35910000006"/>
    <n v="1065.8651202479341"/>
    <n v="73"/>
    <s v="Low Value"/>
    <s v="Sep-2025"/>
    <s v="Women's Summer Dress"/>
    <x v="4"/>
  </r>
  <r>
    <s v="PROD14"/>
    <s v="STORE17"/>
    <n v="4"/>
    <n v="839.74"/>
    <n v="0.13"/>
    <s v="PayPal"/>
    <n v="2922.2952"/>
    <n v="257329.90070000009"/>
    <n v="1067.7589240663904"/>
    <n v="73"/>
    <s v="High Value"/>
    <s v="Jun-2024"/>
    <s v="Decorative Wall Mirror"/>
    <x v="3"/>
  </r>
  <r>
    <s v="PROD62"/>
    <s v="STORE15"/>
    <n v="3"/>
    <n v="252.63"/>
    <n v="0.28000000000000003"/>
    <s v="Credit Card"/>
    <n v="545.68079999999998"/>
    <n v="254407.60550000006"/>
    <n v="1060.0316895833337"/>
    <n v="72"/>
    <s v="Low Value"/>
    <s v="Apr-2024"/>
    <s v="Laptop Cooling Pad"/>
    <x v="1"/>
  </r>
  <r>
    <s v="PROD79"/>
    <s v="STORE19"/>
    <n v="2"/>
    <n v="60.53"/>
    <n v="0.18"/>
    <s v="Credit Card"/>
    <n v="99.269200000000012"/>
    <n v="253861.92470000006"/>
    <n v="1062.1837853556488"/>
    <n v="72"/>
    <s v="Low Value"/>
    <s v="Oct-2024"/>
    <s v="Decorative Lamp Shade"/>
    <x v="3"/>
  </r>
  <r>
    <s v="PROD84"/>
    <s v="STORE13"/>
    <n v="4"/>
    <n v="341.95"/>
    <n v="0.25"/>
    <s v="Credit Card"/>
    <n v="1025.8499999999999"/>
    <n v="253762.65550000005"/>
    <n v="1066.2296449579835"/>
    <n v="72"/>
    <s v="High Value"/>
    <s v="Nov-2024"/>
    <s v="Wooden Bookshelf"/>
    <x v="3"/>
  </r>
  <r>
    <s v="PROD22"/>
    <s v="STORE16"/>
    <n v="4"/>
    <n v="300.12"/>
    <n v="0.05"/>
    <s v="PayPal"/>
    <n v="1140.4559999999999"/>
    <n v="252736.80550000007"/>
    <n v="1066.4000232067515"/>
    <n v="72"/>
    <s v="High Value"/>
    <s v="May-2024"/>
    <s v="Carbon Fiber Tennis Racket"/>
    <x v="0"/>
  </r>
  <r>
    <s v="PROD28"/>
    <s v="STORE17"/>
    <n v="2"/>
    <n v="289.14"/>
    <n v="0.12"/>
    <s v="COD"/>
    <n v="508.88639999999998"/>
    <n v="251596.34950000007"/>
    <n v="1066.0862266949155"/>
    <n v="71"/>
    <s v="Low Value"/>
    <s v="Feb-2025"/>
    <s v="Sports Stopwatch Timer"/>
    <x v="0"/>
  </r>
  <r>
    <s v="PROD25"/>
    <s v="STORE0"/>
    <n v="2"/>
    <n v="596.84"/>
    <n v="0.01"/>
    <s v="PayPal"/>
    <n v="1181.7431999999999"/>
    <n v="251087.46310000005"/>
    <n v="1068.4572897872342"/>
    <n v="71"/>
    <s v="High Value"/>
    <s v="Feb-2025"/>
    <s v="Women's Scarf Set"/>
    <x v="4"/>
  </r>
  <r>
    <s v="PROD19"/>
    <s v="STORE8"/>
    <n v="4"/>
    <n v="466.24"/>
    <n v="0.16"/>
    <s v="Credit Card"/>
    <n v="1566.5663999999999"/>
    <n v="249905.71990000008"/>
    <n v="1067.9731619658123"/>
    <n v="70"/>
    <s v="High Value"/>
    <s v="Oct-2024"/>
    <s v="Knee Support Brace"/>
    <x v="0"/>
  </r>
  <r>
    <s v="PROD13"/>
    <s v="STORE16"/>
    <n v="2"/>
    <n v="330.59"/>
    <n v="0.14000000000000001"/>
    <s v="Credit Card"/>
    <n v="568.61479999999995"/>
    <n v="248339.15350000007"/>
    <n v="1065.8332768240346"/>
    <n v="70"/>
    <s v="Low Value"/>
    <s v="Sep-2024"/>
    <s v="USB-C Fast Charger"/>
    <x v="1"/>
  </r>
  <r>
    <s v="PROD22"/>
    <s v="STORE6"/>
    <n v="2"/>
    <n v="616.42999999999995"/>
    <n v="0.02"/>
    <s v="COD"/>
    <n v="1208.2028"/>
    <n v="247770.53870000006"/>
    <n v="1067.9764599137934"/>
    <n v="70"/>
    <s v="High Value"/>
    <s v="Dec-2024"/>
    <s v="Carbon Fiber Tennis Racket"/>
    <x v="0"/>
  </r>
  <r>
    <s v="PROD63"/>
    <s v="STORE6"/>
    <n v="3"/>
    <n v="195.89"/>
    <n v="0.16"/>
    <s v="PayPal"/>
    <n v="493.64280000000002"/>
    <n v="246562.33590000006"/>
    <n v="1067.3694194805198"/>
    <n v="70"/>
    <s v="Low Value"/>
    <s v="Oct-2024"/>
    <s v="Organic Sunscreen Lotion"/>
    <x v="2"/>
  </r>
  <r>
    <s v="PROD7"/>
    <s v="STORE10"/>
    <n v="4"/>
    <n v="614.76"/>
    <n v="0.16"/>
    <s v="Credit Card"/>
    <n v="2065.5936000000002"/>
    <n v="246068.69310000006"/>
    <n v="1069.8638830434786"/>
    <n v="69"/>
    <s v="High Value"/>
    <s v="Jul-2024"/>
    <s v="LED Table Lamp"/>
    <x v="3"/>
  </r>
  <r>
    <s v="PROD79"/>
    <s v="STORE7"/>
    <n v="1"/>
    <n v="224.49"/>
    <n v="0.11"/>
    <s v="PayPal"/>
    <n v="199.7961"/>
    <n v="244003.09950000004"/>
    <n v="1065.5157183406116"/>
    <n v="69"/>
    <s v="Low Value"/>
    <s v="May-2024"/>
    <s v="Decorative Lamp Shade"/>
    <x v="3"/>
  </r>
  <r>
    <s v="PROD55"/>
    <s v="STORE12"/>
    <n v="1"/>
    <n v="967.76"/>
    <n v="0.09"/>
    <s v="Credit Card"/>
    <n v="880.66160000000002"/>
    <n v="243803.30340000003"/>
    <n v="1069.3127342105265"/>
    <n v="68"/>
    <s v="Low Value"/>
    <s v="Feb-2024"/>
    <s v="Ceramic Plant Pot"/>
    <x v="3"/>
  </r>
  <r>
    <s v="PROD41"/>
    <s v="STORE19"/>
    <n v="2"/>
    <n v="56.52"/>
    <n v="0.17"/>
    <s v="PayPal"/>
    <n v="93.8232"/>
    <n v="242922.64180000004"/>
    <n v="1070.1437964757711"/>
    <n v="68"/>
    <s v="Low Value"/>
    <s v="Aug-2024"/>
    <s v="Yoga Exercise Mat"/>
    <x v="0"/>
  </r>
  <r>
    <s v="PROD67"/>
    <s v="STORE1"/>
    <n v="4"/>
    <n v="921.84"/>
    <n v="0.04"/>
    <s v="Credit Card"/>
    <n v="3539.8656000000001"/>
    <n v="242828.81860000006"/>
    <n v="1074.4637991150446"/>
    <n v="67"/>
    <s v="High Value"/>
    <s v="Dec-2023"/>
    <s v="Smart LED Light Strip"/>
    <x v="1"/>
  </r>
  <r>
    <s v="PROD86"/>
    <s v="STORE16"/>
    <n v="3"/>
    <n v="738.47"/>
    <n v="0.28000000000000003"/>
    <s v="Credit Card"/>
    <n v="1595.0952"/>
    <n v="239288.95300000004"/>
    <n v="1063.506457777778"/>
    <n v="67"/>
    <s v="High Value"/>
    <s v="Jan-2024"/>
    <s v="Kitchen Cutting Board"/>
    <x v="3"/>
  </r>
  <r>
    <s v="PROD5"/>
    <s v="STORE0"/>
    <n v="4"/>
    <n v="477.83"/>
    <n v="0.05"/>
    <s v="COD"/>
    <n v="1815.7539999999999"/>
    <n v="237693.85780000003"/>
    <n v="1061.1332937500001"/>
    <n v="67"/>
    <s v="High Value"/>
    <s v="Nov-2024"/>
    <s v="Men's Leather Belt"/>
    <x v="4"/>
  </r>
  <r>
    <s v="PROD42"/>
    <s v="STORE12"/>
    <n v="3"/>
    <n v="605.83000000000004"/>
    <n v="0.28000000000000003"/>
    <s v="COD"/>
    <n v="1308.5927999999999"/>
    <n v="235878.10380000004"/>
    <n v="1057.7493443946191"/>
    <n v="67"/>
    <s v="High Value"/>
    <s v="Jun-2025"/>
    <s v="Smart Home WiFi Camera"/>
    <x v="1"/>
  </r>
  <r>
    <s v="PROD43"/>
    <s v="STORE3"/>
    <n v="2"/>
    <n v="521.44000000000005"/>
    <n v="0.25"/>
    <s v="COD"/>
    <n v="782.16000000000008"/>
    <n v="234569.51100000006"/>
    <n v="1056.6194189189191"/>
    <n v="67"/>
    <s v="Low Value"/>
    <s v="Mar-2024"/>
    <s v="USB External Hard Drive"/>
    <x v="1"/>
  </r>
  <r>
    <s v="PROD10"/>
    <s v="STORE7"/>
    <n v="4"/>
    <n v="499.02"/>
    <n v="0.06"/>
    <s v="Credit Card"/>
    <n v="1876.3152"/>
    <n v="233787.35100000005"/>
    <n v="1057.8613167420817"/>
    <n v="67"/>
    <s v="High Value"/>
    <s v="Jul-2025"/>
    <s v="Ceramic Kitchen Bowl Set"/>
    <x v="3"/>
  </r>
  <r>
    <s v="PROD4"/>
    <s v="STORE18"/>
    <n v="4"/>
    <n v="299.45999999999998"/>
    <n v="0.18"/>
    <s v="COD"/>
    <n v="982.22879999999998"/>
    <n v="231911.03580000007"/>
    <n v="1054.1410718181821"/>
    <n v="67"/>
    <s v="Low Value"/>
    <s v="Apr-2025"/>
    <s v="Women's Yoga Pants"/>
    <x v="4"/>
  </r>
  <r>
    <s v="PROD39"/>
    <s v="STORE0"/>
    <n v="1"/>
    <n v="609.29"/>
    <n v="0.15"/>
    <s v="Credit Card"/>
    <n v="517.89649999999995"/>
    <n v="230928.80700000009"/>
    <n v="1054.4694383561648"/>
    <n v="67"/>
    <s v="Low Value"/>
    <s v="Dec-2023"/>
    <s v="Portable Power Bank"/>
    <x v="1"/>
  </r>
  <r>
    <s v="PROD2"/>
    <s v="STORE8"/>
    <n v="1"/>
    <n v="213.74"/>
    <n v="7.0000000000000007E-2"/>
    <s v="COD"/>
    <n v="198.7782"/>
    <n v="230410.91050000011"/>
    <n v="1056.9307821100922"/>
    <n v="67"/>
    <s v="Low Value"/>
    <s v="Dec-2024"/>
    <s v="Women's Casual Hoodie"/>
    <x v="4"/>
  </r>
  <r>
    <s v="PROD55"/>
    <s v="STORE16"/>
    <n v="4"/>
    <n v="613.16999999999996"/>
    <n v="0.26"/>
    <s v="Credit Card"/>
    <n v="1814.9831999999999"/>
    <n v="230212.13230000011"/>
    <n v="1060.8854023041481"/>
    <n v="67"/>
    <s v="High Value"/>
    <s v="Mar-2025"/>
    <s v="Ceramic Plant Pot"/>
    <x v="3"/>
  </r>
  <r>
    <s v="PROD59"/>
    <s v="STORE11"/>
    <n v="2"/>
    <n v="687.36"/>
    <n v="7.0000000000000007E-2"/>
    <s v="COD"/>
    <n v="1278.4896000000001"/>
    <n v="228397.1491000001"/>
    <n v="1057.3942087962967"/>
    <n v="67"/>
    <s v="High Value"/>
    <s v="Jan-2024"/>
    <s v="Men's Hair Styling Gel"/>
    <x v="2"/>
  </r>
  <r>
    <s v="PROD67"/>
    <s v="STORE13"/>
    <n v="3"/>
    <n v="115.39"/>
    <n v="0.02"/>
    <s v="PayPal"/>
    <n v="339.2466"/>
    <n v="227118.65950000007"/>
    <n v="1056.3658581395352"/>
    <n v="67"/>
    <s v="Low Value"/>
    <s v="Sep-2025"/>
    <s v="Smart LED Light Strip"/>
    <x v="1"/>
  </r>
  <r>
    <s v="PROD24"/>
    <s v="STORE12"/>
    <n v="2"/>
    <n v="722.06"/>
    <n v="7.0000000000000007E-2"/>
    <s v="Credit Card"/>
    <n v="1343.0316"/>
    <n v="226779.41290000008"/>
    <n v="1059.7168827102807"/>
    <n v="66"/>
    <s v="High Value"/>
    <s v="Mar-2024"/>
    <s v="Foldable Camping Chair"/>
    <x v="0"/>
  </r>
  <r>
    <s v="PROD7"/>
    <s v="STORE15"/>
    <n v="1"/>
    <n v="384.57"/>
    <n v="0.06"/>
    <s v="PayPal"/>
    <n v="361.49579999999997"/>
    <n v="225436.38130000007"/>
    <n v="1058.386766666667"/>
    <n v="66"/>
    <s v="Low Value"/>
    <s v="Dec-2024"/>
    <s v="LED Table Lamp"/>
    <x v="3"/>
  </r>
  <r>
    <s v="PROD8"/>
    <s v="STORE13"/>
    <n v="2"/>
    <n v="194.09"/>
    <n v="0.18"/>
    <s v="PayPal"/>
    <n v="318.30759999999998"/>
    <n v="225074.88550000006"/>
    <n v="1061.6739882075474"/>
    <n v="65"/>
    <s v="Low Value"/>
    <s v="Mar-2025"/>
    <s v="Wireless Bluetooth Earbuds"/>
    <x v="1"/>
  </r>
  <r>
    <s v="PROD88"/>
    <s v="STORE3"/>
    <n v="2"/>
    <n v="403.91"/>
    <n v="7.0000000000000007E-2"/>
    <s v="Credit Card"/>
    <n v="751.27260000000001"/>
    <n v="224756.57790000006"/>
    <n v="1065.197051658768"/>
    <n v="64"/>
    <s v="Low Value"/>
    <s v="Oct-2024"/>
    <s v="Sports Wrist Sweatbands"/>
    <x v="0"/>
  </r>
  <r>
    <s v="PROD17"/>
    <s v="STORE14"/>
    <n v="1"/>
    <n v="878.69"/>
    <n v="0.3"/>
    <s v="PayPal"/>
    <n v="615.08299999999997"/>
    <n v="224005.30530000007"/>
    <n v="1066.6919300000004"/>
    <n v="64"/>
    <s v="Low Value"/>
    <s v="Mar-2025"/>
    <s v="Soccer Training Cone Set"/>
    <x v="0"/>
  </r>
  <r>
    <s v="PROD33"/>
    <s v="STORE15"/>
    <n v="1"/>
    <n v="161.16999999999999"/>
    <n v="0.05"/>
    <s v="Credit Card"/>
    <n v="153.11150000000001"/>
    <n v="223390.22230000005"/>
    <n v="1068.8527382775121"/>
    <n v="63"/>
    <s v="Low Value"/>
    <s v="Jun-2024"/>
    <s v="Modern Wall Clock"/>
    <x v="3"/>
  </r>
  <r>
    <s v="PROD73"/>
    <s v="STORE14"/>
    <n v="2"/>
    <n v="720.15"/>
    <n v="0.22"/>
    <s v="COD"/>
    <n v="1123.434"/>
    <n v="223237.11080000005"/>
    <n v="1073.2553403846157"/>
    <n v="63"/>
    <s v="High Value"/>
    <s v="Apr-2024"/>
    <s v="Shin Guards – Adult"/>
    <x v="0"/>
  </r>
  <r>
    <s v="PROD26"/>
    <s v="STORE8"/>
    <n v="1"/>
    <n v="361.8"/>
    <n v="0.02"/>
    <s v="COD"/>
    <n v="354.56400000000002"/>
    <n v="222113.67680000007"/>
    <n v="1073.0129314009666"/>
    <n v="63"/>
    <s v="Low Value"/>
    <s v="Oct-2023"/>
    <s v="Wireless Bluetooth Speaker"/>
    <x v="1"/>
  </r>
  <r>
    <s v="PROD95"/>
    <s v="STORE6"/>
    <n v="1"/>
    <n v="779.84"/>
    <n v="0.28999999999999998"/>
    <s v="PayPal"/>
    <n v="553.68640000000005"/>
    <n v="221759.11280000006"/>
    <n v="1076.5005475728158"/>
    <n v="63"/>
    <s v="Low Value"/>
    <s v="Apr-2024"/>
    <s v="Sports Stopwatch Basic"/>
    <x v="0"/>
  </r>
  <r>
    <s v="PROD96"/>
    <s v="STORE4"/>
    <n v="2"/>
    <n v="649.89"/>
    <n v="0.17"/>
    <s v="COD"/>
    <n v="1078.8173999999999"/>
    <n v="221205.42640000005"/>
    <n v="1079.050860487805"/>
    <n v="62"/>
    <s v="High Value"/>
    <s v="Jun-2024"/>
    <s v="Women's Formal Blazer"/>
    <x v="4"/>
  </r>
  <r>
    <s v="PROD53"/>
    <s v="STORE6"/>
    <n v="1"/>
    <n v="952.73"/>
    <n v="0.17"/>
    <s v="Credit Card"/>
    <n v="790.76589999999999"/>
    <n v="220126.60900000005"/>
    <n v="1079.052004901961"/>
    <n v="62"/>
    <s v="Low Value"/>
    <s v="Aug-2025"/>
    <s v="Men's Track Pants"/>
    <x v="4"/>
  </r>
  <r>
    <s v="PROD99"/>
    <s v="STORE16"/>
    <n v="4"/>
    <n v="820.78"/>
    <n v="0.25"/>
    <s v="Credit Card"/>
    <n v="2462.34"/>
    <n v="219335.84310000009"/>
    <n v="1080.4721334975375"/>
    <n v="62"/>
    <s v="High Value"/>
    <s v="Aug-2025"/>
    <s v="Stainless Steel Cookware Set"/>
    <x v="3"/>
  </r>
  <r>
    <s v="PROD38"/>
    <s v="STORE3"/>
    <n v="4"/>
    <n v="247.55"/>
    <n v="0.05"/>
    <s v="Credit Card"/>
    <n v="940.69"/>
    <n v="216873.50310000006"/>
    <n v="1073.6312034653467"/>
    <n v="62"/>
    <s v="Low Value"/>
    <s v="Oct-2024"/>
    <s v="Sports Water Hydration Pack"/>
    <x v="0"/>
  </r>
  <r>
    <s v="PROD99"/>
    <s v="STORE8"/>
    <n v="3"/>
    <n v="561.44000000000005"/>
    <n v="0.2"/>
    <s v="COD"/>
    <n v="1347.4559999999999"/>
    <n v="215932.81310000006"/>
    <n v="1074.2926024875624"/>
    <n v="62"/>
    <s v="High Value"/>
    <s v="Mar-2024"/>
    <s v="Stainless Steel Cookware Set"/>
    <x v="3"/>
  </r>
  <r>
    <s v="PROD72"/>
    <s v="STORE8"/>
    <n v="4"/>
    <n v="214.37"/>
    <n v="0.11"/>
    <s v="COD"/>
    <n v="763.15719999999999"/>
    <n v="214585.35710000005"/>
    <n v="1072.9267855000003"/>
    <n v="62"/>
    <s v="Low Value"/>
    <s v="Nov-2023"/>
    <s v="Professional Jump Rope"/>
    <x v="0"/>
  </r>
  <r>
    <s v="PROD17"/>
    <s v="STORE16"/>
    <n v="3"/>
    <n v="123.74"/>
    <n v="0.23"/>
    <s v="PayPal"/>
    <n v="285.83940000000001"/>
    <n v="213822.19990000007"/>
    <n v="1074.483416582915"/>
    <n v="62"/>
    <s v="Low Value"/>
    <s v="Mar-2025"/>
    <s v="Soccer Training Cone Set"/>
    <x v="0"/>
  </r>
  <r>
    <s v="PROD67"/>
    <s v="STORE11"/>
    <n v="4"/>
    <n v="645.71"/>
    <n v="0.1"/>
    <s v="PayPal"/>
    <n v="2324.556"/>
    <n v="213536.36050000004"/>
    <n v="1078.4664671717173"/>
    <n v="61"/>
    <s v="High Value"/>
    <s v="May-2024"/>
    <s v="Smart LED Light Strip"/>
    <x v="1"/>
  </r>
  <r>
    <s v="PROD21"/>
    <s v="STORE12"/>
    <n v="3"/>
    <n v="587.12"/>
    <n v="0.3"/>
    <s v="Credit Card"/>
    <n v="1232.952"/>
    <n v="211211.80450000006"/>
    <n v="1072.141139593909"/>
    <n v="60"/>
    <s v="High Value"/>
    <s v="Mar-2025"/>
    <s v="Multi-Purpose Storage Box"/>
    <x v="3"/>
  </r>
  <r>
    <s v="PROD25"/>
    <s v="STORE18"/>
    <n v="1"/>
    <n v="401.18"/>
    <n v="0.15"/>
    <s v="COD"/>
    <n v="341.00299999999999"/>
    <n v="209978.85250000004"/>
    <n v="1071.3206760204084"/>
    <n v="60"/>
    <s v="Low Value"/>
    <s v="Oct-2025"/>
    <s v="Women's Scarf Set"/>
    <x v="4"/>
  </r>
  <r>
    <s v="PROD58"/>
    <s v="STORE18"/>
    <n v="3"/>
    <n v="658.33"/>
    <n v="0.12"/>
    <s v="COD"/>
    <n v="1737.9911999999999"/>
    <n v="209637.84950000004"/>
    <n v="1075.0658948717951"/>
    <n v="60"/>
    <s v="High Value"/>
    <s v="Jul-2024"/>
    <s v="Womens Cotton Scarf"/>
    <x v="4"/>
  </r>
  <r>
    <s v="PROD49"/>
    <s v="STORE11"/>
    <n v="4"/>
    <n v="450.3"/>
    <n v="0.02"/>
    <s v="Credit Card"/>
    <n v="1765.1759999999999"/>
    <n v="207899.85830000005"/>
    <n v="1071.6487541237116"/>
    <n v="60"/>
    <s v="High Value"/>
    <s v="Jul-2024"/>
    <s v="Men's Roll-On Perfume"/>
    <x v="2"/>
  </r>
  <r>
    <s v="PROD94"/>
    <s v="STORE10"/>
    <n v="4"/>
    <n v="33.630000000000003"/>
    <n v="0.05"/>
    <s v="Credit Card"/>
    <n v="127.794"/>
    <n v="206134.68230000001"/>
    <n v="1068.0553487046634"/>
    <n v="60"/>
    <s v="Low Value"/>
    <s v="Apr-2025"/>
    <s v="Vitamin E Body Lotion"/>
    <x v="2"/>
  </r>
  <r>
    <s v="PROD16"/>
    <s v="STORE0"/>
    <n v="3"/>
    <n v="168.89"/>
    <n v="0.03"/>
    <s v="COD"/>
    <n v="491.46989999999988"/>
    <n v="206006.88830000002"/>
    <n v="1072.9525432291668"/>
    <n v="60"/>
    <s v="Low Value"/>
    <s v="Jul-2024"/>
    <s v="Beard Grooming Kit"/>
    <x v="2"/>
  </r>
  <r>
    <s v="PROD60"/>
    <s v="STORE11"/>
    <n v="1"/>
    <n v="141.85"/>
    <n v="0.06"/>
    <s v="PayPal"/>
    <n v="133.339"/>
    <n v="205515.41840000002"/>
    <n v="1075.9969549738221"/>
    <n v="60"/>
    <s v="Low Value"/>
    <s v="Sep-2024"/>
    <s v="Luxury Perfume Spray"/>
    <x v="2"/>
  </r>
  <r>
    <s v="PROD35"/>
    <s v="STORE7"/>
    <n v="1"/>
    <n v="617.4"/>
    <n v="0.21"/>
    <s v="Credit Card"/>
    <n v="487.74599999999998"/>
    <n v="205382.07940000005"/>
    <n v="1080.9583126315792"/>
    <n v="59"/>
    <s v="Low Value"/>
    <s v="Aug-2024"/>
    <s v="Bedroom Table Lamp"/>
    <x v="3"/>
  </r>
  <r>
    <s v="PROD53"/>
    <s v="STORE1"/>
    <n v="3"/>
    <n v="841.47"/>
    <n v="0.15"/>
    <s v="COD"/>
    <n v="2145.7485000000001"/>
    <n v="204894.33340000006"/>
    <n v="1084.0970021164023"/>
    <n v="59"/>
    <s v="High Value"/>
    <s v="Aug-2024"/>
    <s v="Men's Track Pants"/>
    <x v="4"/>
  </r>
  <r>
    <s v="PROD21"/>
    <s v="STORE13"/>
    <n v="2"/>
    <n v="960.41"/>
    <n v="0.18"/>
    <s v="Credit Card"/>
    <n v="1575.0724"/>
    <n v="202748.58490000005"/>
    <n v="1078.4499196808513"/>
    <n v="59"/>
    <s v="High Value"/>
    <s v="Feb-2024"/>
    <s v="Multi-Purpose Storage Box"/>
    <x v="3"/>
  </r>
  <r>
    <s v="PROD75"/>
    <s v="STORE18"/>
    <n v="3"/>
    <n v="717.22"/>
    <n v="0.24"/>
    <s v="PayPal"/>
    <n v="1635.2616"/>
    <n v="201173.51250000001"/>
    <n v="1075.7941844919787"/>
    <n v="59"/>
    <s v="High Value"/>
    <s v="Dec-2023"/>
    <s v="Women's Ankle Boots"/>
    <x v="4"/>
  </r>
  <r>
    <s v="PROD12"/>
    <s v="STORE0"/>
    <n v="1"/>
    <n v="281.83"/>
    <n v="0.16"/>
    <s v="COD"/>
    <n v="236.7372"/>
    <n v="199538.25089999998"/>
    <n v="1072.7862951612901"/>
    <n v="58"/>
    <s v="Low Value"/>
    <s v="Jun-2025"/>
    <s v="Hair Strengthening Shampoo"/>
    <x v="2"/>
  </r>
  <r>
    <s v="PROD59"/>
    <s v="STORE14"/>
    <n v="1"/>
    <n v="509.08"/>
    <n v="0.04"/>
    <s v="PayPal"/>
    <n v="488.71679999999998"/>
    <n v="199301.51370000001"/>
    <n v="1077.3054794594595"/>
    <n v="58"/>
    <s v="Low Value"/>
    <s v="Apr-2024"/>
    <s v="Men's Hair Styling Gel"/>
    <x v="2"/>
  </r>
  <r>
    <s v="PROD96"/>
    <s v="STORE2"/>
    <n v="4"/>
    <n v="827.09"/>
    <n v="0.3"/>
    <s v="Credit Card"/>
    <n v="2315.8519999999999"/>
    <n v="198812.79689999999"/>
    <n v="1080.5043309782609"/>
    <n v="57"/>
    <s v="High Value"/>
    <s v="Sep-2025"/>
    <s v="Women's Formal Blazer"/>
    <x v="4"/>
  </r>
  <r>
    <s v="PROD29"/>
    <s v="STORE4"/>
    <n v="2"/>
    <n v="823.36"/>
    <n v="0.23"/>
    <s v="Credit Card"/>
    <n v="1267.9744000000001"/>
    <n v="196496.9449"/>
    <n v="1073.7537972677596"/>
    <n v="57"/>
    <s v="High Value"/>
    <s v="Oct-2025"/>
    <s v="Fabric Sofa Throw Blanket"/>
    <x v="3"/>
  </r>
  <r>
    <s v="PROD26"/>
    <s v="STORE5"/>
    <n v="4"/>
    <n v="282.18"/>
    <n v="0.13"/>
    <s v="COD"/>
    <n v="981.9864"/>
    <n v="195228.97050000002"/>
    <n v="1072.6866510989012"/>
    <n v="57"/>
    <s v="Low Value"/>
    <s v="Jun-2025"/>
    <s v="Wireless Bluetooth Speaker"/>
    <x v="1"/>
  </r>
  <r>
    <s v="PROD21"/>
    <s v="STORE1"/>
    <n v="1"/>
    <n v="486.39"/>
    <n v="0.09"/>
    <s v="COD"/>
    <n v="442.61489999999998"/>
    <n v="194246.9841"/>
    <n v="1073.1877574585635"/>
    <n v="57"/>
    <s v="Low Value"/>
    <s v="Feb-2024"/>
    <s v="Multi-Purpose Storage Box"/>
    <x v="3"/>
  </r>
  <r>
    <s v="PROD18"/>
    <s v="STORE3"/>
    <n v="2"/>
    <n v="603.62"/>
    <n v="0.18"/>
    <s v="COD"/>
    <n v="989.93680000000006"/>
    <n v="193804.36919999999"/>
    <n v="1076.69094"/>
    <n v="57"/>
    <s v="Low Value"/>
    <s v="Jan-2024"/>
    <s v="Women's Denim Jeans"/>
    <x v="4"/>
  </r>
  <r>
    <s v="PROD37"/>
    <s v="STORE8"/>
    <n v="3"/>
    <n v="204.17"/>
    <n v="0.1"/>
    <s v="PayPal"/>
    <n v="551.25900000000001"/>
    <n v="192814.43240000002"/>
    <n v="1077.1756"/>
    <n v="57"/>
    <s v="Low Value"/>
    <s v="Sep-2024"/>
    <s v="Men's Casual Sneakers"/>
    <x v="4"/>
  </r>
  <r>
    <s v="PROD8"/>
    <s v="STORE15"/>
    <n v="1"/>
    <n v="43.58"/>
    <n v="0.01"/>
    <s v="COD"/>
    <n v="43.144199999999998"/>
    <n v="192263.1734"/>
    <n v="1080.1301876404495"/>
    <n v="56"/>
    <s v="Low Value"/>
    <s v="Jan-2024"/>
    <s v="Wireless Bluetooth Earbuds"/>
    <x v="1"/>
  </r>
  <r>
    <s v="PROD47"/>
    <s v="STORE2"/>
    <n v="3"/>
    <n v="469.33"/>
    <n v="0.14000000000000001"/>
    <s v="PayPal"/>
    <n v="1210.8714"/>
    <n v="192220.02920000002"/>
    <n v="1085.9888655367233"/>
    <n v="56"/>
    <s v="High Value"/>
    <s v="Oct-2024"/>
    <s v="Makeup Brush Set"/>
    <x v="2"/>
  </r>
  <r>
    <s v="PROD8"/>
    <s v="STORE8"/>
    <n v="4"/>
    <n v="836.23"/>
    <n v="0.12"/>
    <s v="Credit Card"/>
    <n v="2943.5295999999998"/>
    <n v="191009.15780000004"/>
    <n v="1085.2793056818184"/>
    <n v="55"/>
    <s v="High Value"/>
    <s v="Jul-2025"/>
    <s v="Wireless Bluetooth Earbuds"/>
    <x v="1"/>
  </r>
  <r>
    <s v="PROD67"/>
    <s v="STORE19"/>
    <n v="2"/>
    <n v="661.53"/>
    <n v="0.2"/>
    <s v="PayPal"/>
    <n v="1058.4480000000001"/>
    <n v="188065.62820000004"/>
    <n v="1074.6607325714288"/>
    <n v="55"/>
    <s v="High Value"/>
    <s v="Sep-2024"/>
    <s v="Smart LED Light Strip"/>
    <x v="1"/>
  </r>
  <r>
    <s v="PROD56"/>
    <s v="STORE16"/>
    <n v="3"/>
    <n v="753.47"/>
    <n v="0.25"/>
    <s v="PayPal"/>
    <n v="1695.3074999999999"/>
    <n v="187007.18020000006"/>
    <n v="1074.7539091954027"/>
    <n v="54"/>
    <s v="High Value"/>
    <s v="Sep-2025"/>
    <s v="Premium Blanket Throw"/>
    <x v="3"/>
  </r>
  <r>
    <s v="PROD64"/>
    <s v="STORE0"/>
    <n v="3"/>
    <n v="713.95"/>
    <n v="0"/>
    <s v="Credit Card"/>
    <n v="2141.85"/>
    <n v="185311.87270000004"/>
    <n v="1071.1668942196534"/>
    <n v="53"/>
    <s v="High Value"/>
    <s v="Jan-2025"/>
    <s v="Matte Lipstick Set"/>
    <x v="2"/>
  </r>
  <r>
    <s v="PROD11"/>
    <s v="STORE5"/>
    <n v="3"/>
    <n v="596"/>
    <n v="0.28000000000000003"/>
    <s v="COD"/>
    <n v="1287.3599999999999"/>
    <n v="183170.0227"/>
    <n v="1064.9419924418605"/>
    <n v="53"/>
    <s v="High Value"/>
    <s v="Apr-2024"/>
    <s v="HD Smart TV Stick"/>
    <x v="1"/>
  </r>
  <r>
    <s v="PROD9"/>
    <s v="STORE9"/>
    <n v="2"/>
    <n v="169.46"/>
    <n v="0.03"/>
    <s v="PayPal"/>
    <n v="328.75240000000002"/>
    <n v="181882.66269999999"/>
    <n v="1063.6413023391813"/>
    <n v="53"/>
    <s v="Low Value"/>
    <s v="Mar-2024"/>
    <s v="Adjustable Dumbbell Set"/>
    <x v="0"/>
  </r>
  <r>
    <s v="PROD65"/>
    <s v="STORE14"/>
    <n v="4"/>
    <n v="611.91999999999996"/>
    <n v="0.2"/>
    <s v="PayPal"/>
    <n v="1958.144"/>
    <n v="181553.91030000002"/>
    <n v="1067.9641782352942"/>
    <n v="52"/>
    <s v="High Value"/>
    <s v="Jul-2025"/>
    <s v="Adjustable Dumbbells 20kg"/>
    <x v="0"/>
  </r>
  <r>
    <s v="PROD74"/>
    <s v="STORE15"/>
    <n v="2"/>
    <n v="25.3"/>
    <n v="0.21"/>
    <s v="Credit Card"/>
    <n v="39.973999999999997"/>
    <n v="179595.76629999999"/>
    <n v="1062.6968420118342"/>
    <n v="51"/>
    <s v="Low Value"/>
    <s v="Feb-2025"/>
    <s v="Bluetooth Car Audio System"/>
    <x v="1"/>
  </r>
  <r>
    <s v="PROD73"/>
    <s v="STORE10"/>
    <n v="4"/>
    <n v="166.93"/>
    <n v="0.02"/>
    <s v="PayPal"/>
    <n v="654.36559999999997"/>
    <n v="179555.7923"/>
    <n v="1068.7844779761904"/>
    <n v="51"/>
    <s v="Low Value"/>
    <s v="Feb-2024"/>
    <s v="Shin Guards – Adult"/>
    <x v="0"/>
  </r>
  <r>
    <s v="PROD60"/>
    <s v="STORE11"/>
    <n v="4"/>
    <n v="861.55"/>
    <n v="0.12"/>
    <s v="Credit Card"/>
    <n v="3032.6559999999999"/>
    <n v="178901.42669999998"/>
    <n v="1071.2660281437124"/>
    <n v="50"/>
    <s v="High Value"/>
    <s v="Mar-2025"/>
    <s v="Luxury Perfume Spray"/>
    <x v="2"/>
  </r>
  <r>
    <s v="PROD43"/>
    <s v="STORE5"/>
    <n v="3"/>
    <n v="56.17"/>
    <n v="0.01"/>
    <s v="COD"/>
    <n v="166.82490000000001"/>
    <n v="175868.77069999999"/>
    <n v="1059.4504259036144"/>
    <n v="50"/>
    <s v="Low Value"/>
    <s v="Jul-2025"/>
    <s v="USB External Hard Drive"/>
    <x v="1"/>
  </r>
  <r>
    <s v="PROD15"/>
    <s v="STORE19"/>
    <n v="1"/>
    <n v="582.29"/>
    <n v="0.2"/>
    <s v="Credit Card"/>
    <n v="465.83199999999999"/>
    <n v="175701.94580000002"/>
    <n v="1064.8602775757577"/>
    <n v="50"/>
    <s v="Low Value"/>
    <s v="Jul-2025"/>
    <s v="4K Home Projector"/>
    <x v="1"/>
  </r>
  <r>
    <s v="PROD83"/>
    <s v="STORE0"/>
    <n v="3"/>
    <n v="63.96"/>
    <n v="0.02"/>
    <s v="Credit Card"/>
    <n v="188.04239999999999"/>
    <n v="175236.11380000002"/>
    <n v="1068.5128890243905"/>
    <n v="50"/>
    <s v="Low Value"/>
    <s v="Jan-2025"/>
    <s v="Hydrating Face Cleanser"/>
    <x v="2"/>
  </r>
  <r>
    <s v="PROD9"/>
    <s v="STORE12"/>
    <n v="1"/>
    <n v="829.83"/>
    <n v="0.26"/>
    <s v="COD"/>
    <n v="614.07420000000002"/>
    <n v="175048.07140000002"/>
    <n v="1073.9145484662577"/>
    <n v="50"/>
    <s v="Low Value"/>
    <s v="Apr-2024"/>
    <s v="Adjustable Dumbbell Set"/>
    <x v="0"/>
  </r>
  <r>
    <s v="PROD34"/>
    <s v="STORE16"/>
    <n v="2"/>
    <n v="858.15"/>
    <n v="0.03"/>
    <s v="Credit Card"/>
    <n v="1664.8109999999999"/>
    <n v="174433.99720000001"/>
    <n v="1076.7530691358024"/>
    <n v="50"/>
    <s v="High Value"/>
    <s v="Oct-2024"/>
    <s v="Gaming Mechanical Keyboard"/>
    <x v="1"/>
  </r>
  <r>
    <s v="PROD73"/>
    <s v="STORE13"/>
    <n v="3"/>
    <n v="717.32"/>
    <n v="0.23"/>
    <s v="COD"/>
    <n v="1657.0092"/>
    <n v="172769.18620000003"/>
    <n v="1073.1005354037268"/>
    <n v="50"/>
    <s v="High Value"/>
    <s v="Feb-2024"/>
    <s v="Shin Guards – Adult"/>
    <x v="0"/>
  </r>
  <r>
    <s v="PROD83"/>
    <s v="STORE12"/>
    <n v="1"/>
    <n v="163.19999999999999"/>
    <n v="0.22"/>
    <s v="PayPal"/>
    <n v="127.29600000000001"/>
    <n v="171112.17700000003"/>
    <n v="1069.4511062500001"/>
    <n v="50"/>
    <s v="Low Value"/>
    <s v="Jul-2025"/>
    <s v="Hydrating Face Cleanser"/>
    <x v="2"/>
  </r>
  <r>
    <s v="PROD81"/>
    <s v="STORE12"/>
    <n v="2"/>
    <n v="966.71"/>
    <n v="0.11"/>
    <s v="Credit Card"/>
    <n v="1720.7438"/>
    <n v="170984.88100000002"/>
    <n v="1075.3766100628932"/>
    <n v="49"/>
    <s v="High Value"/>
    <s v="Jul-2024"/>
    <s v="Badminton Racket Set"/>
    <x v="0"/>
  </r>
  <r>
    <s v="PROD35"/>
    <s v="STORE13"/>
    <n v="2"/>
    <n v="873.94"/>
    <n v="0.14000000000000001"/>
    <s v="COD"/>
    <n v="1503.1768"/>
    <n v="169264.13720000003"/>
    <n v="1071.2920075949369"/>
    <n v="49"/>
    <s v="High Value"/>
    <s v="Apr-2025"/>
    <s v="Bedroom Table Lamp"/>
    <x v="3"/>
  </r>
  <r>
    <s v="PROD0"/>
    <s v="STORE3"/>
    <n v="1"/>
    <n v="140.24"/>
    <n v="0.27"/>
    <s v="Credit Card"/>
    <n v="102.37520000000001"/>
    <n v="167760.96039999995"/>
    <n v="1068.5411490445856"/>
    <n v="49"/>
    <s v="Low Value"/>
    <s v="Mar-2024"/>
    <s v="Brother Laser Printer"/>
    <x v="1"/>
  </r>
  <r>
    <s v="PROD43"/>
    <s v="STORE5"/>
    <n v="2"/>
    <n v="549.91999999999996"/>
    <n v="0.28000000000000003"/>
    <s v="Credit Card"/>
    <n v="791.88479999999993"/>
    <n v="167658.58519999997"/>
    <n v="1074.7345205128204"/>
    <n v="49"/>
    <s v="Low Value"/>
    <s v="Feb-2025"/>
    <s v="USB External Hard Drive"/>
    <x v="1"/>
  </r>
  <r>
    <s v="PROD17"/>
    <s v="STORE5"/>
    <n v="4"/>
    <n v="715.88"/>
    <n v="0.19"/>
    <s v="PayPal"/>
    <n v="2319.4512"/>
    <n v="166866.70039999997"/>
    <n v="1076.5593574193547"/>
    <n v="49"/>
    <s v="High Value"/>
    <s v="Mar-2024"/>
    <s v="Soccer Training Cone Set"/>
    <x v="0"/>
  </r>
  <r>
    <s v="PROD2"/>
    <s v="STORE8"/>
    <n v="3"/>
    <n v="591.9"/>
    <n v="0.27"/>
    <s v="Credit Card"/>
    <n v="1296.261"/>
    <n v="164547.24919999996"/>
    <n v="1068.488631168831"/>
    <n v="48"/>
    <s v="High Value"/>
    <s v="Apr-2025"/>
    <s v="Women's Casual Hoodie"/>
    <x v="4"/>
  </r>
  <r>
    <s v="PROD22"/>
    <s v="STORE10"/>
    <n v="2"/>
    <n v="523.14"/>
    <n v="0.13"/>
    <s v="PayPal"/>
    <n v="910.2636"/>
    <n v="163250.98819999999"/>
    <n v="1066.999922875817"/>
    <n v="48"/>
    <s v="Low Value"/>
    <s v="Aug-2025"/>
    <s v="Carbon Fiber Tennis Racket"/>
    <x v="0"/>
  </r>
  <r>
    <s v="PROD69"/>
    <s v="STORE14"/>
    <n v="2"/>
    <n v="478.62"/>
    <n v="0.17"/>
    <s v="COD"/>
    <n v="794.50919999999996"/>
    <n v="162340.72459999999"/>
    <n v="1068.0310828947368"/>
    <n v="47"/>
    <s v="Low Value"/>
    <s v="Jul-2024"/>
    <s v="Men's Sports Shorts"/>
    <x v="4"/>
  </r>
  <r>
    <s v="PROD82"/>
    <s v="STORE1"/>
    <n v="4"/>
    <n v="740.5"/>
    <n v="0.17"/>
    <s v="PayPal"/>
    <n v="2458.46"/>
    <n v="161546.21539999999"/>
    <n v="1069.842486092715"/>
    <n v="47"/>
    <s v="High Value"/>
    <s v="Sep-2024"/>
    <s v="Fitness Resistance Bands"/>
    <x v="0"/>
  </r>
  <r>
    <s v="PROD46"/>
    <s v="STORE2"/>
    <n v="1"/>
    <n v="780.24"/>
    <n v="0.04"/>
    <s v="COD"/>
    <n v="749.03039999999999"/>
    <n v="159087.75539999999"/>
    <n v="1060.5850359999999"/>
    <n v="46"/>
    <s v="Low Value"/>
    <s v="Jun-2024"/>
    <s v="Men's Winter Jacket"/>
    <x v="4"/>
  </r>
  <r>
    <s v="PROD70"/>
    <s v="STORE16"/>
    <n v="4"/>
    <n v="579.24"/>
    <n v="0.04"/>
    <s v="COD"/>
    <n v="2224.2815999999998"/>
    <n v="158338.72499999998"/>
    <n v="1062.6760067114092"/>
    <n v="46"/>
    <s v="High Value"/>
    <s v="Sep-2024"/>
    <s v="Kitchen Storage Rack"/>
    <x v="3"/>
  </r>
  <r>
    <s v="PROD1"/>
    <s v="STORE2"/>
    <n v="3"/>
    <n v="268.95"/>
    <n v="0.04"/>
    <s v="PayPal"/>
    <n v="774.57599999999991"/>
    <n v="156114.44339999999"/>
    <n v="1054.8273202702701"/>
    <n v="46"/>
    <s v="Low Value"/>
    <s v="Dec-2024"/>
    <s v="Men's Graphic T-Shirt"/>
    <x v="4"/>
  </r>
  <r>
    <s v="PROD5"/>
    <s v="STORE4"/>
    <n v="1"/>
    <n v="47.47"/>
    <n v="0.28000000000000003"/>
    <s v="Credit Card"/>
    <n v="34.178400000000003"/>
    <n v="155339.86739999999"/>
    <n v="1056.7337918367346"/>
    <n v="45"/>
    <s v="Low Value"/>
    <s v="Mar-2025"/>
    <s v="Men's Leather Belt"/>
    <x v="4"/>
  </r>
  <r>
    <s v="PROD33"/>
    <s v="STORE17"/>
    <n v="3"/>
    <n v="858.81"/>
    <n v="7.0000000000000007E-2"/>
    <s v="Credit Card"/>
    <n v="2396.0799000000002"/>
    <n v="155305.68899999998"/>
    <n v="1063.7375958904108"/>
    <n v="45"/>
    <s v="High Value"/>
    <s v="May-2025"/>
    <s v="Modern Wall Clock"/>
    <x v="3"/>
  </r>
  <r>
    <s v="PROD19"/>
    <s v="STORE10"/>
    <n v="3"/>
    <n v="569.98"/>
    <n v="0.05"/>
    <s v="Credit Card"/>
    <n v="1624.443"/>
    <n v="152909.60909999997"/>
    <n v="1054.5490282758619"/>
    <n v="45"/>
    <s v="High Value"/>
    <s v="Feb-2025"/>
    <s v="Knee Support Brace"/>
    <x v="0"/>
  </r>
  <r>
    <s v="PROD74"/>
    <s v="STORE12"/>
    <n v="3"/>
    <n v="306.52"/>
    <n v="0.01"/>
    <s v="COD"/>
    <n v="910.36439999999993"/>
    <n v="151285.16609999997"/>
    <n v="1050.5914312499999"/>
    <n v="45"/>
    <s v="Low Value"/>
    <s v="Oct-2024"/>
    <s v="Bluetooth Car Audio System"/>
    <x v="1"/>
  </r>
  <r>
    <s v="PROD56"/>
    <s v="STORE13"/>
    <n v="3"/>
    <n v="184.67"/>
    <n v="0.03"/>
    <s v="COD"/>
    <n v="537.38969999999995"/>
    <n v="150374.80169999995"/>
    <n v="1051.5720398601395"/>
    <n v="45"/>
    <s v="Low Value"/>
    <s v="Mar-2024"/>
    <s v="Premium Blanket Throw"/>
    <x v="3"/>
  </r>
  <r>
    <s v="PROD26"/>
    <s v="STORE5"/>
    <n v="4"/>
    <n v="189.56"/>
    <n v="0"/>
    <s v="COD"/>
    <n v="758.24"/>
    <n v="149837.41199999995"/>
    <n v="1055.1930422535208"/>
    <n v="45"/>
    <s v="Low Value"/>
    <s v="May-2024"/>
    <s v="Wireless Bluetooth Speaker"/>
    <x v="1"/>
  </r>
  <r>
    <s v="PROD75"/>
    <s v="STORE5"/>
    <n v="1"/>
    <n v="805.24"/>
    <n v="0.04"/>
    <s v="PayPal"/>
    <n v="773.03039999999999"/>
    <n v="149079.17199999996"/>
    <n v="1057.2990921985813"/>
    <n v="45"/>
    <s v="Low Value"/>
    <s v="Aug-2024"/>
    <s v="Women's Ankle Boots"/>
    <x v="4"/>
  </r>
  <r>
    <s v="PROD54"/>
    <s v="STORE17"/>
    <n v="3"/>
    <n v="683.74"/>
    <n v="0.24"/>
    <s v="Credit Card"/>
    <n v="1558.9272000000001"/>
    <n v="148306.14159999994"/>
    <n v="1059.3295828571424"/>
    <n v="44"/>
    <s v="High Value"/>
    <s v="Sep-2024"/>
    <s v="Sports Stopwatch Pro"/>
    <x v="0"/>
  </r>
  <r>
    <s v="PROD56"/>
    <s v="STORE18"/>
    <n v="3"/>
    <n v="439.21"/>
    <n v="0.28000000000000003"/>
    <s v="COD"/>
    <n v="948.69359999999983"/>
    <n v="146747.21439999997"/>
    <n v="1055.7353553956832"/>
    <n v="44"/>
    <s v="Low Value"/>
    <s v="Oct-2024"/>
    <s v="Premium Blanket Throw"/>
    <x v="3"/>
  </r>
  <r>
    <s v="PROD66"/>
    <s v="STORE6"/>
    <n v="1"/>
    <n v="126.92"/>
    <n v="0.24"/>
    <s v="COD"/>
    <n v="96.459199999999996"/>
    <n v="145798.52079999997"/>
    <n v="1056.5110202898547"/>
    <n v="44"/>
    <s v="Low Value"/>
    <s v="Sep-2025"/>
    <s v="Women's Hair Dryer Brush"/>
    <x v="2"/>
  </r>
  <r>
    <s v="PROD73"/>
    <s v="STORE4"/>
    <n v="4"/>
    <n v="834.7"/>
    <n v="0.14000000000000001"/>
    <s v="Credit Card"/>
    <n v="2871.3679999999999"/>
    <n v="145702.06159999996"/>
    <n v="1063.5186978102186"/>
    <n v="44"/>
    <s v="High Value"/>
    <s v="Jul-2024"/>
    <s v="Shin Guards – Adult"/>
    <x v="0"/>
  </r>
  <r>
    <s v="PROD42"/>
    <s v="STORE11"/>
    <n v="2"/>
    <n v="271.88"/>
    <n v="0.11"/>
    <s v="COD"/>
    <n v="483.94639999999998"/>
    <n v="142830.69359999994"/>
    <n v="1050.2256882352938"/>
    <n v="44"/>
    <s v="Low Value"/>
    <s v="Sep-2025"/>
    <s v="Smart Home WiFi Camera"/>
    <x v="1"/>
  </r>
  <r>
    <s v="PROD11"/>
    <s v="STORE1"/>
    <n v="4"/>
    <n v="972.14"/>
    <n v="0.25"/>
    <s v="Credit Card"/>
    <n v="2916.42"/>
    <n v="142346.74719999993"/>
    <n v="1054.4203496296291"/>
    <n v="44"/>
    <s v="High Value"/>
    <s v="Mar-2025"/>
    <s v="HD Smart TV Stick"/>
    <x v="1"/>
  </r>
  <r>
    <s v="PROD43"/>
    <s v="STORE4"/>
    <n v="3"/>
    <n v="523.66"/>
    <n v="0.27"/>
    <s v="PayPal"/>
    <n v="1146.8154"/>
    <n v="139430.32719999994"/>
    <n v="1040.5248298507458"/>
    <n v="44"/>
    <s v="High Value"/>
    <s v="Jun-2025"/>
    <s v="USB External Hard Drive"/>
    <x v="1"/>
  </r>
  <r>
    <s v="PROD64"/>
    <s v="STORE2"/>
    <n v="4"/>
    <n v="838.99"/>
    <n v="0.16"/>
    <s v="Credit Card"/>
    <n v="2819.0064000000002"/>
    <n v="138283.51179999995"/>
    <n v="1039.7256526315787"/>
    <n v="43"/>
    <s v="High Value"/>
    <s v="Nov-2024"/>
    <s v="Matte Lipstick Set"/>
    <x v="2"/>
  </r>
  <r>
    <s v="PROD11"/>
    <s v="STORE17"/>
    <n v="4"/>
    <n v="838.7"/>
    <n v="0.21"/>
    <s v="COD"/>
    <n v="2650.2919999999999"/>
    <n v="135464.50539999997"/>
    <n v="1026.2462530303028"/>
    <n v="43"/>
    <s v="High Value"/>
    <s v="Mar-2025"/>
    <s v="HD Smart TV Stick"/>
    <x v="1"/>
  </r>
  <r>
    <s v="PROD74"/>
    <s v="STORE8"/>
    <n v="3"/>
    <n v="943.24"/>
    <n v="0.21"/>
    <s v="Credit Card"/>
    <n v="2235.4787999999999"/>
    <n v="132814.21339999995"/>
    <n v="1013.848957251908"/>
    <n v="43"/>
    <s v="High Value"/>
    <s v="May-2025"/>
    <s v="Bluetooth Car Audio System"/>
    <x v="1"/>
  </r>
  <r>
    <s v="PROD0"/>
    <s v="STORE17"/>
    <n v="2"/>
    <n v="310.33"/>
    <n v="0.26"/>
    <s v="Credit Card"/>
    <n v="459.28840000000002"/>
    <n v="130578.73459999994"/>
    <n v="1004.4518046153842"/>
    <n v="43"/>
    <s v="Low Value"/>
    <s v="Jan-2025"/>
    <s v="Brother Laser Printer"/>
    <x v="1"/>
  </r>
  <r>
    <s v="PROD45"/>
    <s v="STORE0"/>
    <n v="3"/>
    <n v="201.05"/>
    <n v="0.23"/>
    <s v="PayPal"/>
    <n v="464.42550000000011"/>
    <n v="130119.44619999995"/>
    <n v="1008.6778775193794"/>
    <n v="43"/>
    <s v="Low Value"/>
    <s v="Jul-2024"/>
    <s v="High-Grip Football"/>
    <x v="0"/>
  </r>
  <r>
    <s v="PROD58"/>
    <s v="STORE17"/>
    <n v="1"/>
    <n v="803.37"/>
    <n v="0.3"/>
    <s v="PayPal"/>
    <n v="562.35899999999992"/>
    <n v="129655.02069999994"/>
    <n v="1012.9298492187495"/>
    <n v="42"/>
    <s v="Low Value"/>
    <s v="Apr-2024"/>
    <s v="Womens Cotton Scarf"/>
    <x v="4"/>
  </r>
  <r>
    <s v="PROD61"/>
    <s v="STORE15"/>
    <n v="3"/>
    <n v="259.98"/>
    <n v="7.0000000000000007E-2"/>
    <s v="COD"/>
    <n v="725.3442"/>
    <n v="129092.66169999994"/>
    <n v="1016.4776511811019"/>
    <n v="41"/>
    <s v="Low Value"/>
    <s v="Aug-2025"/>
    <s v="Tennis Ball 3-Pack"/>
    <x v="0"/>
  </r>
  <r>
    <s v="PROD2"/>
    <s v="STORE3"/>
    <n v="4"/>
    <n v="591.9"/>
    <n v="0.2"/>
    <s v="PayPal"/>
    <n v="1894.08"/>
    <n v="128367.31749999995"/>
    <n v="1018.7882341269838"/>
    <n v="41"/>
    <s v="High Value"/>
    <s v="May-2024"/>
    <s v="Women's Casual Hoodie"/>
    <x v="4"/>
  </r>
  <r>
    <s v="PROD60"/>
    <s v="STORE12"/>
    <n v="2"/>
    <n v="396.9"/>
    <n v="0.18"/>
    <s v="PayPal"/>
    <n v="650.91600000000005"/>
    <n v="126473.23749999993"/>
    <n v="1011.7858999999994"/>
    <n v="40"/>
    <s v="Low Value"/>
    <s v="Mar-2025"/>
    <s v="Luxury Perfume Spray"/>
    <x v="2"/>
  </r>
  <r>
    <s v="PROD98"/>
    <s v="STORE2"/>
    <n v="1"/>
    <n v="176.84"/>
    <n v="0.19"/>
    <s v="Credit Card"/>
    <n v="143.24039999999999"/>
    <n v="125822.32149999993"/>
    <n v="1014.6961411290317"/>
    <n v="39"/>
    <s v="Low Value"/>
    <s v="Mar-2025"/>
    <s v="Portable Bluetooth Speaker"/>
    <x v="1"/>
  </r>
  <r>
    <s v="PROD26"/>
    <s v="STORE0"/>
    <n v="2"/>
    <n v="614.21"/>
    <n v="0.11"/>
    <s v="PayPal"/>
    <n v="1093.2937999999999"/>
    <n v="125679.08109999994"/>
    <n v="1021.781147154471"/>
    <n v="39"/>
    <s v="High Value"/>
    <s v="Dec-2023"/>
    <s v="Wireless Bluetooth Speaker"/>
    <x v="1"/>
  </r>
  <r>
    <s v="PROD3"/>
    <s v="STORE7"/>
    <n v="3"/>
    <n v="604.66"/>
    <n v="0.18"/>
    <s v="COD"/>
    <n v="1487.4636"/>
    <n v="124585.78729999995"/>
    <n v="1021.1949778688521"/>
    <n v="38"/>
    <s v="High Value"/>
    <s v="Oct-2024"/>
    <s v="Men's Running Jacket"/>
    <x v="4"/>
  </r>
  <r>
    <s v="PROD2"/>
    <s v="STORE12"/>
    <n v="3"/>
    <n v="24.29"/>
    <n v="0.12"/>
    <s v="PayPal"/>
    <n v="64.125600000000006"/>
    <n v="123098.32369999996"/>
    <n v="1017.3415181818178"/>
    <n v="38"/>
    <s v="Low Value"/>
    <s v="Aug-2024"/>
    <s v="Women's Casual Hoodie"/>
    <x v="4"/>
  </r>
  <r>
    <s v="PROD63"/>
    <s v="STORE11"/>
    <n v="1"/>
    <n v="503.95"/>
    <n v="0.24"/>
    <s v="PayPal"/>
    <n v="383.00200000000001"/>
    <n v="123034.19809999997"/>
    <n v="1025.2849841666664"/>
    <n v="37"/>
    <s v="Low Value"/>
    <s v="Jul-2024"/>
    <s v="Organic Sunscreen Lotion"/>
    <x v="2"/>
  </r>
  <r>
    <s v="PROD51"/>
    <s v="STORE14"/>
    <n v="4"/>
    <n v="860.78"/>
    <n v="0.03"/>
    <s v="Credit Card"/>
    <n v="3339.8263999999999"/>
    <n v="122651.19609999996"/>
    <n v="1030.6823201680668"/>
    <n v="36"/>
    <s v="High Value"/>
    <s v="Jul-2024"/>
    <s v="HDMI Cable – 2m"/>
    <x v="1"/>
  </r>
  <r>
    <s v="PROD42"/>
    <s v="STORE3"/>
    <n v="3"/>
    <n v="41.97"/>
    <n v="0.03"/>
    <s v="COD"/>
    <n v="122.1327"/>
    <n v="119311.36969999998"/>
    <n v="1011.1133025423727"/>
    <n v="36"/>
    <s v="Low Value"/>
    <s v="Nov-2023"/>
    <s v="Smart Home WiFi Camera"/>
    <x v="1"/>
  </r>
  <r>
    <s v="PROD15"/>
    <s v="STORE5"/>
    <n v="1"/>
    <n v="649.59"/>
    <n v="0.12"/>
    <s v="COD"/>
    <n v="571.63920000000007"/>
    <n v="119189.23699999998"/>
    <n v="1018.7114273504271"/>
    <n v="36"/>
    <s v="Low Value"/>
    <s v="Apr-2024"/>
    <s v="4K Home Projector"/>
    <x v="1"/>
  </r>
  <r>
    <s v="PROD63"/>
    <s v="STORE9"/>
    <n v="2"/>
    <n v="386.09"/>
    <n v="0.19"/>
    <s v="PayPal"/>
    <n v="625.46579999999994"/>
    <n v="118617.59779999997"/>
    <n v="1022.5654982758618"/>
    <n v="36"/>
    <s v="Low Value"/>
    <s v="Jul-2024"/>
    <s v="Organic Sunscreen Lotion"/>
    <x v="2"/>
  </r>
  <r>
    <s v="PROD51"/>
    <s v="STORE12"/>
    <n v="1"/>
    <n v="891.62"/>
    <n v="0.06"/>
    <s v="PayPal"/>
    <n v="838.12279999999998"/>
    <n v="117992.13199999998"/>
    <n v="1026.0185391304346"/>
    <n v="35"/>
    <s v="Low Value"/>
    <s v="Dec-2024"/>
    <s v="HDMI Cable – 2m"/>
    <x v="1"/>
  </r>
  <r>
    <s v="PROD64"/>
    <s v="STORE15"/>
    <n v="2"/>
    <n v="558.9"/>
    <n v="0.05"/>
    <s v="COD"/>
    <n v="1061.9100000000001"/>
    <n v="117154.00919999999"/>
    <n v="1027.6667473684208"/>
    <n v="34"/>
    <s v="High Value"/>
    <s v="Nov-2024"/>
    <s v="Matte Lipstick Set"/>
    <x v="2"/>
  </r>
  <r>
    <s v="PROD1"/>
    <s v="STORE3"/>
    <n v="2"/>
    <n v="99.04"/>
    <n v="0.26"/>
    <s v="COD"/>
    <n v="146.57919999999999"/>
    <n v="116092.09919999998"/>
    <n v="1027.3637097345131"/>
    <n v="34"/>
    <s v="Low Value"/>
    <s v="May-2025"/>
    <s v="Men's Graphic T-Shirt"/>
    <x v="4"/>
  </r>
  <r>
    <s v="PROD3"/>
    <s v="STORE8"/>
    <n v="4"/>
    <n v="625.13"/>
    <n v="0.06"/>
    <s v="Credit Card"/>
    <n v="2350.4888000000001"/>
    <n v="115945.51999999997"/>
    <n v="1035.2278571428569"/>
    <n v="34"/>
    <s v="High Value"/>
    <s v="Mar-2025"/>
    <s v="Men's Running Jacket"/>
    <x v="4"/>
  </r>
  <r>
    <s v="PROD40"/>
    <s v="STORE18"/>
    <n v="4"/>
    <n v="38.380000000000003"/>
    <n v="0.16"/>
    <s v="COD"/>
    <n v="128.95679999999999"/>
    <n v="113595.03119999998"/>
    <n v="1023.3786594594593"/>
    <n v="34"/>
    <s v="Low Value"/>
    <s v="Jun-2025"/>
    <s v="Noise-Canceling Headphones"/>
    <x v="1"/>
  </r>
  <r>
    <s v="PROD94"/>
    <s v="STORE10"/>
    <n v="4"/>
    <n v="731.72"/>
    <n v="0.22"/>
    <s v="COD"/>
    <n v="2282.9663999999998"/>
    <n v="113466.07439999998"/>
    <n v="1031.5097672727272"/>
    <n v="34"/>
    <s v="High Value"/>
    <s v="Apr-2024"/>
    <s v="Vitamin E Body Lotion"/>
    <x v="2"/>
  </r>
  <r>
    <s v="PROD81"/>
    <s v="STORE19"/>
    <n v="3"/>
    <n v="825.33"/>
    <n v="0.21"/>
    <s v="Credit Card"/>
    <n v="1956.0320999999999"/>
    <n v="111183.10799999996"/>
    <n v="1020.0285137614676"/>
    <n v="34"/>
    <s v="High Value"/>
    <s v="Sep-2025"/>
    <s v="Badminton Racket Set"/>
    <x v="0"/>
  </r>
  <r>
    <s v="PROD70"/>
    <s v="STORE14"/>
    <n v="2"/>
    <n v="47.3"/>
    <n v="0.01"/>
    <s v="PayPal"/>
    <n v="93.653999999999996"/>
    <n v="109227.07589999995"/>
    <n v="1011.3618138888885"/>
    <n v="34"/>
    <s v="Low Value"/>
    <s v="Dec-2023"/>
    <s v="Kitchen Storage Rack"/>
    <x v="3"/>
  </r>
  <r>
    <s v="PROD72"/>
    <s v="STORE17"/>
    <n v="1"/>
    <n v="389.12"/>
    <n v="0.18"/>
    <s v="PayPal"/>
    <n v="319.07839999999999"/>
    <n v="109133.42189999996"/>
    <n v="1019.9385224299061"/>
    <n v="33"/>
    <s v="Low Value"/>
    <s v="Jul-2024"/>
    <s v="Professional Jump Rope"/>
    <x v="0"/>
  </r>
  <r>
    <s v="PROD82"/>
    <s v="STORE18"/>
    <n v="3"/>
    <n v="543.83000000000004"/>
    <n v="0.05"/>
    <s v="Credit Card"/>
    <n v="1549.9155000000001"/>
    <n v="108814.34349999996"/>
    <n v="1026.550410377358"/>
    <n v="32"/>
    <s v="High Value"/>
    <s v="Sep-2024"/>
    <s v="Fitness Resistance Bands"/>
    <x v="0"/>
  </r>
  <r>
    <s v="PROD14"/>
    <s v="STORE1"/>
    <n v="2"/>
    <n v="660.27"/>
    <n v="0.01"/>
    <s v="PayPal"/>
    <n v="1307.3345999999999"/>
    <n v="107264.42799999996"/>
    <n v="1021.5659809523805"/>
    <n v="32"/>
    <s v="High Value"/>
    <s v="May-2024"/>
    <s v="Decorative Wall Mirror"/>
    <x v="3"/>
  </r>
  <r>
    <s v="PROD13"/>
    <s v="STORE8"/>
    <n v="4"/>
    <n v="729.31"/>
    <n v="0.03"/>
    <s v="Credit Card"/>
    <n v="2829.7228"/>
    <n v="105957.09339999995"/>
    <n v="1018.8182057692303"/>
    <n v="31"/>
    <s v="High Value"/>
    <s v="May-2025"/>
    <s v="USB-C Fast Charger"/>
    <x v="1"/>
  </r>
  <r>
    <s v="PROD87"/>
    <s v="STORE6"/>
    <n v="2"/>
    <n v="152.91"/>
    <n v="0.24"/>
    <s v="PayPal"/>
    <n v="232.42320000000001"/>
    <n v="103127.37059999997"/>
    <n v="1001.23660776699"/>
    <n v="31"/>
    <s v="Low Value"/>
    <s v="Feb-2024"/>
    <s v="LED Bedside Lamp"/>
    <x v="3"/>
  </r>
  <r>
    <s v="PROD74"/>
    <s v="STORE15"/>
    <n v="4"/>
    <n v="592.14"/>
    <n v="0.12"/>
    <s v="COD"/>
    <n v="2084.3328000000001"/>
    <n v="102894.94739999996"/>
    <n v="1008.7739941176467"/>
    <n v="30"/>
    <s v="High Value"/>
    <s v="Feb-2024"/>
    <s v="Bluetooth Car Audio System"/>
    <x v="1"/>
  </r>
  <r>
    <s v="PROD78"/>
    <s v="STORE12"/>
    <n v="1"/>
    <n v="984.37"/>
    <n v="0"/>
    <s v="PayPal"/>
    <n v="984.37"/>
    <n v="100810.61459999996"/>
    <n v="998.12489702970254"/>
    <n v="30"/>
    <s v="Low Value"/>
    <s v="Aug-2024"/>
    <s v="Essential Oil Diffuser"/>
    <x v="3"/>
  </r>
  <r>
    <s v="PROD1"/>
    <s v="STORE12"/>
    <n v="2"/>
    <n v="237.59"/>
    <n v="0.12"/>
    <s v="Credit Card"/>
    <n v="418.15839999999997"/>
    <n v="99826.244599999962"/>
    <n v="998.26244599999961"/>
    <n v="29"/>
    <s v="Low Value"/>
    <s v="Feb-2024"/>
    <s v="Men's Graphic T-Shirt"/>
    <x v="4"/>
  </r>
  <r>
    <s v="PROD25"/>
    <s v="STORE8"/>
    <n v="1"/>
    <n v="52.06"/>
    <n v="0.27"/>
    <s v="COD"/>
    <n v="38.003799999999998"/>
    <n v="99408.086199999962"/>
    <n v="1004.1220828282825"/>
    <n v="29"/>
    <s v="Low Value"/>
    <s v="Nov-2023"/>
    <s v="Women's Scarf Set"/>
    <x v="4"/>
  </r>
  <r>
    <s v="PROD3"/>
    <s v="STORE1"/>
    <n v="2"/>
    <n v="594.63"/>
    <n v="0.12"/>
    <s v="Credit Card"/>
    <n v="1046.5488"/>
    <n v="99370.082399999956"/>
    <n v="1013.9804326530608"/>
    <n v="29"/>
    <s v="High Value"/>
    <s v="Feb-2025"/>
    <s v="Men's Running Jacket"/>
    <x v="4"/>
  </r>
  <r>
    <s v="PROD3"/>
    <s v="STORE0"/>
    <n v="3"/>
    <n v="476.1"/>
    <n v="0.05"/>
    <s v="COD"/>
    <n v="1356.885"/>
    <n v="98323.533599999966"/>
    <n v="1013.6446762886594"/>
    <n v="29"/>
    <s v="High Value"/>
    <s v="Dec-2024"/>
    <s v="Men's Running Jacket"/>
    <x v="4"/>
  </r>
  <r>
    <s v="PROD61"/>
    <s v="STORE6"/>
    <n v="1"/>
    <n v="546.47"/>
    <n v="0.08"/>
    <s v="COD"/>
    <n v="502.75240000000002"/>
    <n v="96966.648599999986"/>
    <n v="1010.0692562499999"/>
    <n v="29"/>
    <s v="Low Value"/>
    <s v="Aug-2024"/>
    <s v="Tennis Ball 3-Pack"/>
    <x v="0"/>
  </r>
  <r>
    <s v="PROD75"/>
    <s v="STORE12"/>
    <n v="1"/>
    <n v="979.49"/>
    <n v="0.19"/>
    <s v="COD"/>
    <n v="793.38690000000008"/>
    <n v="96463.896199999974"/>
    <n v="1015.4094336842103"/>
    <n v="29"/>
    <s v="Low Value"/>
    <s v="Apr-2025"/>
    <s v="Women's Ankle Boots"/>
    <x v="4"/>
  </r>
  <r>
    <s v="PROD17"/>
    <s v="STORE2"/>
    <n v="3"/>
    <n v="988.53"/>
    <n v="0.3"/>
    <s v="COD"/>
    <n v="2075.913"/>
    <n v="95670.509299999976"/>
    <n v="1017.7713755319146"/>
    <n v="29"/>
    <s v="High Value"/>
    <s v="Dec-2023"/>
    <s v="Soccer Training Cone Set"/>
    <x v="0"/>
  </r>
  <r>
    <s v="PROD76"/>
    <s v="STORE3"/>
    <n v="4"/>
    <n v="849.29"/>
    <n v="0.26"/>
    <s v="Credit Card"/>
    <n v="2513.8984"/>
    <n v="93594.59629999999"/>
    <n v="1006.3935086021504"/>
    <n v="29"/>
    <s v="High Value"/>
    <s v="Feb-2025"/>
    <s v="Wireless Mouse"/>
    <x v="1"/>
  </r>
  <r>
    <s v="PROD95"/>
    <s v="STORE14"/>
    <n v="2"/>
    <n v="452.29"/>
    <n v="0.01"/>
    <s v="COD"/>
    <n v="895.53420000000006"/>
    <n v="91080.697899999985"/>
    <n v="990.0075858695651"/>
    <n v="29"/>
    <s v="Low Value"/>
    <s v="Jan-2024"/>
    <s v="Sports Stopwatch Basic"/>
    <x v="0"/>
  </r>
  <r>
    <s v="PROD54"/>
    <s v="STORE18"/>
    <n v="2"/>
    <n v="810.81"/>
    <n v="0.11"/>
    <s v="COD"/>
    <n v="1443.2418"/>
    <n v="90185.163699999976"/>
    <n v="991.04575494505468"/>
    <n v="29"/>
    <s v="High Value"/>
    <s v="Jul-2024"/>
    <s v="Sports Stopwatch Pro"/>
    <x v="0"/>
  </r>
  <r>
    <s v="PROD61"/>
    <s v="STORE8"/>
    <n v="1"/>
    <n v="846.67"/>
    <n v="0.1"/>
    <s v="COD"/>
    <n v="762.00299999999993"/>
    <n v="88741.921899999987"/>
    <n v="986.02135444444434"/>
    <n v="29"/>
    <s v="Low Value"/>
    <s v="Sep-2024"/>
    <s v="Tennis Ball 3-Pack"/>
    <x v="0"/>
  </r>
  <r>
    <s v="PROD24"/>
    <s v="STORE6"/>
    <n v="4"/>
    <n v="73.55"/>
    <n v="0.24"/>
    <s v="COD"/>
    <n v="223.59200000000001"/>
    <n v="87979.91889999999"/>
    <n v="988.53841460674141"/>
    <n v="29"/>
    <s v="Low Value"/>
    <s v="Mar-2024"/>
    <s v="Foldable Camping Chair"/>
    <x v="0"/>
  </r>
  <r>
    <s v="PROD92"/>
    <s v="STORE6"/>
    <n v="1"/>
    <n v="882.03"/>
    <n v="0.04"/>
    <s v="COD"/>
    <n v="846.74879999999996"/>
    <n v="87756.326899999985"/>
    <n v="997.23098749999986"/>
    <n v="29"/>
    <s v="Low Value"/>
    <s v="Jul-2025"/>
    <s v="Microwave Oven"/>
    <x v="3"/>
  </r>
  <r>
    <s v="PROD22"/>
    <s v="STORE14"/>
    <n v="1"/>
    <n v="958.44"/>
    <n v="0.21"/>
    <s v="Credit Card"/>
    <n v="757.16760000000011"/>
    <n v="86909.57809999997"/>
    <n v="998.96066781609159"/>
    <n v="29"/>
    <s v="Low Value"/>
    <s v="Oct-2024"/>
    <s v="Carbon Fiber Tennis Racket"/>
    <x v="0"/>
  </r>
  <r>
    <s v="PROD99"/>
    <s v="STORE2"/>
    <n v="1"/>
    <n v="716.29"/>
    <n v="0.01"/>
    <s v="PayPal"/>
    <n v="709.12709999999993"/>
    <n v="86152.410499999969"/>
    <n v="1001.7722151162787"/>
    <n v="29"/>
    <s v="Low Value"/>
    <s v="Sep-2024"/>
    <s v="Stainless Steel Cookware Set"/>
    <x v="3"/>
  </r>
  <r>
    <s v="PROD9"/>
    <s v="STORE16"/>
    <n v="2"/>
    <n v="409.14"/>
    <n v="0.01"/>
    <s v="PayPal"/>
    <n v="810.09719999999993"/>
    <n v="85443.283399999971"/>
    <n v="1005.215098823529"/>
    <n v="28"/>
    <s v="Low Value"/>
    <s v="Apr-2024"/>
    <s v="Adjustable Dumbbell Set"/>
    <x v="0"/>
  </r>
  <r>
    <s v="PROD99"/>
    <s v="STORE9"/>
    <n v="4"/>
    <n v="261.73"/>
    <n v="0.1"/>
    <s v="PayPal"/>
    <n v="942.22800000000007"/>
    <n v="84633.186199999967"/>
    <n v="1007.5379309523805"/>
    <n v="27"/>
    <s v="Low Value"/>
    <s v="Feb-2025"/>
    <s v="Stainless Steel Cookware Set"/>
    <x v="3"/>
  </r>
  <r>
    <s v="PROD12"/>
    <s v="STORE0"/>
    <n v="2"/>
    <n v="687.35"/>
    <n v="0.2"/>
    <s v="COD"/>
    <n v="1099.76"/>
    <n v="83690.958199999965"/>
    <n v="1008.3247975903611"/>
    <n v="26"/>
    <s v="High Value"/>
    <s v="Jan-2025"/>
    <s v="Hair Strengthening Shampoo"/>
    <x v="2"/>
  </r>
  <r>
    <s v="PROD84"/>
    <s v="STORE8"/>
    <n v="2"/>
    <n v="30.14"/>
    <n v="0.21"/>
    <s v="Credit Card"/>
    <n v="47.621200000000002"/>
    <n v="82591.198199999955"/>
    <n v="1007.2097341463409"/>
    <n v="26"/>
    <s v="Low Value"/>
    <s v="Sep-2025"/>
    <s v="Wooden Bookshelf"/>
    <x v="3"/>
  </r>
  <r>
    <s v="PROD34"/>
    <s v="STORE8"/>
    <n v="3"/>
    <n v="570.12"/>
    <n v="0.12"/>
    <s v="PayPal"/>
    <n v="1505.1168"/>
    <n v="82543.576999999961"/>
    <n v="1019.056506172839"/>
    <n v="26"/>
    <s v="High Value"/>
    <s v="Dec-2024"/>
    <s v="Gaming Mechanical Keyboard"/>
    <x v="1"/>
  </r>
  <r>
    <s v="PROD77"/>
    <s v="STORE19"/>
    <n v="3"/>
    <n v="401.87"/>
    <n v="0.28999999999999998"/>
    <s v="COD"/>
    <n v="855.98310000000004"/>
    <n v="81038.460199999972"/>
    <n v="1012.9807524999997"/>
    <n v="25"/>
    <s v="Low Value"/>
    <s v="Aug-2025"/>
    <s v="WiFi Mesh Router"/>
    <x v="1"/>
  </r>
  <r>
    <s v="PROD79"/>
    <s v="STORE12"/>
    <n v="4"/>
    <n v="619.35"/>
    <n v="0.3"/>
    <s v="Credit Card"/>
    <n v="1734.18"/>
    <n v="80182.477099999989"/>
    <n v="1014.9680645569618"/>
    <n v="25"/>
    <s v="High Value"/>
    <s v="Nov-2024"/>
    <s v="Decorative Lamp Shade"/>
    <x v="3"/>
  </r>
  <r>
    <s v="PROD46"/>
    <s v="STORE17"/>
    <n v="4"/>
    <n v="569.36"/>
    <n v="0.27"/>
    <s v="PayPal"/>
    <n v="1662.5311999999999"/>
    <n v="78448.297099999996"/>
    <n v="1005.7473987179486"/>
    <n v="25"/>
    <s v="High Value"/>
    <s v="Dec-2023"/>
    <s v="Men's Winter Jacket"/>
    <x v="4"/>
  </r>
  <r>
    <s v="PROD27"/>
    <s v="STORE4"/>
    <n v="2"/>
    <n v="846.35"/>
    <n v="0.3"/>
    <s v="COD"/>
    <n v="1184.8900000000001"/>
    <n v="76785.765899999999"/>
    <n v="997.21773896103889"/>
    <n v="24"/>
    <s v="High Value"/>
    <s v="Feb-2024"/>
    <s v="Decorative Floor Vase"/>
    <x v="3"/>
  </r>
  <r>
    <s v="PROD30"/>
    <s v="STORE2"/>
    <n v="1"/>
    <n v="788.45"/>
    <n v="0.28999999999999998"/>
    <s v="PayPal"/>
    <n v="559.79949999999997"/>
    <n v="75600.875899999999"/>
    <n v="994.74836710526313"/>
    <n v="24"/>
    <s v="Low Value"/>
    <s v="Jul-2025"/>
    <s v="Stainless Steel Cutlery Set"/>
    <x v="3"/>
  </r>
  <r>
    <s v="PROD35"/>
    <s v="STORE12"/>
    <n v="2"/>
    <n v="338.81"/>
    <n v="7.0000000000000007E-2"/>
    <s v="COD"/>
    <n v="630.1866"/>
    <n v="75041.076400000005"/>
    <n v="1000.5476853333334"/>
    <n v="23"/>
    <s v="Low Value"/>
    <s v="Aug-2025"/>
    <s v="Bedroom Table Lamp"/>
    <x v="3"/>
  </r>
  <r>
    <s v="PROD14"/>
    <s v="STORE5"/>
    <n v="4"/>
    <n v="94.48"/>
    <n v="0.06"/>
    <s v="COD"/>
    <n v="355.2448"/>
    <n v="74410.889800000004"/>
    <n v="1005.552564864865"/>
    <n v="23"/>
    <s v="Low Value"/>
    <s v="Sep-2025"/>
    <s v="Decorative Wall Mirror"/>
    <x v="3"/>
  </r>
  <r>
    <s v="PROD19"/>
    <s v="STORE13"/>
    <n v="3"/>
    <n v="941.85"/>
    <n v="0.16"/>
    <s v="PayPal"/>
    <n v="2373.462"/>
    <n v="74055.645000000004"/>
    <n v="1014.460890410959"/>
    <n v="23"/>
    <s v="High Value"/>
    <s v="Sep-2024"/>
    <s v="Knee Support Brace"/>
    <x v="0"/>
  </r>
  <r>
    <s v="PROD45"/>
    <s v="STORE5"/>
    <n v="2"/>
    <n v="336.97"/>
    <n v="0.14000000000000001"/>
    <s v="PayPal"/>
    <n v="579.58840000000009"/>
    <n v="71682.183000000019"/>
    <n v="995.58587500000021"/>
    <n v="22"/>
    <s v="Low Value"/>
    <s v="Nov-2023"/>
    <s v="High-Grip Football"/>
    <x v="0"/>
  </r>
  <r>
    <s v="PROD5"/>
    <s v="STORE5"/>
    <n v="2"/>
    <n v="344.16"/>
    <n v="0.09"/>
    <s v="PayPal"/>
    <n v="626.37120000000004"/>
    <n v="71102.594600000011"/>
    <n v="1001.4449943661973"/>
    <n v="21"/>
    <s v="Low Value"/>
    <s v="Jun-2024"/>
    <s v="Men's Leather Belt"/>
    <x v="4"/>
  </r>
  <r>
    <s v="PROD48"/>
    <s v="STORE9"/>
    <n v="1"/>
    <n v="841.53"/>
    <n v="0.15"/>
    <s v="Credit Card"/>
    <n v="715.30049999999994"/>
    <n v="70476.223400000003"/>
    <n v="1006.8031914285715"/>
    <n v="20"/>
    <s v="Low Value"/>
    <s v="Jul-2025"/>
    <s v="Car Dashboard Phone Holder"/>
    <x v="1"/>
  </r>
  <r>
    <s v="PROD83"/>
    <s v="STORE17"/>
    <n v="3"/>
    <n v="63.36"/>
    <n v="0.28999999999999998"/>
    <s v="COD"/>
    <n v="134.95679999999999"/>
    <n v="69760.922900000005"/>
    <n v="1011.0278681159421"/>
    <n v="20"/>
    <s v="Low Value"/>
    <s v="Jun-2025"/>
    <s v="Hydrating Face Cleanser"/>
    <x v="2"/>
  </r>
  <r>
    <s v="PROD78"/>
    <s v="STORE8"/>
    <n v="2"/>
    <n v="552.49"/>
    <n v="0.1"/>
    <s v="Credit Card"/>
    <n v="994.48200000000008"/>
    <n v="69625.96610000002"/>
    <n v="1023.9112661764709"/>
    <n v="20"/>
    <s v="Low Value"/>
    <s v="Jul-2025"/>
    <s v="Essential Oil Diffuser"/>
    <x v="3"/>
  </r>
  <r>
    <s v="PROD24"/>
    <s v="STORE6"/>
    <n v="3"/>
    <n v="447.38"/>
    <n v="0.03"/>
    <s v="Credit Card"/>
    <n v="1301.8758"/>
    <n v="68631.484100000031"/>
    <n v="1024.3505089552243"/>
    <n v="20"/>
    <s v="High Value"/>
    <s v="Mar-2025"/>
    <s v="Foldable Camping Chair"/>
    <x v="0"/>
  </r>
  <r>
    <s v="PROD73"/>
    <s v="STORE19"/>
    <n v="1"/>
    <n v="727.7"/>
    <n v="0.21"/>
    <s v="COD"/>
    <n v="574.88300000000004"/>
    <n v="67329.608300000022"/>
    <n v="1020.1455803030307"/>
    <n v="20"/>
    <s v="Low Value"/>
    <s v="Nov-2023"/>
    <s v="Shin Guards – Adult"/>
    <x v="0"/>
  </r>
  <r>
    <s v="PROD51"/>
    <s v="STORE7"/>
    <n v="4"/>
    <n v="581.34"/>
    <n v="0.08"/>
    <s v="Credit Card"/>
    <n v="2139.3312000000001"/>
    <n v="66754.72530000002"/>
    <n v="1026.9957738461542"/>
    <n v="20"/>
    <s v="High Value"/>
    <s v="Nov-2023"/>
    <s v="HDMI Cable – 2m"/>
    <x v="1"/>
  </r>
  <r>
    <s v="PROD66"/>
    <s v="STORE1"/>
    <n v="1"/>
    <n v="338.83"/>
    <n v="0.19"/>
    <s v="PayPal"/>
    <n v="274.45229999999998"/>
    <n v="64615.39410000002"/>
    <n v="1009.6155328125003"/>
    <n v="20"/>
    <s v="Low Value"/>
    <s v="May-2025"/>
    <s v="Women's Hair Dryer Brush"/>
    <x v="2"/>
  </r>
  <r>
    <s v="PROD49"/>
    <s v="STORE13"/>
    <n v="4"/>
    <n v="568.80999999999995"/>
    <n v="0.25"/>
    <s v="Credit Card"/>
    <n v="1706.43"/>
    <n v="64340.941800000015"/>
    <n v="1021.2847904761907"/>
    <n v="19"/>
    <s v="High Value"/>
    <s v="Dec-2023"/>
    <s v="Men's Roll-On Perfume"/>
    <x v="2"/>
  </r>
  <r>
    <s v="PROD61"/>
    <s v="STORE17"/>
    <n v="2"/>
    <n v="352.63"/>
    <n v="0.15"/>
    <s v="PayPal"/>
    <n v="599.471"/>
    <n v="62634.511800000022"/>
    <n v="1010.234061290323"/>
    <n v="19"/>
    <s v="Low Value"/>
    <s v="Nov-2024"/>
    <s v="Tennis Ball 3-Pack"/>
    <x v="0"/>
  </r>
  <r>
    <s v="PROD96"/>
    <s v="STORE13"/>
    <n v="2"/>
    <n v="629.86"/>
    <n v="0.15"/>
    <s v="PayPal"/>
    <n v="1070.7619999999999"/>
    <n v="62035.040800000017"/>
    <n v="1016.9678819672134"/>
    <n v="18"/>
    <s v="High Value"/>
    <s v="Mar-2024"/>
    <s v="Women's Formal Blazer"/>
    <x v="4"/>
  </r>
  <r>
    <s v="PROD98"/>
    <s v="STORE3"/>
    <n v="3"/>
    <n v="212.08"/>
    <n v="7.0000000000000007E-2"/>
    <s v="Credit Card"/>
    <n v="591.70319999999992"/>
    <n v="60964.278800000015"/>
    <n v="1016.0713133333336"/>
    <n v="17"/>
    <s v="Low Value"/>
    <s v="May-2025"/>
    <s v="Portable Bluetooth Speaker"/>
    <x v="1"/>
  </r>
  <r>
    <s v="PROD57"/>
    <s v="STORE2"/>
    <n v="3"/>
    <n v="878.62"/>
    <n v="0.05"/>
    <s v="PayPal"/>
    <n v="2504.067"/>
    <n v="60372.575600000011"/>
    <n v="1023.2639932203392"/>
    <n v="17"/>
    <s v="High Value"/>
    <s v="Oct-2024"/>
    <s v="Foam Roller"/>
    <x v="0"/>
  </r>
  <r>
    <s v="PROD80"/>
    <s v="STORE10"/>
    <n v="4"/>
    <n v="87.83"/>
    <n v="0.23"/>
    <s v="PayPal"/>
    <n v="270.51639999999998"/>
    <n v="57868.50860000003"/>
    <n v="997.73290689655221"/>
    <n v="16"/>
    <s v="Low Value"/>
    <s v="Jan-2025"/>
    <s v="Wall-Mounted Spice Rack"/>
    <x v="3"/>
  </r>
  <r>
    <s v="PROD56"/>
    <s v="STORE9"/>
    <n v="3"/>
    <n v="442.64"/>
    <n v="0.15"/>
    <s v="COD"/>
    <n v="1128.732"/>
    <n v="57597.992200000022"/>
    <n v="1010.4910912280706"/>
    <n v="15"/>
    <s v="High Value"/>
    <s v="Jun-2025"/>
    <s v="Premium Blanket Throw"/>
    <x v="3"/>
  </r>
  <r>
    <s v="PROD38"/>
    <s v="STORE2"/>
    <n v="3"/>
    <n v="410.04"/>
    <n v="0.09"/>
    <s v="COD"/>
    <n v="1119.4092000000001"/>
    <n v="56469.260200000019"/>
    <n v="1008.3796464285717"/>
    <n v="15"/>
    <s v="High Value"/>
    <s v="May-2025"/>
    <s v="Sports Water Hydration Pack"/>
    <x v="0"/>
  </r>
  <r>
    <s v="PROD94"/>
    <s v="STORE17"/>
    <n v="1"/>
    <n v="355.31"/>
    <n v="0.27"/>
    <s v="Credit Card"/>
    <n v="259.37630000000001"/>
    <n v="55349.851000000024"/>
    <n v="1006.3609272727277"/>
    <n v="15"/>
    <s v="Low Value"/>
    <s v="May-2025"/>
    <s v="Vitamin E Body Lotion"/>
    <x v="2"/>
  </r>
  <r>
    <s v="PROD9"/>
    <s v="STORE13"/>
    <n v="4"/>
    <n v="243.13"/>
    <n v="0.25"/>
    <s v="COD"/>
    <n v="729.39"/>
    <n v="55090.474700000021"/>
    <n v="1020.1939759259263"/>
    <n v="15"/>
    <s v="Low Value"/>
    <s v="Nov-2024"/>
    <s v="Adjustable Dumbbell Set"/>
    <x v="0"/>
  </r>
  <r>
    <s v="PROD59"/>
    <s v="STORE11"/>
    <n v="2"/>
    <n v="410.63"/>
    <n v="0.28000000000000003"/>
    <s v="COD"/>
    <n v="591.30719999999997"/>
    <n v="54361.084700000021"/>
    <n v="1025.6808433962269"/>
    <n v="15"/>
    <s v="Low Value"/>
    <s v="Nov-2024"/>
    <s v="Men's Hair Styling Gel"/>
    <x v="2"/>
  </r>
  <r>
    <s v="PROD94"/>
    <s v="STORE10"/>
    <n v="4"/>
    <n v="101.25"/>
    <n v="0.16"/>
    <s v="PayPal"/>
    <n v="340.2"/>
    <n v="53769.777500000026"/>
    <n v="1034.0341826923081"/>
    <n v="15"/>
    <s v="Low Value"/>
    <s v="Jan-2024"/>
    <s v="Vitamin E Body Lotion"/>
    <x v="2"/>
  </r>
  <r>
    <s v="PROD7"/>
    <s v="STORE17"/>
    <n v="4"/>
    <n v="716.39"/>
    <n v="0.03"/>
    <s v="PayPal"/>
    <n v="2779.5931999999998"/>
    <n v="53429.577500000029"/>
    <n v="1047.6387745098045"/>
    <n v="14"/>
    <s v="High Value"/>
    <s v="Jan-2024"/>
    <s v="LED Table Lamp"/>
    <x v="3"/>
  </r>
  <r>
    <s v="PROD73"/>
    <s v="STORE1"/>
    <n v="1"/>
    <n v="721.74"/>
    <n v="0.24"/>
    <s v="PayPal"/>
    <n v="548.52240000000006"/>
    <n v="50649.984300000026"/>
    <n v="1012.9996860000006"/>
    <n v="13"/>
    <s v="Low Value"/>
    <s v="Jan-2024"/>
    <s v="Shin Guards – Adult"/>
    <x v="0"/>
  </r>
  <r>
    <s v="PROD62"/>
    <s v="STORE11"/>
    <n v="2"/>
    <n v="527.91"/>
    <n v="0.02"/>
    <s v="Credit Card"/>
    <n v="1034.7036000000001"/>
    <n v="50101.461900000024"/>
    <n v="1022.4788142857147"/>
    <n v="12"/>
    <s v="High Value"/>
    <s v="Feb-2025"/>
    <s v="Laptop Cooling Pad"/>
    <x v="1"/>
  </r>
  <r>
    <s v="PROD52"/>
    <s v="STORE13"/>
    <n v="2"/>
    <n v="945.92"/>
    <n v="0.19"/>
    <s v="COD"/>
    <n v="1532.3904"/>
    <n v="49066.758300000016"/>
    <n v="1022.2241312500004"/>
    <n v="12"/>
    <s v="High Value"/>
    <s v="Aug-2024"/>
    <s v="Rugby Ball"/>
    <x v="0"/>
  </r>
  <r>
    <s v="PROD56"/>
    <s v="STORE17"/>
    <n v="2"/>
    <n v="981.35"/>
    <n v="0.16"/>
    <s v="PayPal"/>
    <n v="1648.6679999999999"/>
    <n v="47534.367900000012"/>
    <n v="1011.3695297872343"/>
    <n v="12"/>
    <s v="High Value"/>
    <s v="May-2025"/>
    <s v="Premium Blanket Throw"/>
    <x v="3"/>
  </r>
  <r>
    <s v="PROD59"/>
    <s v="STORE3"/>
    <n v="1"/>
    <n v="913.99"/>
    <n v="0.14000000000000001"/>
    <s v="Credit Card"/>
    <n v="786.03139999999996"/>
    <n v="45885.699900000007"/>
    <n v="997.51521521739141"/>
    <n v="11"/>
    <s v="Low Value"/>
    <s v="Jun-2025"/>
    <s v="Men's Hair Styling Gel"/>
    <x v="2"/>
  </r>
  <r>
    <s v="PROD66"/>
    <s v="STORE8"/>
    <n v="4"/>
    <n v="270.69"/>
    <n v="0.18"/>
    <s v="PayPal"/>
    <n v="887.86320000000001"/>
    <n v="45099.668500000007"/>
    <n v="1002.2148555555557"/>
    <n v="11"/>
    <s v="Low Value"/>
    <s v="Jul-2025"/>
    <s v="Women's Hair Dryer Brush"/>
    <x v="2"/>
  </r>
  <r>
    <s v="PROD77"/>
    <s v="STORE6"/>
    <n v="3"/>
    <n v="998.58"/>
    <n v="0.02"/>
    <s v="Credit Card"/>
    <n v="2935.8252000000002"/>
    <n v="44211.805300000007"/>
    <n v="1004.813756818182"/>
    <n v="10"/>
    <s v="High Value"/>
    <s v="Jan-2025"/>
    <s v="WiFi Mesh Router"/>
    <x v="1"/>
  </r>
  <r>
    <s v="PROD37"/>
    <s v="STORE9"/>
    <n v="3"/>
    <n v="765.12"/>
    <n v="0.18"/>
    <s v="Credit Card"/>
    <n v="1882.1952000000001"/>
    <n v="41275.980100000008"/>
    <n v="959.90651395348857"/>
    <n v="10"/>
    <s v="High Value"/>
    <s v="May-2025"/>
    <s v="Men's Casual Sneakers"/>
    <x v="4"/>
  </r>
  <r>
    <s v="PROD64"/>
    <s v="STORE19"/>
    <n v="3"/>
    <n v="449.99"/>
    <n v="0.17"/>
    <s v="COD"/>
    <n v="1120.4751000000001"/>
    <n v="39393.784899999999"/>
    <n v="937.94725952380952"/>
    <n v="10"/>
    <s v="High Value"/>
    <s v="Oct-2023"/>
    <s v="Matte Lipstick Set"/>
    <x v="2"/>
  </r>
  <r>
    <s v="PROD43"/>
    <s v="STORE11"/>
    <n v="2"/>
    <n v="249.02"/>
    <n v="0.01"/>
    <s v="COD"/>
    <n v="493.05959999999999"/>
    <n v="38273.309800000003"/>
    <n v="933.49536097560986"/>
    <n v="10"/>
    <s v="Low Value"/>
    <s v="Dec-2024"/>
    <s v="USB External Hard Drive"/>
    <x v="1"/>
  </r>
  <r>
    <s v="PROD57"/>
    <s v="STORE19"/>
    <n v="3"/>
    <n v="223.64"/>
    <n v="0.05"/>
    <s v="Credit Card"/>
    <n v="637.37399999999991"/>
    <n v="37780.250200000002"/>
    <n v="944.50625500000001"/>
    <n v="10"/>
    <s v="Low Value"/>
    <s v="Jun-2024"/>
    <s v="Foam Roller"/>
    <x v="0"/>
  </r>
  <r>
    <s v="PROD24"/>
    <s v="STORE4"/>
    <n v="2"/>
    <n v="92.94"/>
    <n v="0.12"/>
    <s v="Credit Card"/>
    <n v="163.5744"/>
    <n v="37142.876199999999"/>
    <n v="952.38144102564104"/>
    <n v="10"/>
    <s v="Low Value"/>
    <s v="Oct-2025"/>
    <s v="Foldable Camping Chair"/>
    <x v="0"/>
  </r>
  <r>
    <s v="PROD16"/>
    <s v="STORE2"/>
    <n v="4"/>
    <n v="268.3"/>
    <n v="0.02"/>
    <s v="COD"/>
    <n v="1051.7360000000001"/>
    <n v="36979.301800000001"/>
    <n v="973.13952105263161"/>
    <n v="10"/>
    <s v="High Value"/>
    <s v="Apr-2024"/>
    <s v="Beard Grooming Kit"/>
    <x v="2"/>
  </r>
  <r>
    <s v="PROD59"/>
    <s v="STORE19"/>
    <n v="4"/>
    <n v="835.61"/>
    <n v="0.03"/>
    <s v="Credit Card"/>
    <n v="3242.1668"/>
    <n v="35927.565799999997"/>
    <n v="971.01529189189182"/>
    <n v="10"/>
    <s v="High Value"/>
    <s v="Apr-2025"/>
    <s v="Men's Hair Styling Gel"/>
    <x v="2"/>
  </r>
  <r>
    <s v="PROD68"/>
    <s v="STORE5"/>
    <n v="3"/>
    <n v="120.97"/>
    <n v="0.11"/>
    <s v="Credit Card"/>
    <n v="322.98989999999998"/>
    <n v="32685.399000000001"/>
    <n v="907.92775000000006"/>
    <n v="10"/>
    <s v="Low Value"/>
    <s v="Apr-2024"/>
    <s v="Wooden Nightstand"/>
    <x v="3"/>
  </r>
  <r>
    <s v="PROD40"/>
    <s v="STORE9"/>
    <n v="2"/>
    <n v="26.36"/>
    <n v="0.03"/>
    <s v="COD"/>
    <n v="51.138399999999997"/>
    <n v="32362.409100000001"/>
    <n v="924.64026000000001"/>
    <n v="10"/>
    <s v="Low Value"/>
    <s v="May-2024"/>
    <s v="Noise-Canceling Headphones"/>
    <x v="1"/>
  </r>
  <r>
    <s v="PROD77"/>
    <s v="STORE6"/>
    <n v="1"/>
    <n v="918.87"/>
    <n v="0.11"/>
    <s v="PayPal"/>
    <n v="817.79430000000002"/>
    <n v="32311.270700000005"/>
    <n v="950.33149117647076"/>
    <n v="10"/>
    <s v="Low Value"/>
    <s v="Aug-2025"/>
    <s v="WiFi Mesh Router"/>
    <x v="1"/>
  </r>
  <r>
    <s v="PROD67"/>
    <s v="STORE11"/>
    <n v="2"/>
    <n v="924.73"/>
    <n v="0.28999999999999998"/>
    <s v="PayPal"/>
    <n v="1313.1166000000001"/>
    <n v="31493.476400000003"/>
    <n v="954.34776969696975"/>
    <n v="9"/>
    <s v="High Value"/>
    <s v="May-2025"/>
    <s v="Smart LED Light Strip"/>
    <x v="1"/>
  </r>
  <r>
    <s v="PROD12"/>
    <s v="STORE10"/>
    <n v="3"/>
    <n v="195.31"/>
    <n v="0.13"/>
    <s v="COD"/>
    <n v="509.75909999999999"/>
    <n v="30180.359800000002"/>
    <n v="943.13624375000006"/>
    <n v="8"/>
    <s v="Low Value"/>
    <s v="Jan-2025"/>
    <s v="Hair Strengthening Shampoo"/>
    <x v="2"/>
  </r>
  <r>
    <s v="PROD38"/>
    <s v="STORE8"/>
    <n v="1"/>
    <n v="91.38"/>
    <n v="0.14000000000000001"/>
    <s v="Credit Card"/>
    <n v="78.586799999999997"/>
    <n v="29670.600699999999"/>
    <n v="957.1161516129032"/>
    <n v="8"/>
    <s v="Low Value"/>
    <s v="May-2025"/>
    <s v="Sports Water Hydration Pack"/>
    <x v="0"/>
  </r>
  <r>
    <s v="PROD86"/>
    <s v="STORE11"/>
    <n v="2"/>
    <n v="494.35"/>
    <n v="0.1"/>
    <s v="Credit Card"/>
    <n v="889.83"/>
    <n v="29592.013900000002"/>
    <n v="986.40046333333339"/>
    <n v="8"/>
    <s v="Low Value"/>
    <s v="Sep-2024"/>
    <s v="Kitchen Cutting Board"/>
    <x v="3"/>
  </r>
  <r>
    <s v="PROD24"/>
    <s v="STORE10"/>
    <n v="1"/>
    <n v="412.2"/>
    <n v="0.11"/>
    <s v="Credit Card"/>
    <n v="366.858"/>
    <n v="28702.1839"/>
    <n v="989.73047931034478"/>
    <n v="8"/>
    <s v="Low Value"/>
    <s v="Oct-2024"/>
    <s v="Foldable Camping Chair"/>
    <x v="0"/>
  </r>
  <r>
    <s v="PROD79"/>
    <s v="STORE16"/>
    <n v="1"/>
    <n v="650.47"/>
    <n v="0.13"/>
    <s v="PayPal"/>
    <n v="565.90890000000002"/>
    <n v="28335.325900000007"/>
    <n v="1011.9759250000003"/>
    <n v="8"/>
    <s v="Low Value"/>
    <s v="Jun-2024"/>
    <s v="Decorative Lamp Shade"/>
    <x v="3"/>
  </r>
  <r>
    <s v="PROD14"/>
    <s v="STORE12"/>
    <n v="1"/>
    <n v="68.209999999999994"/>
    <n v="0.05"/>
    <s v="PayPal"/>
    <n v="64.799499999999995"/>
    <n v="27769.417000000005"/>
    <n v="1028.496925925926"/>
    <n v="7"/>
    <s v="Low Value"/>
    <s v="Nov-2023"/>
    <s v="Decorative Wall Mirror"/>
    <x v="3"/>
  </r>
  <r>
    <s v="PROD53"/>
    <s v="STORE7"/>
    <n v="2"/>
    <n v="842.89"/>
    <n v="0.25"/>
    <s v="COD"/>
    <n v="1264.335"/>
    <n v="27704.617500000004"/>
    <n v="1065.5622115384617"/>
    <n v="6"/>
    <s v="High Value"/>
    <s v="Aug-2025"/>
    <s v="Men's Track Pants"/>
    <x v="4"/>
  </r>
  <r>
    <s v="PROD5"/>
    <s v="STORE4"/>
    <n v="2"/>
    <n v="227.95"/>
    <n v="0.24"/>
    <s v="COD"/>
    <n v="346.48399999999998"/>
    <n v="26440.282500000005"/>
    <n v="1057.6113000000003"/>
    <n v="6"/>
    <s v="Low Value"/>
    <s v="Apr-2024"/>
    <s v="Men's Leather Belt"/>
    <x v="4"/>
  </r>
  <r>
    <s v="PROD66"/>
    <s v="STORE12"/>
    <n v="3"/>
    <n v="685.97"/>
    <n v="0.24"/>
    <s v="PayPal"/>
    <n v="1564.0116"/>
    <n v="26093.798500000001"/>
    <n v="1087.2416041666668"/>
    <n v="6"/>
    <s v="High Value"/>
    <s v="Apr-2024"/>
    <s v="Women's Hair Dryer Brush"/>
    <x v="2"/>
  </r>
  <r>
    <s v="PROD29"/>
    <s v="STORE2"/>
    <n v="1"/>
    <n v="722.57"/>
    <n v="0.18"/>
    <s v="Credit Card"/>
    <n v="592.50740000000008"/>
    <n v="24529.786900000003"/>
    <n v="1066.5124739130436"/>
    <n v="5"/>
    <s v="Low Value"/>
    <s v="May-2025"/>
    <s v="Fabric Sofa Throw Blanket"/>
    <x v="3"/>
  </r>
  <r>
    <s v="PROD35"/>
    <s v="STORE5"/>
    <n v="3"/>
    <n v="585.54999999999995"/>
    <n v="0.14000000000000001"/>
    <s v="COD"/>
    <n v="1510.7190000000001"/>
    <n v="23937.279500000001"/>
    <n v="1088.0581590909092"/>
    <n v="5"/>
    <s v="High Value"/>
    <s v="Nov-2024"/>
    <s v="Bedroom Table Lamp"/>
    <x v="3"/>
  </r>
  <r>
    <s v="PROD46"/>
    <s v="STORE13"/>
    <n v="2"/>
    <n v="635.80999999999995"/>
    <n v="0.13"/>
    <s v="PayPal"/>
    <n v="1106.3094000000001"/>
    <n v="22426.560499999996"/>
    <n v="1067.9314523809521"/>
    <n v="5"/>
    <s v="High Value"/>
    <s v="Jan-2025"/>
    <s v="Men's Winter Jacket"/>
    <x v="4"/>
  </r>
  <r>
    <s v="PROD14"/>
    <s v="STORE4"/>
    <n v="2"/>
    <n v="353.74"/>
    <n v="0.01"/>
    <s v="Credit Card"/>
    <n v="700.40520000000004"/>
    <n v="21320.251099999998"/>
    <n v="1066.0125549999998"/>
    <n v="4"/>
    <s v="Low Value"/>
    <s v="Dec-2024"/>
    <s v="Decorative Wall Mirror"/>
    <x v="3"/>
  </r>
  <r>
    <s v="PROD36"/>
    <s v="STORE7"/>
    <n v="1"/>
    <n v="377.52"/>
    <n v="0.15"/>
    <s v="Credit Card"/>
    <n v="320.892"/>
    <n v="20619.845899999997"/>
    <n v="1085.2550473684209"/>
    <n v="4"/>
    <s v="Low Value"/>
    <s v="Dec-2024"/>
    <s v="Women's Summer Dress"/>
    <x v="4"/>
  </r>
  <r>
    <s v="PROD68"/>
    <s v="STORE2"/>
    <n v="3"/>
    <n v="901.49"/>
    <n v="0"/>
    <s v="Credit Card"/>
    <n v="2704.47"/>
    <n v="20298.953899999997"/>
    <n v="1127.719661111111"/>
    <n v="4"/>
    <s v="High Value"/>
    <s v="Jul-2024"/>
    <s v="Wooden Nightstand"/>
    <x v="3"/>
  </r>
  <r>
    <s v="PROD30"/>
    <s v="STORE5"/>
    <n v="1"/>
    <n v="563.01"/>
    <n v="0.1"/>
    <s v="Credit Card"/>
    <n v="506.709"/>
    <n v="17594.483899999999"/>
    <n v="1034.9696411764705"/>
    <n v="4"/>
    <s v="Low Value"/>
    <s v="May-2025"/>
    <s v="Stainless Steel Cutlery Set"/>
    <x v="3"/>
  </r>
  <r>
    <s v="PROD70"/>
    <s v="STORE6"/>
    <n v="4"/>
    <n v="167.25"/>
    <n v="0.11"/>
    <s v="Credit Card"/>
    <n v="595.41"/>
    <n v="17087.7749"/>
    <n v="1067.98593125"/>
    <n v="4"/>
    <s v="Low Value"/>
    <s v="Mar-2024"/>
    <s v="Kitchen Storage Rack"/>
    <x v="3"/>
  </r>
  <r>
    <s v="PROD60"/>
    <s v="STORE18"/>
    <n v="3"/>
    <n v="345.43"/>
    <n v="0.08"/>
    <s v="COD"/>
    <n v="953.38679999999999"/>
    <n v="16492.3649"/>
    <n v="1099.4909933333333"/>
    <n v="4"/>
    <s v="Low Value"/>
    <s v="Oct-2023"/>
    <s v="Luxury Perfume Spray"/>
    <x v="2"/>
  </r>
  <r>
    <s v="PROD82"/>
    <s v="STORE9"/>
    <n v="4"/>
    <n v="752.48"/>
    <n v="0.23"/>
    <s v="Credit Card"/>
    <n v="2317.6383999999998"/>
    <n v="15538.978099999998"/>
    <n v="1109.9270071428571"/>
    <n v="4"/>
    <s v="High Value"/>
    <s v="Feb-2024"/>
    <s v="Fitness Resistance Bands"/>
    <x v="0"/>
  </r>
  <r>
    <s v="PROD57"/>
    <s v="STORE19"/>
    <n v="1"/>
    <n v="120.02"/>
    <n v="0.26"/>
    <s v="Credit Card"/>
    <n v="88.814799999999991"/>
    <n v="13221.3397"/>
    <n v="1017.0261307692308"/>
    <n v="4"/>
    <s v="Low Value"/>
    <s v="Aug-2025"/>
    <s v="Foam Roller"/>
    <x v="0"/>
  </r>
  <r>
    <s v="PROD41"/>
    <s v="STORE8"/>
    <n v="3"/>
    <n v="146.71"/>
    <n v="0.28000000000000003"/>
    <s v="Credit Card"/>
    <n v="316.89359999999999"/>
    <n v="13132.5249"/>
    <n v="1094.3770750000001"/>
    <n v="4"/>
    <s v="Low Value"/>
    <s v="Mar-2024"/>
    <s v="Yoga Exercise Mat"/>
    <x v="0"/>
  </r>
  <r>
    <s v="PROD64"/>
    <s v="STORE0"/>
    <n v="2"/>
    <n v="358.87"/>
    <n v="0.24"/>
    <s v="Credit Card"/>
    <n v="545.48239999999998"/>
    <n v="12815.631299999999"/>
    <n v="1165.0573909090908"/>
    <n v="4"/>
    <s v="Low Value"/>
    <s v="Mar-2025"/>
    <s v="Matte Lipstick Set"/>
    <x v="2"/>
  </r>
  <r>
    <s v="PROD52"/>
    <s v="STORE3"/>
    <n v="4"/>
    <n v="212.75"/>
    <n v="0.11"/>
    <s v="COD"/>
    <n v="757.39"/>
    <n v="12270.1489"/>
    <n v="1227.0148899999999"/>
    <n v="4"/>
    <s v="Low Value"/>
    <s v="Jun-2024"/>
    <s v="Rugby Ball"/>
    <x v="0"/>
  </r>
  <r>
    <s v="PROD45"/>
    <s v="STORE11"/>
    <n v="1"/>
    <n v="183.47"/>
    <n v="0.17"/>
    <s v="PayPal"/>
    <n v="152.2801"/>
    <n v="11512.758900000001"/>
    <n v="1279.1954333333333"/>
    <n v="4"/>
    <s v="Low Value"/>
    <s v="Jun-2024"/>
    <s v="High-Grip Football"/>
    <x v="0"/>
  </r>
  <r>
    <s v="PROD89"/>
    <s v="STORE15"/>
    <n v="4"/>
    <n v="569.98"/>
    <n v="0.23"/>
    <s v="Credit Card"/>
    <n v="1755.5383999999999"/>
    <n v="11360.478800000001"/>
    <n v="1420.0598500000001"/>
    <n v="3"/>
    <s v="High Value"/>
    <s v="Jul-2024"/>
    <s v="Face Foundation Kit"/>
    <x v="2"/>
  </r>
  <r>
    <s v="PROD21"/>
    <s v="STORE12"/>
    <n v="3"/>
    <n v="984.12"/>
    <n v="0.27"/>
    <s v="Credit Card"/>
    <n v="2155.2228"/>
    <n v="9604.9403999999995"/>
    <n v="1372.1343428571429"/>
    <n v="3"/>
    <s v="High Value"/>
    <s v="Dec-2023"/>
    <s v="Multi-Purpose Storage Box"/>
    <x v="3"/>
  </r>
  <r>
    <s v="PROD84"/>
    <s v="STORE8"/>
    <n v="1"/>
    <n v="905.23"/>
    <n v="0"/>
    <s v="Credit Card"/>
    <n v="905.23"/>
    <n v="7449.717599999999"/>
    <n v="1241.6195999999998"/>
    <n v="3"/>
    <s v="Low Value"/>
    <s v="Jul-2025"/>
    <s v="Wooden Bookshelf"/>
    <x v="3"/>
  </r>
  <r>
    <s v="PROD99"/>
    <s v="STORE19"/>
    <n v="3"/>
    <n v="112.77"/>
    <n v="0.19"/>
    <s v="Credit Card"/>
    <n v="274.03109999999998"/>
    <n v="6544.4875999999995"/>
    <n v="1308.89752"/>
    <n v="3"/>
    <s v="Low Value"/>
    <s v="Dec-2023"/>
    <s v="Stainless Steel Cookware Set"/>
    <x v="3"/>
  </r>
  <r>
    <s v="PROD35"/>
    <s v="STORE8"/>
    <n v="3"/>
    <n v="875.99"/>
    <n v="0.09"/>
    <s v="PayPal"/>
    <n v="2391.4526999999998"/>
    <n v="6270.4564999999993"/>
    <n v="1567.6141249999998"/>
    <n v="3"/>
    <s v="High Value"/>
    <s v="Apr-2025"/>
    <s v="Bedroom Table Lamp"/>
    <x v="3"/>
  </r>
  <r>
    <s v="PROD89"/>
    <s v="STORE10"/>
    <n v="2"/>
    <n v="685.31"/>
    <n v="0.26"/>
    <s v="PayPal"/>
    <n v="1014.2588"/>
    <n v="3879.0038000000004"/>
    <n v="1293.0012666666669"/>
    <n v="2"/>
    <s v="High Value"/>
    <s v="Jun-2024"/>
    <s v="Face Foundation Kit"/>
    <x v="2"/>
  </r>
  <r>
    <s v="PROD61"/>
    <s v="STORE11"/>
    <n v="3"/>
    <n v="945.37"/>
    <n v="0.05"/>
    <s v="Credit Card"/>
    <n v="2694.3045000000002"/>
    <n v="2864.7450000000003"/>
    <n v="1432.3725000000002"/>
    <n v="1"/>
    <s v="High Value"/>
    <s v="Nov-2024"/>
    <s v="Tennis Ball 3-Pack"/>
    <x v="0"/>
  </r>
  <r>
    <s v="PROD76"/>
    <s v="STORE19"/>
    <n v="3"/>
    <n v="68.45"/>
    <n v="0.17"/>
    <s v="PayPal"/>
    <n v="170.44049999999999"/>
    <n v="170.44049999999999"/>
    <n v="170.44049999999999"/>
    <n v="1"/>
    <s v="Low Value"/>
    <s v="Dec-2023"/>
    <s v="Wireless Mouse"/>
    <x v="1"/>
  </r>
  <r>
    <m/>
    <m/>
    <m/>
    <m/>
    <m/>
    <m/>
    <m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CUST1000"/>
    <s v="Sheena Bonilla"/>
    <n v="55"/>
    <x v="0"/>
    <s v="Donaldton"/>
    <s v="North Carolina"/>
    <s v="USA"/>
    <s v="Unknown"/>
  </r>
  <r>
    <s v="CUST1001"/>
    <s v="Eugene Nelson"/>
    <n v="26"/>
    <x v="1"/>
    <s v="Phillipsmouth"/>
    <s v="North Dakota"/>
    <s v="USA"/>
    <s v="Platinum"/>
  </r>
  <r>
    <s v="CUST1002"/>
    <s v="Dr. Benjamin Price"/>
    <n v="29"/>
    <x v="1"/>
    <s v="Kylebury"/>
    <s v="Alabama"/>
    <s v="USA"/>
    <s v="Platinum"/>
  </r>
  <r>
    <s v="CUST1003"/>
    <s v="Jeremy Harris"/>
    <n v="59"/>
    <x v="1"/>
    <s v="Thomastown"/>
    <s v="Ohio"/>
    <s v="USA"/>
    <s v="Bronze"/>
  </r>
  <r>
    <s v="CUST1004"/>
    <s v="Caroline Collins"/>
    <n v="64"/>
    <x v="1"/>
    <s v="Nicholasshire"/>
    <s v="California"/>
    <s v="USA"/>
    <s v="Silver"/>
  </r>
  <r>
    <s v="CUST1005"/>
    <s v="Christine Vaughn"/>
    <n v="24"/>
    <x v="0"/>
    <s v="East Amandamouth"/>
    <s v="Oregon"/>
    <s v="USA"/>
    <s v="Bronze"/>
  </r>
  <r>
    <s v="CUST1006"/>
    <s v="Amber Jackson"/>
    <n v="29"/>
    <x v="1"/>
    <s v="Deborahborough"/>
    <s v="South Dakota"/>
    <s v="USA"/>
    <s v="Platinum"/>
  </r>
  <r>
    <s v="CUST1007"/>
    <s v="Daniel Boyd"/>
    <n v="29"/>
    <x v="1"/>
    <s v="West Pamelafurt"/>
    <s v="West Virginia"/>
    <s v="USA"/>
    <s v="Bronze"/>
  </r>
  <r>
    <s v="CUST1008"/>
    <s v="Melissa Howard"/>
    <n v="53"/>
    <x v="1"/>
    <s v="Maynardton"/>
    <s v="New Hampshire"/>
    <s v="USA"/>
    <s v="Gold"/>
  </r>
  <r>
    <s v="CUST1009"/>
    <s v="Ms. Maria Leach"/>
    <n v="64"/>
    <x v="0"/>
    <s v="Melissashire"/>
    <s v="Pennsylvania"/>
    <s v="USA"/>
    <s v="Platinum"/>
  </r>
  <r>
    <s v="CUST1010"/>
    <s v="Dominic Page"/>
    <n v="53"/>
    <x v="0"/>
    <s v="Port Michaelburgh"/>
    <s v="Pennsylvania"/>
    <s v="USA"/>
    <s v="Bronze"/>
  </r>
  <r>
    <s v="CUST1011"/>
    <s v="Brian Lopez"/>
    <n v="28"/>
    <x v="1"/>
    <s v="East Krista"/>
    <s v="New York"/>
    <s v="USA"/>
    <s v="Gold"/>
  </r>
  <r>
    <s v="CUST1012"/>
    <s v="Kenneth Lambert"/>
    <n v="55"/>
    <x v="1"/>
    <s v="North Kathryn"/>
    <s v="Kansas"/>
    <s v="USA"/>
    <s v="Platinum"/>
  </r>
  <r>
    <s v="CUST1013"/>
    <s v="Nathan Hernandez"/>
    <n v="32"/>
    <x v="1"/>
    <s v="New Becky"/>
    <s v="Montana"/>
    <s v="USA"/>
    <s v="Silver"/>
  </r>
  <r>
    <s v="CUST1014"/>
    <s v="Ashley Cohen"/>
    <n v="53"/>
    <x v="1"/>
    <s v="Lake Kristamouth"/>
    <s v="Nebraska"/>
    <s v="USA"/>
    <s v="Silver"/>
  </r>
  <r>
    <s v="CUST1015"/>
    <s v="Laura Alvarez"/>
    <n v="49"/>
    <x v="1"/>
    <s v="Lawsonhaven"/>
    <s v="Washington"/>
    <s v="USA"/>
    <s v="Platinum"/>
  </r>
  <r>
    <s v="CUST1016"/>
    <s v="John Scott"/>
    <n v="24"/>
    <x v="1"/>
    <s v="South Christopher"/>
    <s v="Pennsylvania"/>
    <s v="USA"/>
    <s v="Bronze"/>
  </r>
  <r>
    <s v="CUST1017"/>
    <s v="Adam Cruz"/>
    <n v="60"/>
    <x v="1"/>
    <s v="Brandonville"/>
    <s v="Georgia"/>
    <s v="USA"/>
    <s v="Platinum"/>
  </r>
  <r>
    <s v="CUST1018"/>
    <s v="Rhonda Moss"/>
    <n v="43"/>
    <x v="0"/>
    <s v="South William"/>
    <s v="Kansas"/>
    <s v="USA"/>
    <s v="Unknown"/>
  </r>
  <r>
    <s v="CUST1019"/>
    <s v="Michael Torres"/>
    <n v="46"/>
    <x v="1"/>
    <s v="Gonzalezfort"/>
    <s v="New Jersey"/>
    <s v="USA"/>
    <s v="Platinum"/>
  </r>
  <r>
    <s v="CUST1020"/>
    <s v="Bridget Allen"/>
    <n v="59"/>
    <x v="0"/>
    <s v="Lake Shaneburgh"/>
    <s v="Delaware"/>
    <s v="USA"/>
    <s v="Silver"/>
  </r>
  <r>
    <s v="CUST1021"/>
    <s v="Jeff Martinez"/>
    <n v="36"/>
    <x v="1"/>
    <s v="Smithburgh"/>
    <s v="Oklahoma"/>
    <s v="USA"/>
    <s v="Gold"/>
  </r>
  <r>
    <s v="CUST1022"/>
    <s v="Paul Fox"/>
    <n v="33"/>
    <x v="1"/>
    <s v="Michaelton"/>
    <s v="Hawaii"/>
    <s v="USA"/>
    <s v="Silver"/>
  </r>
  <r>
    <s v="CUST1023"/>
    <s v="Jonathan Steele"/>
    <n v="52"/>
    <x v="1"/>
    <s v="Molinabury"/>
    <s v="Oregon"/>
    <s v="USA"/>
    <s v="Silver"/>
  </r>
  <r>
    <s v="CUST1024"/>
    <s v="Heather Collins"/>
    <n v="40"/>
    <x v="0"/>
    <s v="Rogerschester"/>
    <s v="Idaho"/>
    <s v="USA"/>
    <s v="Platinum"/>
  </r>
  <r>
    <s v="CUST1025"/>
    <s v="Diana Taylor"/>
    <n v="59"/>
    <x v="1"/>
    <s v="Vasqueztown"/>
    <s v="California"/>
    <s v="USA"/>
    <s v="Bronze"/>
  </r>
  <r>
    <s v="CUST1026"/>
    <s v="Amber Carlson"/>
    <n v="18"/>
    <x v="1"/>
    <s v="East Michellemouth"/>
    <s v="Missouri"/>
    <s v="USA"/>
    <s v="Gold"/>
  </r>
  <r>
    <s v="CUST1027"/>
    <s v="Leslie Johnson"/>
    <n v="31"/>
    <x v="0"/>
    <s v="Mollyshire"/>
    <s v="Utah"/>
    <s v="USA"/>
    <s v="Unknown"/>
  </r>
  <r>
    <s v="CUST1028"/>
    <s v="Joshua Ryan"/>
    <n v="27"/>
    <x v="1"/>
    <s v="New David"/>
    <s v="New Jersey"/>
    <s v="USA"/>
    <s v="Platinum"/>
  </r>
  <r>
    <s v="CUST1029"/>
    <s v="David Arnold"/>
    <n v="54"/>
    <x v="1"/>
    <s v="East Jennifer"/>
    <s v="California"/>
    <s v="USA"/>
    <s v="Silver"/>
  </r>
  <r>
    <s v="CUST1030"/>
    <s v="Jessica Acevedo"/>
    <n v="64"/>
    <x v="1"/>
    <s v="Amybury"/>
    <s v="Pennsylvania"/>
    <s v="USA"/>
    <s v="Bronze"/>
  </r>
  <r>
    <s v="CUST1031"/>
    <s v="Sarah Vance"/>
    <n v="41"/>
    <x v="0"/>
    <s v="Johnsonville"/>
    <s v="Oregon"/>
    <s v="USA"/>
    <s v="Silver"/>
  </r>
  <r>
    <s v="CUST1032"/>
    <s v="Mike Jennings"/>
    <n v="48"/>
    <x v="1"/>
    <s v="Fostermouth"/>
    <s v="Arizona"/>
    <s v="USA"/>
    <s v="Gold"/>
  </r>
  <r>
    <s v="CUST1033"/>
    <s v="Robert Jones Dds"/>
    <n v="25"/>
    <x v="0"/>
    <s v="Tristanton"/>
    <s v="Oklahoma"/>
    <s v="USA"/>
    <s v="Platinum"/>
  </r>
  <r>
    <s v="CUST1034"/>
    <s v="Christopher Olson"/>
    <n v="27"/>
    <x v="1"/>
    <s v="West Richard"/>
    <s v="Maryland"/>
    <s v="USA"/>
    <s v="Platinum"/>
  </r>
  <r>
    <s v="CUST1035"/>
    <s v="Rachel Myers"/>
    <n v="52"/>
    <x v="0"/>
    <s v="Robertberg"/>
    <s v="North Dakota"/>
    <s v="USA"/>
    <s v="Silver"/>
  </r>
  <r>
    <s v="CUST1036"/>
    <s v="Thomas Phillips"/>
    <n v="20"/>
    <x v="1"/>
    <s v="Luisfurt"/>
    <s v="Georgia"/>
    <s v="USA"/>
    <s v="Gold"/>
  </r>
  <r>
    <s v="CUST1037"/>
    <s v="Christopher Carter"/>
    <n v="27"/>
    <x v="1"/>
    <s v="Brendastad"/>
    <s v="South Dakota"/>
    <s v="USA"/>
    <s v="Unknown"/>
  </r>
  <r>
    <s v="CUST1038"/>
    <s v="Deanna Simpson"/>
    <n v="35"/>
    <x v="1"/>
    <s v="Brownport"/>
    <s v="North Dakota"/>
    <s v="USA"/>
    <s v="Bronze"/>
  </r>
  <r>
    <s v="CUST1039"/>
    <s v="Tonya Reynolds"/>
    <n v="55"/>
    <x v="1"/>
    <s v="Darleneton"/>
    <s v="Michigan"/>
    <s v="USA"/>
    <s v="Gold"/>
  </r>
  <r>
    <s v="CUST1040"/>
    <s v="Eric Vega"/>
    <n v="50"/>
    <x v="0"/>
    <s v="Williamsonland"/>
    <s v="Kansas"/>
    <s v="USA"/>
    <s v="Gold"/>
  </r>
  <r>
    <s v="CUST1041"/>
    <s v="James Gibbs"/>
    <n v="21"/>
    <x v="0"/>
    <s v="Mooneyshire"/>
    <s v="Alaska"/>
    <s v="USA"/>
    <s v="Platinum"/>
  </r>
  <r>
    <s v="CUST1042"/>
    <s v="William Martin"/>
    <n v="19"/>
    <x v="0"/>
    <s v="Ryanburgh"/>
    <s v="Connecticut"/>
    <s v="USA"/>
    <s v="Platinum"/>
  </r>
  <r>
    <s v="CUST1043"/>
    <s v="Joseph Snow"/>
    <n v="45"/>
    <x v="0"/>
    <s v="South Michaelfort"/>
    <s v="Vermont"/>
    <s v="USA"/>
    <s v="Gold"/>
  </r>
  <r>
    <s v="CUST1044"/>
    <s v="Denise Williams"/>
    <n v="34"/>
    <x v="0"/>
    <s v="Christianstad"/>
    <s v="Hawaii"/>
    <s v="USA"/>
    <s v="Bronze"/>
  </r>
  <r>
    <s v="CUST1045"/>
    <s v="Jordan Jackson Dds"/>
    <n v="54"/>
    <x v="0"/>
    <s v="North Johnview"/>
    <s v="Arizona"/>
    <s v="USA"/>
    <s v="Gold"/>
  </r>
  <r>
    <s v="CUST1046"/>
    <s v="Michelle Garcia Dds"/>
    <n v="55"/>
    <x v="1"/>
    <s v="Perezbury"/>
    <s v="Ohio"/>
    <s v="USA"/>
    <s v="Platinum"/>
  </r>
  <r>
    <s v="CUST1047"/>
    <s v="Gina Knight"/>
    <n v="54"/>
    <x v="1"/>
    <s v="Lake Roberthaven"/>
    <s v="Nevada"/>
    <s v="USA"/>
    <s v="Silver"/>
  </r>
  <r>
    <s v="CUST1048"/>
    <s v="April Mullins"/>
    <n v="54"/>
    <x v="0"/>
    <s v="Dawsonbury"/>
    <s v="North Carolina"/>
    <s v="USA"/>
    <s v="Platinum"/>
  </r>
  <r>
    <s v="CUST1049"/>
    <s v="Timothy Weaver"/>
    <n v="45"/>
    <x v="1"/>
    <s v="New Amy"/>
    <s v="Ohio"/>
    <s v="USA"/>
    <s v="Gold"/>
  </r>
  <r>
    <s v="CUST1050"/>
    <s v="Matthew Hunter Jr."/>
    <n v="61"/>
    <x v="1"/>
    <s v="Gregoryview"/>
    <s v="Illinois"/>
    <s v="USA"/>
    <s v="Gold"/>
  </r>
  <r>
    <s v="CUST1051"/>
    <s v="Sarah Rodgers"/>
    <n v="23"/>
    <x v="1"/>
    <s v="New Julia"/>
    <s v="West Virginia"/>
    <s v="USA"/>
    <s v="Gold"/>
  </r>
  <r>
    <s v="CUST1052"/>
    <s v="Debra Liu"/>
    <n v="55"/>
    <x v="0"/>
    <s v="South Timtown"/>
    <s v="Minnesota"/>
    <s v="USA"/>
    <s v="Bronze"/>
  </r>
  <r>
    <s v="CUST1053"/>
    <s v="Sharon Brown"/>
    <n v="37"/>
    <x v="1"/>
    <s v="East Andrea"/>
    <s v="Michigan"/>
    <s v="USA"/>
    <s v="Gold"/>
  </r>
  <r>
    <s v="CUST1054"/>
    <s v="Katherine Dorsey"/>
    <n v="24"/>
    <x v="0"/>
    <s v="Christopherland"/>
    <s v="Oklahoma"/>
    <s v="USA"/>
    <s v="Platinum"/>
  </r>
  <r>
    <s v="CUST1055"/>
    <s v="Wayne Mcpherson"/>
    <n v="56"/>
    <x v="1"/>
    <s v="Edwardsfort"/>
    <s v="Minnesota"/>
    <s v="USA"/>
    <s v="Bronze"/>
  </r>
  <r>
    <s v="CUST1056"/>
    <s v="Christopher Sutton"/>
    <n v="49"/>
    <x v="1"/>
    <s v="Deborahberg"/>
    <s v="Pennsylvania"/>
    <s v="USA"/>
    <s v="Gold"/>
  </r>
  <r>
    <s v="CUST1057"/>
    <s v="Jay Patel"/>
    <n v="43"/>
    <x v="1"/>
    <s v="Morrisbury"/>
    <s v="Rhode Island"/>
    <s v="USA"/>
    <s v="Platinum"/>
  </r>
  <r>
    <s v="CUST1058"/>
    <s v="Cheryl Copeland"/>
    <n v="51"/>
    <x v="0"/>
    <s v="Snowmouth"/>
    <s v="Maryland"/>
    <s v="USA"/>
    <s v="Platinum"/>
  </r>
  <r>
    <s v="CUST1059"/>
    <s v="Alyssa Vargas"/>
    <n v="53"/>
    <x v="0"/>
    <s v="New Kathrynland"/>
    <s v="Montana"/>
    <s v="USA"/>
    <s v="Platinum"/>
  </r>
  <r>
    <s v="CUST1060"/>
    <s v="Dr. David Smith"/>
    <n v="22"/>
    <x v="1"/>
    <s v="Schmidtchester"/>
    <s v="Alaska"/>
    <s v="USA"/>
    <s v="Silver"/>
  </r>
  <r>
    <s v="CUST1061"/>
    <s v="Kristin Stein"/>
    <n v="23"/>
    <x v="0"/>
    <s v="Jennifermouth"/>
    <s v="Missouri"/>
    <s v="USA"/>
    <s v="Silver"/>
  </r>
  <r>
    <s v="CUST1062"/>
    <s v="James Bean"/>
    <n v="50"/>
    <x v="0"/>
    <s v="Stevensonton"/>
    <s v="New Mexico"/>
    <s v="USA"/>
    <s v="Bronze"/>
  </r>
  <r>
    <s v="CUST1063"/>
    <s v="Michael Daniel"/>
    <n v="51"/>
    <x v="0"/>
    <s v="New Jesse"/>
    <s v="Tennessee"/>
    <s v="USA"/>
    <s v="Platinum"/>
  </r>
  <r>
    <s v="CUST1064"/>
    <s v="Mr. Mason Butler"/>
    <n v="33"/>
    <x v="0"/>
    <s v="Port Kathrynhaven"/>
    <s v="Arizona"/>
    <s v="USA"/>
    <s v="Gold"/>
  </r>
  <r>
    <s v="CUST1065"/>
    <s v="Michael Thomas"/>
    <n v="21"/>
    <x v="1"/>
    <s v="Woodmouth"/>
    <s v="Nevada"/>
    <s v="USA"/>
    <s v="Silver"/>
  </r>
  <r>
    <s v="CUST1066"/>
    <s v="Cody Diaz"/>
    <n v="27"/>
    <x v="1"/>
    <s v="South Aaronside"/>
    <s v="New Hampshire"/>
    <s v="USA"/>
    <s v="Silver"/>
  </r>
  <r>
    <s v="CUST1067"/>
    <s v="Amber Mcclain"/>
    <n v="58"/>
    <x v="0"/>
    <s v="Brendaburgh"/>
    <s v="Florida"/>
    <s v="USA"/>
    <s v="Silver"/>
  </r>
  <r>
    <s v="CUST1068"/>
    <s v="Mr. Mark Beasley"/>
    <n v="24"/>
    <x v="1"/>
    <s v="West Johnchester"/>
    <s v="Indiana"/>
    <s v="USA"/>
    <s v="Silver"/>
  </r>
  <r>
    <s v="CUST1069"/>
    <s v="Roy Cole"/>
    <n v="24"/>
    <x v="1"/>
    <s v="North Cynthiatown"/>
    <s v="New Jersey"/>
    <s v="USA"/>
    <s v="Platinum"/>
  </r>
  <r>
    <s v="CUST1070"/>
    <s v="Eric Singh"/>
    <n v="29"/>
    <x v="1"/>
    <s v="Port Lisa"/>
    <s v="New Mexico"/>
    <s v="USA"/>
    <s v="Gold"/>
  </r>
  <r>
    <s v="CUST1071"/>
    <s v="Andrea Perez"/>
    <n v="61"/>
    <x v="1"/>
    <s v="South Shaun"/>
    <s v="New Mexico"/>
    <s v="USA"/>
    <s v="Gold"/>
  </r>
  <r>
    <s v="CUST1072"/>
    <s v="Tonya Burch"/>
    <n v="39"/>
    <x v="1"/>
    <s v="Olsonhaven"/>
    <s v="Iowa"/>
    <s v="USA"/>
    <s v="Gold"/>
  </r>
  <r>
    <s v="CUST1073"/>
    <s v="Christopher Brown"/>
    <n v="56"/>
    <x v="1"/>
    <s v="Sandrastad"/>
    <s v="West Virginia"/>
    <s v="USA"/>
    <s v="Silver"/>
  </r>
  <r>
    <s v="CUST1074"/>
    <s v="John Mayer"/>
    <n v="58"/>
    <x v="0"/>
    <s v="Longport"/>
    <s v="Colorado"/>
    <s v="USA"/>
    <s v="Bronze"/>
  </r>
  <r>
    <s v="CUST1075"/>
    <s v="Rhonda Morales"/>
    <n v="61"/>
    <x v="1"/>
    <s v="Lake Barryfurt"/>
    <s v="California"/>
    <s v="USA"/>
    <s v="Gold"/>
  </r>
  <r>
    <s v="CUST1076"/>
    <s v="Nathan Campbell"/>
    <n v="37"/>
    <x v="0"/>
    <s v="Rodrigueztown"/>
    <s v="Oklahoma"/>
    <s v="USA"/>
    <s v="Gold"/>
  </r>
  <r>
    <s v="CUST1077"/>
    <s v="Katherine Young"/>
    <n v="29"/>
    <x v="0"/>
    <s v="North Valeriemouth"/>
    <s v="Vermont"/>
    <s v="USA"/>
    <s v="Gold"/>
  </r>
  <r>
    <s v="CUST1078"/>
    <s v="Cody Blake"/>
    <n v="21"/>
    <x v="0"/>
    <s v="North Scottport"/>
    <s v="Virginia"/>
    <s v="USA"/>
    <s v="Gold"/>
  </r>
  <r>
    <s v="CUST1079"/>
    <s v="Molly Gardner"/>
    <n v="22"/>
    <x v="1"/>
    <s v="Nicoleborough"/>
    <s v="Arkansas"/>
    <s v="USA"/>
    <s v="Platinum"/>
  </r>
  <r>
    <s v="CUST1080"/>
    <s v="Jennifer Garcia"/>
    <n v="61"/>
    <x v="1"/>
    <s v="New Sean"/>
    <s v="New Mexico"/>
    <s v="USA"/>
    <s v="Bronze"/>
  </r>
  <r>
    <s v="CUST1081"/>
    <s v="Krystal Ford"/>
    <n v="34"/>
    <x v="1"/>
    <s v="South David"/>
    <s v="Arizona"/>
    <s v="USA"/>
    <s v="Platinum"/>
  </r>
  <r>
    <s v="CUST1082"/>
    <s v="George Rosario"/>
    <n v="53"/>
    <x v="0"/>
    <s v="Leburgh"/>
    <s v="Florida"/>
    <s v="USA"/>
    <s v="Bronze"/>
  </r>
  <r>
    <s v="CUST1083"/>
    <s v="Thomas Robinson"/>
    <n v="48"/>
    <x v="1"/>
    <s v="Nicholastown"/>
    <s v="Georgia"/>
    <s v="USA"/>
    <s v="Bronze"/>
  </r>
  <r>
    <s v="CUST1084"/>
    <s v="Christy Hoffman"/>
    <n v="26"/>
    <x v="1"/>
    <s v="Garyberg"/>
    <s v="Indiana"/>
    <s v="USA"/>
    <s v="Platinum"/>
  </r>
  <r>
    <s v="CUST1085"/>
    <s v="Richard Delgado"/>
    <n v="36"/>
    <x v="0"/>
    <s v="West Theodorechester"/>
    <s v="Pennsylvania"/>
    <s v="USA"/>
    <s v="Silver"/>
  </r>
  <r>
    <s v="CUST1086"/>
    <s v="Tammy Miller Md"/>
    <n v="19"/>
    <x v="1"/>
    <s v="Austinfurt"/>
    <s v="Mississippi"/>
    <s v="USA"/>
    <s v="Gold"/>
  </r>
  <r>
    <s v="CUST1087"/>
    <s v="Melissa Duffy Md"/>
    <n v="58"/>
    <x v="1"/>
    <s v="East Jenna"/>
    <s v="South Carolina"/>
    <s v="USA"/>
    <s v="Bronze"/>
  </r>
  <r>
    <s v="CUST1088"/>
    <s v="Timothy Wright"/>
    <n v="58"/>
    <x v="0"/>
    <s v="Ashleystad"/>
    <s v="Arkansas"/>
    <s v="USA"/>
    <s v="Silver"/>
  </r>
  <r>
    <s v="CUST1089"/>
    <s v="Jamie Yoder"/>
    <n v="43"/>
    <x v="0"/>
    <s v="New Gabrielleville"/>
    <s v="Wisconsin"/>
    <s v="USA"/>
    <s v="Platinum"/>
  </r>
  <r>
    <s v="CUST1090"/>
    <s v="Oscar Moon"/>
    <n v="58"/>
    <x v="1"/>
    <s v="West Cody"/>
    <s v="Louisiana"/>
    <s v="USA"/>
    <s v="Platinum"/>
  </r>
  <r>
    <s v="CUST1091"/>
    <s v="Donna Gregory"/>
    <n v="29"/>
    <x v="1"/>
    <s v="South Amandahaven"/>
    <s v="Arizona"/>
    <s v="USA"/>
    <s v="Silver"/>
  </r>
  <r>
    <s v="CUST1092"/>
    <s v="Robert Jackson"/>
    <n v="44"/>
    <x v="1"/>
    <s v="Lake Brandy"/>
    <s v="Tennessee"/>
    <s v="USA"/>
    <s v="Platinum"/>
  </r>
  <r>
    <s v="CUST1093"/>
    <s v="Christy Vasquez"/>
    <n v="28"/>
    <x v="1"/>
    <s v="Port Travisstad"/>
    <s v="South Carolina"/>
    <s v="USA"/>
    <s v="Gold"/>
  </r>
  <r>
    <s v="CUST1094"/>
    <s v="David Patterson"/>
    <n v="43"/>
    <x v="1"/>
    <s v="New Amyport"/>
    <s v="Nevada"/>
    <s v="USA"/>
    <s v="Gold"/>
  </r>
  <r>
    <s v="CUST1095"/>
    <s v="Amy Fowler"/>
    <n v="62"/>
    <x v="1"/>
    <s v="West Bobbyshire"/>
    <s v="New York"/>
    <s v="USA"/>
    <s v="Platinum"/>
  </r>
  <r>
    <s v="CUST1096"/>
    <s v="Samantha Walker"/>
    <n v="30"/>
    <x v="1"/>
    <s v="Timothyburgh"/>
    <s v="Louisiana"/>
    <s v="USA"/>
    <s v="Platinum"/>
  </r>
  <r>
    <s v="CUST1097"/>
    <s v="David Cobb"/>
    <n v="36"/>
    <x v="0"/>
    <s v="Lake Thomas"/>
    <s v="South Dakota"/>
    <s v="USA"/>
    <s v="Silver"/>
  </r>
  <r>
    <s v="CUST1098"/>
    <s v="Brittney Morgan"/>
    <n v="24"/>
    <x v="0"/>
    <s v="Lake Kaylahaven"/>
    <s v="Alaska"/>
    <s v="USA"/>
    <s v="Gold"/>
  </r>
  <r>
    <s v="CUST1099"/>
    <s v="Sheila Wilson"/>
    <n v="35"/>
    <x v="0"/>
    <s v="South Dustin"/>
    <s v="Tennessee"/>
    <s v="USA"/>
    <s v="Silver"/>
  </r>
  <r>
    <s v="CUST1100"/>
    <s v="Diane Watson"/>
    <n v="53"/>
    <x v="1"/>
    <s v="North Codyport"/>
    <s v="Texas"/>
    <s v="USA"/>
    <s v="Platinum"/>
  </r>
  <r>
    <s v="CUST1101"/>
    <s v="Colleen Maynard"/>
    <n v="29"/>
    <x v="0"/>
    <s v="Singletonmouth"/>
    <s v="Utah"/>
    <s v="USA"/>
    <s v="Gold"/>
  </r>
  <r>
    <s v="CUST1102"/>
    <s v="Sarah Schneider"/>
    <n v="34"/>
    <x v="1"/>
    <s v="Port Joshuachester"/>
    <s v="Pennsylvania"/>
    <s v="USA"/>
    <s v="Bronze"/>
  </r>
  <r>
    <s v="CUST1103"/>
    <s v="Steven Stein"/>
    <n v="21"/>
    <x v="0"/>
    <s v="West Lauren"/>
    <s v="Connecticut"/>
    <s v="USA"/>
    <s v="Bronze"/>
  </r>
  <r>
    <s v="CUST1104"/>
    <s v="Christopher Lester"/>
    <n v="64"/>
    <x v="0"/>
    <s v="South Jenniferville"/>
    <s v="Georgia"/>
    <s v="USA"/>
    <s v="Silver"/>
  </r>
  <r>
    <s v="CUST1105"/>
    <s v="Lance Baker"/>
    <n v="50"/>
    <x v="1"/>
    <s v="Port Victoria"/>
    <s v="Florida"/>
    <s v="USA"/>
    <s v="Gold"/>
  </r>
  <r>
    <s v="CUST1106"/>
    <s v="Howard Summers"/>
    <n v="53"/>
    <x v="1"/>
    <s v="East Linda"/>
    <s v="Rhode Island"/>
    <s v="USA"/>
    <s v="Bronze"/>
  </r>
  <r>
    <s v="CUST1107"/>
    <s v="Erica Carney"/>
    <n v="62"/>
    <x v="1"/>
    <s v="North Justin"/>
    <s v="North Dakota"/>
    <s v="USA"/>
    <s v="Platinum"/>
  </r>
  <r>
    <s v="CUST1108"/>
    <s v="Travis Holland"/>
    <n v="38"/>
    <x v="0"/>
    <s v="Webstermouth"/>
    <s v="New Hampshire"/>
    <s v="USA"/>
    <s v="Bronze"/>
  </r>
  <r>
    <s v="CUST1109"/>
    <s v="Amy Walker"/>
    <n v="27"/>
    <x v="0"/>
    <s v="Smithland"/>
    <s v="West Virginia"/>
    <s v="USA"/>
    <s v="Silver"/>
  </r>
  <r>
    <s v="CUST1110"/>
    <s v="Ashley Griffin"/>
    <n v="40"/>
    <x v="1"/>
    <s v="New Dawnton"/>
    <s v="Maryland"/>
    <s v="USA"/>
    <s v="Gold"/>
  </r>
  <r>
    <s v="CUST1111"/>
    <s v="Julie Farmer"/>
    <n v="18"/>
    <x v="1"/>
    <s v="Rodriguezmouth"/>
    <s v="Arizona"/>
    <s v="USA"/>
    <s v="Platinum"/>
  </r>
  <r>
    <s v="CUST1112"/>
    <s v="David Cole"/>
    <n v="27"/>
    <x v="1"/>
    <s v="Lake Michael"/>
    <s v="Michigan"/>
    <s v="USA"/>
    <s v="Silver"/>
  </r>
  <r>
    <s v="CUST1113"/>
    <s v="Edward Hall"/>
    <n v="51"/>
    <x v="0"/>
    <s v="New William"/>
    <s v="New Mexico"/>
    <s v="USA"/>
    <s v="Gold"/>
  </r>
  <r>
    <s v="CUST1114"/>
    <s v="Ryan Hernandez"/>
    <n v="30"/>
    <x v="0"/>
    <s v="East Donna"/>
    <s v="Nevada"/>
    <s v="USA"/>
    <s v="Bronze"/>
  </r>
  <r>
    <s v="CUST1115"/>
    <s v="Tyler Conrad"/>
    <n v="53"/>
    <x v="1"/>
    <s v="North Curtischester"/>
    <s v="North Dakota"/>
    <s v="USA"/>
    <s v="Platinum"/>
  </r>
  <r>
    <s v="CUST1116"/>
    <s v="Anthony Phillips"/>
    <n v="18"/>
    <x v="1"/>
    <s v="North Davidport"/>
    <s v="Rhode Island"/>
    <s v="USA"/>
    <s v="Platinum"/>
  </r>
  <r>
    <s v="CUST1117"/>
    <s v="Colleen Mccarthy"/>
    <n v="21"/>
    <x v="1"/>
    <s v="North Katherine"/>
    <s v="Washington"/>
    <s v="USA"/>
    <s v="Platinum"/>
  </r>
  <r>
    <s v="CUST1118"/>
    <s v="Earl Allen"/>
    <n v="36"/>
    <x v="0"/>
    <s v="New Jenniferburgh"/>
    <s v="Nebraska"/>
    <s v="USA"/>
    <s v="Platinum"/>
  </r>
  <r>
    <s v="CUST1119"/>
    <s v="Michael Jones"/>
    <n v="40"/>
    <x v="0"/>
    <s v="North Edwardton"/>
    <s v="Tennessee"/>
    <s v="USA"/>
    <s v="Bronze"/>
  </r>
  <r>
    <s v="CUST1120"/>
    <s v="Jacob Hopkins"/>
    <n v="44"/>
    <x v="1"/>
    <s v="lake tylerfort"/>
    <s v="Pennsylvania"/>
    <s v="USA"/>
    <s v="Platinum"/>
  </r>
  <r>
    <s v="CUST1121"/>
    <s v="Joel Robinson"/>
    <n v="62"/>
    <x v="0"/>
    <s v="Lake Danielport"/>
    <s v="Hawaii"/>
    <s v="USA"/>
    <s v="Platinum"/>
  </r>
  <r>
    <s v="CUST1122"/>
    <s v="Michael Chang"/>
    <n v="50"/>
    <x v="0"/>
    <s v="Kathrynport"/>
    <s v="North Carolina"/>
    <s v="USA"/>
    <s v="Platinum"/>
  </r>
  <r>
    <s v="CUST1123"/>
    <s v="Erin Hopkins"/>
    <n v="40"/>
    <x v="0"/>
    <s v="North Sabrina"/>
    <s v="Iowa"/>
    <s v="USA"/>
    <s v="Silver"/>
  </r>
  <r>
    <s v="CUST1124"/>
    <s v="Donald Lee"/>
    <n v="26"/>
    <x v="0"/>
    <s v="Wongberg"/>
    <s v="Illinois"/>
    <s v="USA"/>
    <s v="Bronze"/>
  </r>
  <r>
    <s v="CUST1125"/>
    <s v="Keith Miller"/>
    <n v="64"/>
    <x v="1"/>
    <s v="West Jameston"/>
    <s v="Maine"/>
    <s v="USA"/>
    <s v="Platinum"/>
  </r>
  <r>
    <s v="CUST1126"/>
    <s v="James Wolfe"/>
    <n v="62"/>
    <x v="1"/>
    <s v="Benjaminton"/>
    <s v="Arizona"/>
    <s v="USA"/>
    <s v="Gold"/>
  </r>
  <r>
    <s v="CUST1127"/>
    <s v="John Mcknight"/>
    <n v="39"/>
    <x v="0"/>
    <s v="South Nathan"/>
    <s v="Vermont"/>
    <s v="USA"/>
    <s v="Platinum"/>
  </r>
  <r>
    <s v="CUST1128"/>
    <s v="Susan Mcdonald"/>
    <n v="45"/>
    <x v="0"/>
    <s v="East Ellen"/>
    <s v="Arkansas"/>
    <s v="USA"/>
    <s v="Silver"/>
  </r>
  <r>
    <s v="CUST1129"/>
    <s v="Jessica Mitchell"/>
    <n v="43"/>
    <x v="1"/>
    <s v="Matthewbury"/>
    <s v="South Dakota"/>
    <s v="USA"/>
    <s v="Silver"/>
  </r>
  <r>
    <s v="CUST1130"/>
    <s v="Jamie Reyes"/>
    <n v="29"/>
    <x v="0"/>
    <s v="   jonesbury "/>
    <s v="Connecticut"/>
    <s v="United States of America"/>
    <s v="Platinum"/>
  </r>
  <r>
    <s v="CUST1131"/>
    <s v="Joseph Richards"/>
    <n v="34"/>
    <x v="1"/>
    <s v="Wigginsville"/>
    <s v="Alabama"/>
    <s v="USA"/>
    <s v="Bronze"/>
  </r>
  <r>
    <s v="CUST1132"/>
    <s v="Miguel Reynolds"/>
    <n v="57"/>
    <x v="1"/>
    <s v="Taylorberg"/>
    <s v="Ohio"/>
    <s v="USA"/>
    <s v="Gold"/>
  </r>
  <r>
    <s v="CUST1133"/>
    <s v="Hayley Pope"/>
    <n v="62"/>
    <x v="1"/>
    <s v="West Stephenville"/>
    <s v="Florida"/>
    <s v="USA"/>
    <s v="Bronze"/>
  </r>
  <r>
    <s v="CUST1134"/>
    <s v="Morgan Bowen"/>
    <n v="54"/>
    <x v="0"/>
    <s v="Parksfort"/>
    <s v="Washington"/>
    <s v="USA"/>
    <s v="Gold"/>
  </r>
  <r>
    <s v="CUST1135"/>
    <s v="Matthew Hanna"/>
    <n v="33"/>
    <x v="1"/>
    <s v="Gonzalezbury"/>
    <s v="Michigan"/>
    <s v="USA"/>
    <s v="Platinum"/>
  </r>
  <r>
    <s v="CUST1136"/>
    <s v="Patrick Coleman"/>
    <n v="29"/>
    <x v="0"/>
    <s v="New Jeffrey"/>
    <s v="Nebraska"/>
    <s v="USA"/>
    <s v="Silver"/>
  </r>
  <r>
    <s v="CUST1137"/>
    <s v="Rick Dominguez"/>
    <n v="55"/>
    <x v="1"/>
    <s v="North Johnbury"/>
    <s v="Ohio"/>
    <s v="USA"/>
    <s v="Platinum"/>
  </r>
  <r>
    <s v="CUST1138"/>
    <s v="Sean Roth"/>
    <n v="43"/>
    <x v="0"/>
    <s v="Lake Michael"/>
    <s v="Virginia"/>
    <s v="USA"/>
    <s v="Gold"/>
  </r>
  <r>
    <s v="CUST1139"/>
    <s v="Brian Holder"/>
    <n v="32"/>
    <x v="0"/>
    <s v="Port Travis"/>
    <s v="Utah"/>
    <s v="USA"/>
    <s v="Bronze"/>
  </r>
  <r>
    <s v="CUST1140"/>
    <s v="Patty Francis"/>
    <n v="63"/>
    <x v="1"/>
    <s v="South Brooke"/>
    <s v="Pennsylvania"/>
    <s v="USA"/>
    <s v="Gold"/>
  </r>
  <r>
    <s v="CUST1141"/>
    <s v="Cristian Wright"/>
    <n v="30"/>
    <x v="0"/>
    <s v="Port Denise"/>
    <s v="California"/>
    <s v="United States of America"/>
    <s v="Bronze"/>
  </r>
  <r>
    <s v="CUST1142"/>
    <s v="Maria Ramirez"/>
    <n v="37"/>
    <x v="0"/>
    <s v="West Brandon"/>
    <s v="Montana"/>
    <s v="USA"/>
    <s v="Bronze"/>
  </r>
  <r>
    <s v="CUST1143"/>
    <s v="Carlos Skinner"/>
    <n v="46"/>
    <x v="0"/>
    <s v="Dwaynemouth"/>
    <s v="Alabama"/>
    <s v="USA"/>
    <s v="Bronze"/>
  </r>
  <r>
    <s v="CUST1144"/>
    <s v="Justin Cross"/>
    <n v="62"/>
    <x v="1"/>
    <s v="North Anthonychester"/>
    <s v="Nevada"/>
    <s v="USA"/>
    <s v="Bronze"/>
  </r>
  <r>
    <s v="CUST1145"/>
    <s v="Cameron Simpson"/>
    <n v="46"/>
    <x v="0"/>
    <s v="Michaelfort"/>
    <s v="Indiana"/>
    <s v="USA"/>
    <s v="Platinum"/>
  </r>
  <r>
    <s v="CUST1146"/>
    <s v="Edward Rivera"/>
    <n v="32"/>
    <x v="1"/>
    <s v="Chungmouth"/>
    <s v="South Carolina"/>
    <s v="USA"/>
    <s v="Gold"/>
  </r>
  <r>
    <s v="CUST1147"/>
    <s v="Rhonda Young"/>
    <n v="49"/>
    <x v="1"/>
    <s v="Lake Nathanfort"/>
    <s v="Alaska"/>
    <s v="USA"/>
    <s v="Platinum"/>
  </r>
  <r>
    <s v="CUST1148"/>
    <s v="Theresa Campbell"/>
    <n v="42"/>
    <x v="1"/>
    <s v="New Brian"/>
    <s v="Wisconsin"/>
    <s v="USA"/>
    <s v="Bronze"/>
  </r>
  <r>
    <s v="CUST1149"/>
    <s v="Denise Griffin"/>
    <n v="33"/>
    <x v="0"/>
    <s v="West Markhaven"/>
    <s v="Florida"/>
    <s v="USA"/>
    <s v="Platinum"/>
  </r>
  <r>
    <s v="CUST1150"/>
    <s v="Stephanie Conway"/>
    <n v="24"/>
    <x v="0"/>
    <s v="Port Frankmouth"/>
    <s v="Mississippi"/>
    <s v="USA"/>
    <s v="Gold"/>
  </r>
  <r>
    <s v="CUST1151"/>
    <s v="Michael Davies"/>
    <n v="25"/>
    <x v="1"/>
    <s v="Lake Stevenfort"/>
    <s v="Oregon"/>
    <s v="USA"/>
    <s v="Gold"/>
  </r>
  <r>
    <s v="CUST1152"/>
    <s v="Patrick Roberts"/>
    <n v="41"/>
    <x v="1"/>
    <s v="Jaredville"/>
    <s v="Missouri"/>
    <s v="USA"/>
    <s v="Platinum"/>
  </r>
  <r>
    <s v="CUST1153"/>
    <s v="Joseph Faulkner"/>
    <n v="31"/>
    <x v="0"/>
    <s v="New Leahfurt"/>
    <s v="North Dakota"/>
    <s v="USA"/>
    <s v="Bronze"/>
  </r>
  <r>
    <s v="CUST1154"/>
    <s v="Julie Hale"/>
    <n v="35"/>
    <x v="1"/>
    <s v="Owensview"/>
    <s v="Vermont"/>
    <s v="USA"/>
    <s v="Gold"/>
  </r>
  <r>
    <s v="CUST1155"/>
    <s v="Curtis Haynes"/>
    <n v="60"/>
    <x v="1"/>
    <s v="Estradaside"/>
    <s v="Iowa"/>
    <s v="USA"/>
    <s v="Gold"/>
  </r>
  <r>
    <s v="CUST1156"/>
    <s v="Maria Sanchez"/>
    <n v="46"/>
    <x v="0"/>
    <s v="East Peterbury"/>
    <s v="North Dakota"/>
    <s v="USA"/>
    <s v="Bronze"/>
  </r>
  <r>
    <s v="CUST1157"/>
    <s v="Paul Zamora"/>
    <n v="59"/>
    <x v="0"/>
    <s v="North Larryfurt"/>
    <s v="North Dakota"/>
    <s v="USA"/>
    <s v="Platinum"/>
  </r>
  <r>
    <s v="CUST1158"/>
    <s v="Sean Powell"/>
    <n v="43"/>
    <x v="0"/>
    <s v="South Kevin"/>
    <s v="Vermont"/>
    <s v="USA"/>
    <s v="Bronze"/>
  </r>
  <r>
    <s v="CUST1159"/>
    <s v="Brian Choi"/>
    <n v="46"/>
    <x v="1"/>
    <s v="Floydton"/>
    <s v="New Jersey"/>
    <s v="USA"/>
    <s v="Gold"/>
  </r>
  <r>
    <s v="CUST1160"/>
    <s v="John Lawson"/>
    <n v="41"/>
    <x v="1"/>
    <s v="New Juliemouth"/>
    <s v="North Carolina"/>
    <s v="USA"/>
    <s v="Platinum"/>
  </r>
  <r>
    <s v="CUST1161"/>
    <s v="Cynthia Morris"/>
    <n v="18"/>
    <x v="1"/>
    <s v="Hessmouth"/>
    <s v="Arizona"/>
    <s v="USA"/>
    <s v="Silver"/>
  </r>
  <r>
    <s v="CUST1162"/>
    <s v="Mariah Brown"/>
    <n v="37"/>
    <x v="0"/>
    <s v="Palmerbury"/>
    <s v="Tennessee"/>
    <s v="United States of America"/>
    <s v="Silver"/>
  </r>
  <r>
    <s v="CUST1163"/>
    <s v="Joseph Jones"/>
    <n v="21"/>
    <x v="0"/>
    <s v="North Matthew"/>
    <s v="Illinois"/>
    <s v="USA"/>
    <s v="Bronze"/>
  </r>
  <r>
    <s v="CUST1164"/>
    <s v="Daniel Rivas"/>
    <n v="39"/>
    <x v="1"/>
    <s v="Dominiquefort"/>
    <s v="Georgia"/>
    <s v="USA"/>
    <s v="Silver"/>
  </r>
  <r>
    <s v="CUST1165"/>
    <s v="Jason Wheeler"/>
    <n v="47"/>
    <x v="1"/>
    <s v="Carolview"/>
    <s v="Illinois"/>
    <s v="USA"/>
    <s v="Platinum"/>
  </r>
  <r>
    <s v="CUST1166"/>
    <s v="Patricia Gardner"/>
    <n v="25"/>
    <x v="1"/>
    <s v="South Ashleyton"/>
    <s v="Michigan"/>
    <s v="USA"/>
    <s v="Silver"/>
  </r>
  <r>
    <s v="CUST1167"/>
    <s v="Antonio Wade"/>
    <n v="36"/>
    <x v="1"/>
    <s v="New Jasonmouth"/>
    <s v="Tennessee"/>
    <s v="USA"/>
    <s v="Gold"/>
  </r>
  <r>
    <s v="CUST1168"/>
    <s v="Daniel Contreras"/>
    <n v="36"/>
    <x v="1"/>
    <s v="Robertview"/>
    <s v="Florida"/>
    <s v="USA"/>
    <s v="Platinum"/>
  </r>
  <r>
    <s v="CUST1169"/>
    <s v="Steve Mclaughlin"/>
    <n v="64"/>
    <x v="0"/>
    <s v="Josephmouth"/>
    <s v="New Hampshire"/>
    <s v="USA"/>
    <s v="Bronze"/>
  </r>
  <r>
    <s v="CUST1170"/>
    <s v="Christopher Garcia Dds"/>
    <n v="18"/>
    <x v="0"/>
    <s v="New Joseph"/>
    <s v="Missouri"/>
    <s v="USA"/>
    <s v="Gold"/>
  </r>
  <r>
    <s v="CUST1171"/>
    <s v="Amy Wilson"/>
    <n v="44"/>
    <x v="1"/>
    <s v="Morrisburgh"/>
    <s v="Indiana"/>
    <s v="USA"/>
    <s v="Platinum"/>
  </r>
  <r>
    <s v="CUST1172"/>
    <s v="Thomas Rhodes"/>
    <n v="41"/>
    <x v="1"/>
    <s v="Port Richard"/>
    <s v="West Virginia"/>
    <s v="USA"/>
    <s v="Bronze"/>
  </r>
  <r>
    <s v="CUST1173"/>
    <s v="Teresa Stokes"/>
    <n v="41"/>
    <x v="1"/>
    <s v="New William"/>
    <s v="Iowa"/>
    <s v="USA"/>
    <s v="Platinum"/>
  </r>
  <r>
    <s v="CUST1174"/>
    <s v="Maria Davis"/>
    <n v="26"/>
    <x v="1"/>
    <s v="Avilahaven"/>
    <s v="Vermont"/>
    <s v="USA"/>
    <s v="Gold"/>
  </r>
  <r>
    <s v="CUST1175"/>
    <s v="Michelle Rogers"/>
    <n v="56"/>
    <x v="0"/>
    <s v="East Jessicaborough"/>
    <s v="Hawaii"/>
    <s v="USA"/>
    <s v="Platinum"/>
  </r>
  <r>
    <s v="CUST1176"/>
    <s v="John Bradford"/>
    <n v="48"/>
    <x v="0"/>
    <s v="Anabury"/>
    <s v="Vermont"/>
    <s v="USA"/>
    <s v="Silver"/>
  </r>
  <r>
    <s v="CUST1177"/>
    <s v="Curtis Lam"/>
    <n v="55"/>
    <x v="0"/>
    <s v="Butlerberg"/>
    <s v="Kentucky"/>
    <s v="USA"/>
    <s v="Platinum"/>
  </r>
  <r>
    <s v="CUST1178"/>
    <s v="Michelle Myers"/>
    <n v="33"/>
    <x v="1"/>
    <s v="West Daniel"/>
    <s v="South Carolina"/>
    <s v="USA"/>
    <s v="Bronze"/>
  </r>
  <r>
    <s v="CUST1179"/>
    <s v="Nicholas Bradshaw"/>
    <n v="43"/>
    <x v="1"/>
    <s v="Murphyfurt"/>
    <s v="Utah"/>
    <s v="USA"/>
    <s v="Silver"/>
  </r>
  <r>
    <s v="CUST1180"/>
    <s v="Wesley Thompson"/>
    <n v="38"/>
    <x v="0"/>
    <s v="East Davidmouth"/>
    <s v="Maine"/>
    <s v="USA"/>
    <s v="Bronze"/>
  </r>
  <r>
    <s v="CUST1181"/>
    <s v="Erin Ward"/>
    <n v="60"/>
    <x v="0"/>
    <s v="New Brianchester"/>
    <s v="New York"/>
    <s v="USA"/>
    <s v="Bronze"/>
  </r>
  <r>
    <s v="CUST1182"/>
    <s v="Melissa Hamilton"/>
    <n v="23"/>
    <x v="1"/>
    <s v="Hutchinsonville"/>
    <s v="Oklahoma"/>
    <s v="USA"/>
    <s v="Silver"/>
  </r>
  <r>
    <s v="CUST1183"/>
    <s v="Mario Jacobs"/>
    <n v="18"/>
    <x v="0"/>
    <s v="Port James"/>
    <s v="New York"/>
    <s v="USA"/>
    <s v="Platinum"/>
  </r>
  <r>
    <s v="CUST1184"/>
    <s v="Leonard Cochran"/>
    <n v="46"/>
    <x v="1"/>
    <s v="Port Sherryview"/>
    <s v="North Dakota"/>
    <s v="USA"/>
    <s v="Silver"/>
  </r>
  <r>
    <s v="CUST1185"/>
    <s v="Brent Rivas"/>
    <n v="54"/>
    <x v="1"/>
    <s v="North Kellyberg"/>
    <s v="New Jersey"/>
    <s v="USA"/>
    <s v="Platinum"/>
  </r>
  <r>
    <s v="CUST1186"/>
    <s v="Jennifer Pruitt"/>
    <n v="53"/>
    <x v="0"/>
    <s v="East Justin"/>
    <s v="Missouri"/>
    <s v="USA"/>
    <s v="Silver"/>
  </r>
  <r>
    <s v="CUST1187"/>
    <s v="Dr. Suzanne Bullock"/>
    <n v="60"/>
    <x v="1"/>
    <s v="Lake Blaketon"/>
    <s v="Alabama"/>
    <s v="USA"/>
    <s v="Platinum"/>
  </r>
  <r>
    <s v="CUST1188"/>
    <s v="Kimberly Brooks"/>
    <n v="42"/>
    <x v="0"/>
    <s v="Kingfort"/>
    <s v="New Mexico"/>
    <s v="USA"/>
    <s v="Silver"/>
  </r>
  <r>
    <s v="CUST1189"/>
    <s v="Daniel Austin"/>
    <n v="29"/>
    <x v="0"/>
    <s v="Lake Howardberg"/>
    <s v="Kentucky"/>
    <s v="USA"/>
    <s v="Gold"/>
  </r>
  <r>
    <s v="CUST1190"/>
    <s v="Christopher Stewart"/>
    <n v="21"/>
    <x v="0"/>
    <s v="Amandaside"/>
    <s v="New York"/>
    <s v="USA"/>
    <s v="Bronze"/>
  </r>
  <r>
    <s v="CUST1191"/>
    <s v="Todd Poole"/>
    <n v="29"/>
    <x v="1"/>
    <s v="Johnsonshire"/>
    <s v="Ohio"/>
    <s v="USA"/>
    <s v="Bronze"/>
  </r>
  <r>
    <s v="CUST1192"/>
    <s v="Jacob Wood"/>
    <n v="26"/>
    <x v="0"/>
    <s v="Lake Samanthafort"/>
    <s v="Idaho"/>
    <s v="USA"/>
    <s v="Gold"/>
  </r>
  <r>
    <s v="CUST1193"/>
    <s v="David Roberts"/>
    <n v="38"/>
    <x v="0"/>
    <s v="Port Amanda"/>
    <s v="Georgia"/>
    <s v="USA"/>
    <s v="Gold"/>
  </r>
  <r>
    <s v="CUST1194"/>
    <s v="Ashley Ferguson"/>
    <n v="46"/>
    <x v="0"/>
    <s v="Sarahmouth"/>
    <s v="Pennsylvania"/>
    <s v="USA"/>
    <s v="Gold"/>
  </r>
  <r>
    <s v="CUST1195"/>
    <s v="Anthony Garcia"/>
    <n v="60"/>
    <x v="0"/>
    <s v="Taraberg"/>
    <s v="Arizona"/>
    <s v="USA"/>
    <s v="Silver"/>
  </r>
  <r>
    <s v="CUST1196"/>
    <s v="Megan Greer"/>
    <n v="18"/>
    <x v="1"/>
    <s v="West John"/>
    <s v="Alaska"/>
    <s v="USA"/>
    <s v="Platinum"/>
  </r>
  <r>
    <s v="CUST1197"/>
    <s v="Andrea Jacobs"/>
    <n v="45"/>
    <x v="1"/>
    <s v="Christopherland"/>
    <s v="Minnesota"/>
    <s v="USA"/>
    <s v="Platinum"/>
  </r>
  <r>
    <s v="CUST1198"/>
    <s v="Wanda Snyder"/>
    <n v="54"/>
    <x v="0"/>
    <s v="Frostmouth"/>
    <s v="Vermont"/>
    <s v="USA"/>
    <s v="Bronze"/>
  </r>
  <r>
    <s v="CUST1199"/>
    <s v="Carmen Price"/>
    <n v="46"/>
    <x v="0"/>
    <s v="North Briannamouth"/>
    <s v="Tennessee"/>
    <s v="USA"/>
    <s v="Bronze"/>
  </r>
  <r>
    <s v="CUST1200"/>
    <s v="Anna Perez"/>
    <n v="30"/>
    <x v="0"/>
    <s v="South Jerry"/>
    <s v="Maine"/>
    <s v="USA"/>
    <s v="Platinum"/>
  </r>
  <r>
    <s v="CUST1201"/>
    <s v="Mary Boyd"/>
    <n v="25"/>
    <x v="1"/>
    <s v="New Logan"/>
    <s v="Michigan"/>
    <s v="USA"/>
    <s v="Bronze"/>
  </r>
  <r>
    <s v="CUST1202"/>
    <s v="Christina Garcia"/>
    <n v="37"/>
    <x v="1"/>
    <s v="Clarkeside"/>
    <s v="Kansas"/>
    <s v="USA"/>
    <s v="Platinum"/>
  </r>
  <r>
    <s v="CUST1203"/>
    <s v="Sarah Brady"/>
    <n v="47"/>
    <x v="0"/>
    <s v="Johnsonland"/>
    <s v="Iowa"/>
    <s v="USA"/>
    <s v="Platinum"/>
  </r>
  <r>
    <s v="CUST1204"/>
    <s v="Tiffany Herrera"/>
    <n v="52"/>
    <x v="0"/>
    <s v="New Dianebury"/>
    <s v="Virginia"/>
    <s v="USA"/>
    <s v="Platinum"/>
  </r>
  <r>
    <s v="CUST1205"/>
    <s v="Michelle Carpenter"/>
    <n v="44"/>
    <x v="1"/>
    <s v="Lake Danielleton"/>
    <s v="New Jersey"/>
    <s v="USA"/>
    <s v="Gold"/>
  </r>
  <r>
    <s v="CUST1206"/>
    <s v="Ronald Jones"/>
    <n v="26"/>
    <x v="1"/>
    <s v="Brownshire"/>
    <s v="Tennessee"/>
    <s v="USA"/>
    <s v="Silver"/>
  </r>
  <r>
    <s v="CUST1207"/>
    <s v="Jacqueline Pacheco"/>
    <n v="28"/>
    <x v="1"/>
    <s v="South Emily"/>
    <s v="New Jersey"/>
    <s v="USA"/>
    <s v="Bronze"/>
  </r>
  <r>
    <s v="CUST1208"/>
    <s v="John Perez"/>
    <n v="54"/>
    <x v="0"/>
    <s v="Kathrynview"/>
    <s v="Louisiana"/>
    <s v="USA"/>
    <s v="Platinum"/>
  </r>
  <r>
    <s v="CUST1209"/>
    <s v="Joan Johnson"/>
    <n v="50"/>
    <x v="1"/>
    <s v="Lake Josephport"/>
    <s v="Maine"/>
    <s v="USA"/>
    <s v="Platinum"/>
  </r>
  <r>
    <s v="CUST1210"/>
    <s v="Antonio Jones"/>
    <n v="48"/>
    <x v="0"/>
    <s v="Matthewborough"/>
    <s v="Georgia"/>
    <s v="USA"/>
    <s v="Silver"/>
  </r>
  <r>
    <s v="CUST1211"/>
    <s v="Rodney Huffman"/>
    <n v="20"/>
    <x v="1"/>
    <s v="Garzafort"/>
    <s v="Delaware"/>
    <s v="USA"/>
    <s v="Silver"/>
  </r>
  <r>
    <s v="CUST1212"/>
    <s v="Blake Harrison"/>
    <n v="63"/>
    <x v="1"/>
    <s v="Lyonsfort"/>
    <s v="Washington"/>
    <s v="USA"/>
    <s v="Platinum"/>
  </r>
  <r>
    <s v="CUST1213"/>
    <s v="Stuart Johnson"/>
    <n v="42"/>
    <x v="1"/>
    <s v="West Markport"/>
    <s v="North Dakota"/>
    <s v="USA"/>
    <s v="Platinum"/>
  </r>
  <r>
    <s v="CUST1214"/>
    <s v="Eric Todd"/>
    <n v="61"/>
    <x v="0"/>
    <s v="Danielstad"/>
    <s v="Montana"/>
    <s v="USA"/>
    <s v="Gold"/>
  </r>
  <r>
    <s v="CUST1215"/>
    <s v="Steve Medina"/>
    <n v="50"/>
    <x v="1"/>
    <s v="East Josephside"/>
    <s v="Oregon"/>
    <s v="USA"/>
    <s v="Gold"/>
  </r>
  <r>
    <s v="CUST1216"/>
    <s v="Kathryn Garcia"/>
    <n v="44"/>
    <x v="0"/>
    <s v="Morrismouth"/>
    <s v="California"/>
    <s v="USA"/>
    <s v="Platinum"/>
  </r>
  <r>
    <s v="CUST1217"/>
    <s v="Kathy Copeland"/>
    <n v="42"/>
    <x v="0"/>
    <s v="North Christinemouth"/>
    <s v="Missouri"/>
    <s v="USA"/>
    <s v="Silver"/>
  </r>
  <r>
    <s v="CUST1218"/>
    <s v="Julia Jackson"/>
    <n v="46"/>
    <x v="0"/>
    <s v="Edwardland"/>
    <s v="California"/>
    <s v="USA"/>
    <s v="Platinum"/>
  </r>
  <r>
    <s v="CUST1219"/>
    <s v="Jordan Wells"/>
    <n v="47"/>
    <x v="1"/>
    <s v="Phillipschester   "/>
    <s v="New Jersey"/>
    <s v="USA"/>
    <s v="Gold"/>
  </r>
  <r>
    <s v="CUST1220"/>
    <s v="George Davis"/>
    <n v="50"/>
    <x v="1"/>
    <s v="    lake lisa"/>
    <s v="Massachusetts"/>
    <s v="USA"/>
    <s v="Bronze"/>
  </r>
  <r>
    <s v="CUST1221"/>
    <s v="Lisa Young"/>
    <n v="38"/>
    <x v="0"/>
    <s v="Maybury"/>
    <s v="Georgia"/>
    <s v="USA"/>
    <s v="Platinum"/>
  </r>
  <r>
    <s v="CUST1222"/>
    <s v="Alejandro Doyle"/>
    <n v="35"/>
    <x v="0"/>
    <s v="East Crystalton"/>
    <s v="New Mexico"/>
    <s v="USA"/>
    <s v="Platinum"/>
  </r>
  <r>
    <s v="CUST1223"/>
    <s v="Robert Harris"/>
    <n v="50"/>
    <x v="0"/>
    <s v="East jeremy"/>
    <s v="Iowa"/>
    <s v="USA"/>
    <s v="Platinum"/>
  </r>
  <r>
    <s v="CUST1224"/>
    <s v="Anthony Morgan"/>
    <n v="29"/>
    <x v="0"/>
    <s v="New Anthonyfurt"/>
    <s v="Missouri"/>
    <s v="USA"/>
    <s v="Silver"/>
  </r>
  <r>
    <s v="CUST1225"/>
    <s v="Elizabeth Stanley"/>
    <n v="46"/>
    <x v="1"/>
    <s v="Bethanyton"/>
    <s v="Utah"/>
    <s v="USA"/>
    <s v="Platinum"/>
  </r>
  <r>
    <s v="CUST1226"/>
    <s v="Alexis Castaneda"/>
    <n v="54"/>
    <x v="0"/>
    <s v="Morrisbury"/>
    <s v="Alaska"/>
    <s v="USA"/>
    <s v="Gold"/>
  </r>
  <r>
    <s v="CUST1227"/>
    <s v="Gregory Pham"/>
    <n v="63"/>
    <x v="1"/>
    <s v="Pollardton"/>
    <s v="Kansas"/>
    <s v="USA"/>
    <s v="Gold"/>
  </r>
  <r>
    <s v="CUST1228"/>
    <s v="Casey Flores"/>
    <n v="52"/>
    <x v="1"/>
    <s v="Lake Michael"/>
    <s v="Utah"/>
    <s v="USA"/>
    <s v="Gold"/>
  </r>
  <r>
    <s v="CUST1229"/>
    <s v="Tanner Thompson"/>
    <n v="32"/>
    <x v="1"/>
    <s v="Port Lisashire"/>
    <s v="Maryland"/>
    <s v="USA"/>
    <s v="Bronze"/>
  </r>
  <r>
    <s v="CUST1230"/>
    <s v="Timothy Sanders"/>
    <n v="29"/>
    <x v="0"/>
    <s v="Aaronmouth"/>
    <s v="Florida"/>
    <s v="USA"/>
    <s v="Bronze"/>
  </r>
  <r>
    <s v="CUST1231"/>
    <s v="Timothy Juarez"/>
    <n v="22"/>
    <x v="1"/>
    <s v="Grahamstad"/>
    <s v="South Carolina"/>
    <s v="USA"/>
    <s v="Bronze"/>
  </r>
  <r>
    <s v="CUST1232"/>
    <s v="Christy Hill"/>
    <n v="27"/>
    <x v="1"/>
    <s v="Tammyton"/>
    <s v="New Jersey"/>
    <s v="USA"/>
    <s v="Platinum"/>
  </r>
  <r>
    <s v="CUST1233"/>
    <s v="Michelle Gonzalez"/>
    <n v="59"/>
    <x v="0"/>
    <s v="Clarkport"/>
    <s v="West Virginia"/>
    <s v="USA"/>
    <s v="Silver"/>
  </r>
  <r>
    <s v="CUST1234"/>
    <s v="Nathaniel Hill"/>
    <n v="43"/>
    <x v="1"/>
    <s v="Lake Mark"/>
    <s v="Kansas"/>
    <s v="USA"/>
    <s v="Gold"/>
  </r>
  <r>
    <s v="CUST1235"/>
    <s v="Jon Ortiz"/>
    <n v="28"/>
    <x v="1"/>
    <s v="South Angelaport"/>
    <s v="Delaware"/>
    <s v="USA"/>
    <s v="Bronze"/>
  </r>
  <r>
    <s v="CUST1236"/>
    <s v="Joshua Wilson"/>
    <n v="42"/>
    <x v="1"/>
    <s v="North Larryport"/>
    <s v="Virginia"/>
    <s v="USA"/>
    <s v="Bronze"/>
  </r>
  <r>
    <s v="CUST1237"/>
    <s v="Wesley Short"/>
    <n v="41"/>
    <x v="1"/>
    <s v="Susanstad"/>
    <s v="Montana"/>
    <s v="USA"/>
    <s v="Gold"/>
  </r>
  <r>
    <s v="CUST1238"/>
    <s v="Steven Smith"/>
    <n v="40"/>
    <x v="0"/>
    <s v="Port Krista"/>
    <s v="West Virginia"/>
    <s v="USA"/>
    <s v="Platinum"/>
  </r>
  <r>
    <s v="CUST1239"/>
    <s v="Maria Hill"/>
    <n v="58"/>
    <x v="1"/>
    <s v="Zamoraborough"/>
    <s v="Nevada"/>
    <s v="USA"/>
    <s v="Platinum"/>
  </r>
  <r>
    <s v="CUST1240"/>
    <s v="William Hull"/>
    <n v="59"/>
    <x v="1"/>
    <s v="Heathfort"/>
    <s v="Michigan"/>
    <s v="USA"/>
    <s v="Platinum"/>
  </r>
  <r>
    <s v="CUST1241"/>
    <s v="Mr. William Horton"/>
    <n v="31"/>
    <x v="0"/>
    <s v="Dawsonchester"/>
    <s v="Virginia"/>
    <s v="USA"/>
    <s v="Platinum"/>
  </r>
  <r>
    <s v="CUST1242"/>
    <s v="William Jackson"/>
    <n v="58"/>
    <x v="1"/>
    <s v="New Tina"/>
    <s v="Connecticut"/>
    <s v="USA"/>
    <s v="Silver"/>
  </r>
  <r>
    <s v="CUST1243"/>
    <s v="Brian Hammond"/>
    <n v="56"/>
    <x v="1"/>
    <s v="North Nicholas"/>
    <s v="Texas"/>
    <s v="USA"/>
    <s v="Gold"/>
  </r>
  <r>
    <s v="CUST1244"/>
    <s v="Nancy Page"/>
    <n v="19"/>
    <x v="0"/>
    <s v="West Julia"/>
    <s v="Utah"/>
    <s v="USA"/>
    <s v="Bronze"/>
  </r>
  <r>
    <s v="CUST1245"/>
    <s v="Laura Soto"/>
    <n v="57"/>
    <x v="1"/>
    <s v="Rodriguezton"/>
    <s v="Michigan"/>
    <s v="USA"/>
    <s v="Platinum"/>
  </r>
  <r>
    <s v="CUST1246"/>
    <s v="Mary Russell"/>
    <n v="58"/>
    <x v="0"/>
    <s v="South Regina"/>
    <s v="Arkansas"/>
    <s v="USA"/>
    <s v="Bronze"/>
  </r>
  <r>
    <s v="CUST1247"/>
    <s v="Douglas Rhodes"/>
    <n v="32"/>
    <x v="0"/>
    <s v="Mikehaven"/>
    <s v="New Hampshire"/>
    <s v="USA"/>
    <s v="Platinum"/>
  </r>
  <r>
    <s v="CUST1248"/>
    <s v="Nicholas Webb"/>
    <n v="19"/>
    <x v="0"/>
    <s v="Lake Timothy"/>
    <s v="Nevada"/>
    <s v="USA"/>
    <s v="Gold"/>
  </r>
  <r>
    <s v="CUST1249"/>
    <s v="Lauren George"/>
    <n v="41"/>
    <x v="1"/>
    <s v="Garciamouth"/>
    <s v="New York"/>
    <s v="USA"/>
    <s v="Gold"/>
  </r>
  <r>
    <s v="CUST1250"/>
    <s v="Veronica Newman"/>
    <n v="48"/>
    <x v="0"/>
    <s v="New Daniel"/>
    <s v="Delaware"/>
    <s v="USA"/>
    <s v="Platinum"/>
  </r>
  <r>
    <s v="CUST1251"/>
    <s v="Tyler Garner"/>
    <n v="64"/>
    <x v="0"/>
    <s v="Port Coreyfort"/>
    <s v="Alabama"/>
    <s v="USA"/>
    <s v="Silver"/>
  </r>
  <r>
    <s v="CUST1252"/>
    <s v="John Mccoy"/>
    <n v="26"/>
    <x v="0"/>
    <s v="Robinborough"/>
    <s v="South Dakota"/>
    <s v="USA"/>
    <s v="Silver"/>
  </r>
  <r>
    <s v="CUST1253"/>
    <s v="Dr. Ashley Yates Md"/>
    <n v="32"/>
    <x v="0"/>
    <s v="New Maria"/>
    <s v="Wisconsin"/>
    <s v="USA"/>
    <s v="Bronze"/>
  </r>
  <r>
    <s v="CUST1254"/>
    <s v="Linda Kline"/>
    <n v="34"/>
    <x v="0"/>
    <s v="Masseyland"/>
    <s v="Alaska"/>
    <s v="USA"/>
    <s v="Silver"/>
  </r>
  <r>
    <s v="CUST1255"/>
    <s v="Damon Perez"/>
    <n v="21"/>
    <x v="0"/>
    <s v="Jasonton"/>
    <s v="Ohio"/>
    <s v="USA"/>
    <s v="Gold"/>
  </r>
  <r>
    <s v="CUST1256"/>
    <s v="Kristen Fischer"/>
    <n v="57"/>
    <x v="0"/>
    <s v="Lake Christopher"/>
    <s v="Arkansas"/>
    <s v="USA"/>
    <s v="Platinum"/>
  </r>
  <r>
    <s v="CUST1257"/>
    <s v="Christopher David"/>
    <n v="42"/>
    <x v="0"/>
    <s v="Karenmouth"/>
    <s v="Massachusetts"/>
    <s v="USA"/>
    <s v="Silver"/>
  </r>
  <r>
    <s v="CUST1258"/>
    <s v="Sarah Stewart"/>
    <n v="24"/>
    <x v="1"/>
    <s v="East Richard"/>
    <s v="Texas"/>
    <s v="USA"/>
    <s v="Platinum"/>
  </r>
  <r>
    <s v="CUST1259"/>
    <s v="Beth Allen"/>
    <n v="32"/>
    <x v="1"/>
    <s v="South Kathrynmouth"/>
    <s v="Oklahoma"/>
    <s v="USA"/>
    <s v="Silver"/>
  </r>
  <r>
    <s v="CUST1260"/>
    <s v="Russell Lamb"/>
    <n v="63"/>
    <x v="1"/>
    <s v="North Jonathon"/>
    <s v="Arizona"/>
    <s v="USA"/>
    <s v="Platinum"/>
  </r>
  <r>
    <s v="CUST1261"/>
    <s v="Carol Bishop"/>
    <n v="27"/>
    <x v="1"/>
    <s v="Lake Saramouth"/>
    <s v="Oregon"/>
    <s v="USA"/>
    <s v="Silver"/>
  </r>
  <r>
    <s v="CUST1262"/>
    <s v="Katherine Cowan"/>
    <n v="60"/>
    <x v="1"/>
    <s v="New Ana"/>
    <s v="Montana"/>
    <s v="USA"/>
    <s v="Silver"/>
  </r>
  <r>
    <s v="CUST1263"/>
    <s v="Crystal Davis"/>
    <n v="50"/>
    <x v="0"/>
    <s v="Sallymouth"/>
    <s v="Louisiana"/>
    <s v="USA"/>
    <s v="Bronze"/>
  </r>
  <r>
    <s v="CUST1264"/>
    <s v="Matthew Payne"/>
    <n v="25"/>
    <x v="0"/>
    <s v="Grahamfurt"/>
    <s v="Wyoming"/>
    <s v="USA"/>
    <s v="Gold"/>
  </r>
  <r>
    <s v="CUST1265"/>
    <s v="Tracy Kelly"/>
    <n v="38"/>
    <x v="0"/>
    <s v="West Jamieport"/>
    <s v="Tennessee"/>
    <s v="USA"/>
    <s v="Silver"/>
  </r>
  <r>
    <s v="CUST1266"/>
    <s v="Cynthia Payne"/>
    <n v="32"/>
    <x v="1"/>
    <s v="South Gina"/>
    <s v="Kentucky"/>
    <s v="USA"/>
    <s v="Bronze"/>
  </r>
  <r>
    <s v="CUST1267"/>
    <s v="Zachary Shelton"/>
    <n v="18"/>
    <x v="0"/>
    <s v="North Nicholas"/>
    <s v="Montana"/>
    <s v="USA"/>
    <s v="Bronze"/>
  </r>
  <r>
    <s v="CUST1268"/>
    <s v="Kevin Orr"/>
    <n v="53"/>
    <x v="1"/>
    <s v="Ryanberg"/>
    <s v="Minnesota"/>
    <s v="USA"/>
    <s v="Bronze"/>
  </r>
  <r>
    <s v="CUST1269"/>
    <s v="Tyrone Olson"/>
    <n v="45"/>
    <x v="1"/>
    <s v="Emilytown"/>
    <s v="California"/>
    <s v="USA"/>
    <s v="Silver"/>
  </r>
  <r>
    <s v="CUST1270"/>
    <s v="Brian Garcia"/>
    <n v="31"/>
    <x v="1"/>
    <s v="Ramosmouth"/>
    <s v="Louisiana"/>
    <s v="USA"/>
    <s v="Gold"/>
  </r>
  <r>
    <s v="CUST1271"/>
    <s v="Daisy Johnson Dds"/>
    <n v="64"/>
    <x v="0"/>
    <s v="North Stephanie"/>
    <s v="Nebraska"/>
    <s v="USA"/>
    <s v="Platinum"/>
  </r>
  <r>
    <s v="CUST1272"/>
    <s v="Adam Rowland"/>
    <n v="48"/>
    <x v="1"/>
    <s v="Welchview"/>
    <s v="California"/>
    <s v="USA"/>
    <s v="Gold"/>
  </r>
  <r>
    <s v="CUST1273"/>
    <s v="Samantha Robinson"/>
    <n v="23"/>
    <x v="0"/>
    <s v="North Roy"/>
    <s v="Mississippi"/>
    <s v="USA"/>
    <s v="Bronze"/>
  </r>
  <r>
    <s v="CUST1274"/>
    <s v="Sarah Lane"/>
    <n v="38"/>
    <x v="0"/>
    <s v="Edwardborough"/>
    <s v="Vermont"/>
    <s v="USA"/>
    <s v="Silver"/>
  </r>
  <r>
    <s v="CUST1275"/>
    <s v="Shannon Miller"/>
    <n v="22"/>
    <x v="0"/>
    <s v="North Austinport"/>
    <s v="Kentucky"/>
    <s v="USA"/>
    <s v="Gold"/>
  </r>
  <r>
    <s v="CUST1276"/>
    <s v="Arthur Warren"/>
    <n v="38"/>
    <x v="0"/>
    <s v="Ericshire"/>
    <s v="Nevada"/>
    <s v="USA"/>
    <s v="Gold"/>
  </r>
  <r>
    <s v="CUST1277"/>
    <s v="Jeffrey Gomez"/>
    <n v="22"/>
    <x v="1"/>
    <s v="Lake Nicole"/>
    <s v="Colorado"/>
    <s v="USA"/>
    <s v="Platinum"/>
  </r>
  <r>
    <s v="CUST1278"/>
    <s v="Stephen Fowler"/>
    <n v="42"/>
    <x v="1"/>
    <s v="Port Mariastad"/>
    <s v="Rhode Island"/>
    <s v="USA"/>
    <s v="Platinum"/>
  </r>
  <r>
    <s v="CUST1279"/>
    <s v="Aaron Luna"/>
    <n v="21"/>
    <x v="1"/>
    <s v="Gilltown"/>
    <s v="Ohio"/>
    <s v="USA"/>
    <s v="Bronze"/>
  </r>
  <r>
    <s v="CUST1280"/>
    <s v="Antonio Leon"/>
    <n v="48"/>
    <x v="0"/>
    <s v="Morrisville"/>
    <s v="Hawaii"/>
    <s v="USA"/>
    <s v="Bronze"/>
  </r>
  <r>
    <s v="CUST1281"/>
    <s v="Brittany Watson"/>
    <n v="59"/>
    <x v="0"/>
    <s v="North Joshualand"/>
    <s v="Connecticut"/>
    <s v="USA"/>
    <s v="Platinum"/>
  </r>
  <r>
    <s v="CUST1282"/>
    <s v="Kristi Lopez"/>
    <n v="46"/>
    <x v="1"/>
    <s v="Spencermouth"/>
    <s v="New Jersey"/>
    <s v="USA"/>
    <s v="Gold"/>
  </r>
  <r>
    <s v="CUST1283"/>
    <s v="Bryan Garcia"/>
    <n v="54"/>
    <x v="1"/>
    <s v="Garciaborough"/>
    <s v="Wyoming"/>
    <s v="USA"/>
    <s v="Silver"/>
  </r>
  <r>
    <s v="CUST1284"/>
    <s v="Hunter Sutton"/>
    <n v="54"/>
    <x v="0"/>
    <s v="Patrickshire"/>
    <s v="Connecticut"/>
    <s v="USA"/>
    <s v="Gold"/>
  </r>
  <r>
    <s v="CUST1285"/>
    <s v="Donna Guerra"/>
    <n v="46"/>
    <x v="1"/>
    <s v="North Robert"/>
    <s v="Massachusetts"/>
    <s v="USA"/>
    <s v="Silver"/>
  </r>
  <r>
    <s v="CUST1286"/>
    <s v="Tommy Roberts"/>
    <n v="22"/>
    <x v="0"/>
    <s v="Port Tonyfort"/>
    <s v="South Dakota"/>
    <s v="USA"/>
    <s v="Silver"/>
  </r>
  <r>
    <s v="CUST1287"/>
    <s v="Cynthia Roberts"/>
    <n v="22"/>
    <x v="1"/>
    <s v="Millerfort"/>
    <s v="Vermont"/>
    <s v="USA"/>
    <s v="Gold"/>
  </r>
  <r>
    <s v="CUST1288"/>
    <s v="Misty Ferguson"/>
    <n v="58"/>
    <x v="0"/>
    <s v="North Joseside"/>
    <s v="Connecticut"/>
    <s v="USA"/>
    <s v="Gold"/>
  </r>
  <r>
    <s v="CUST1289"/>
    <s v="Jennifer Figueroa"/>
    <n v="45"/>
    <x v="0"/>
    <s v="North Brookestad"/>
    <s v="Ohio"/>
    <s v="USA"/>
    <s v="Bronze"/>
  </r>
  <r>
    <s v="CUST1290"/>
    <s v="Chase Williams Md"/>
    <n v="52"/>
    <x v="1"/>
    <s v="Sherimouth"/>
    <s v="Virginia"/>
    <s v="USA"/>
    <s v="Silver"/>
  </r>
  <r>
    <s v="CUST1291"/>
    <s v="James Powell"/>
    <n v="40"/>
    <x v="1"/>
    <s v="West Beverlymouth"/>
    <s v="Missouri"/>
    <s v="USA"/>
    <s v="Bronze"/>
  </r>
  <r>
    <s v="CUST1292"/>
    <s v="Ricardo Jones"/>
    <n v="30"/>
    <x v="0"/>
    <s v="Danielland"/>
    <s v="Minnesota"/>
    <s v="USA"/>
    <s v="Silver"/>
  </r>
  <r>
    <s v="CUST1293"/>
    <s v="Gloria Taylor"/>
    <n v="56"/>
    <x v="1"/>
    <s v="North Daniel"/>
    <s v="Louisiana"/>
    <s v="USA"/>
    <s v="Platinum"/>
  </r>
  <r>
    <s v="CUST1294"/>
    <s v="Lisa Chandler"/>
    <n v="29"/>
    <x v="0"/>
    <s v="Port Richard"/>
    <s v="Montana"/>
    <s v="USA"/>
    <s v="Platinum"/>
  </r>
  <r>
    <s v="CUST1295"/>
    <s v="Crystal Waters"/>
    <n v="19"/>
    <x v="1"/>
    <s v="North Michelleport"/>
    <s v="Kansas"/>
    <s v="USA"/>
    <s v="Bronze"/>
  </r>
  <r>
    <s v="CUST1296"/>
    <s v="Jared Moran"/>
    <n v="28"/>
    <x v="1"/>
    <s v="South David"/>
    <s v="West Virginia"/>
    <s v="USA"/>
    <s v="Bronze"/>
  </r>
  <r>
    <s v="CUST1297"/>
    <s v="Jennifer Carr"/>
    <n v="47"/>
    <x v="1"/>
    <s v="Lake Brett"/>
    <s v="Missouri"/>
    <s v="USA"/>
    <s v="Silver"/>
  </r>
  <r>
    <s v="CUST1298"/>
    <s v="Tracy Stephens"/>
    <n v="64"/>
    <x v="0"/>
    <s v="New Joshuatown"/>
    <s v="Maine"/>
    <s v="USA"/>
    <s v="Platinum"/>
  </r>
  <r>
    <s v="CUST1299"/>
    <s v="Stephanie Jacobs"/>
    <n v="48"/>
    <x v="1"/>
    <s v="West Robinmouth"/>
    <s v="Louisiana"/>
    <s v="USA"/>
    <s v="Platinum"/>
  </r>
  <r>
    <s v="CUST1300"/>
    <s v="Matthew Avery"/>
    <n v="29"/>
    <x v="0"/>
    <s v="Lake Melissashire"/>
    <s v="Oregon"/>
    <s v="USA"/>
    <s v="Silver"/>
  </r>
  <r>
    <s v="CUST1301"/>
    <s v="Ryan Kane"/>
    <n v="50"/>
    <x v="0"/>
    <s v="West Bruceburgh"/>
    <s v="Virginia"/>
    <s v="USA"/>
    <s v="Gold"/>
  </r>
  <r>
    <s v="CUST1302"/>
    <s v="Edward Cole"/>
    <n v="36"/>
    <x v="0"/>
    <s v="Lake Charlotte"/>
    <s v="Arizona"/>
    <s v="USA"/>
    <s v="Gold"/>
  </r>
  <r>
    <s v="CUST1303"/>
    <s v="John Sloan"/>
    <n v="23"/>
    <x v="1"/>
    <s v="East Johntown"/>
    <s v="Delaware"/>
    <s v="USA"/>
    <s v="Platinum"/>
  </r>
  <r>
    <s v="CUST1304"/>
    <s v="Miss Alexandria Li Dvm"/>
    <n v="41"/>
    <x v="0"/>
    <s v="Port Jenniferton"/>
    <s v="Kansas"/>
    <s v="USA"/>
    <s v="Silver"/>
  </r>
  <r>
    <s v="CUST1305"/>
    <s v="Roberta Green"/>
    <n v="64"/>
    <x v="0"/>
    <s v="West Joseph"/>
    <s v="Washington"/>
    <s v="USA"/>
    <s v="Platinum"/>
  </r>
  <r>
    <s v="CUST1306"/>
    <s v="Angela Robinson"/>
    <n v="44"/>
    <x v="0"/>
    <s v="New Nicholasstad"/>
    <s v="Tennessee"/>
    <s v="USA"/>
    <s v="Platinum"/>
  </r>
  <r>
    <s v="CUST1307"/>
    <s v="Brandy Thompson"/>
    <n v="56"/>
    <x v="1"/>
    <s v="West Patriciaview"/>
    <s v="Alabama"/>
    <s v="USA"/>
    <s v="Bronze"/>
  </r>
  <r>
    <s v="CUST1308"/>
    <s v="Jennifer Zamora"/>
    <n v="60"/>
    <x v="1"/>
    <s v="Sarahland"/>
    <s v="Iowa"/>
    <s v="USA"/>
    <s v="Gold"/>
  </r>
  <r>
    <s v="CUST1309"/>
    <s v="Stacy Collins"/>
    <n v="41"/>
    <x v="1"/>
    <s v="Randychester"/>
    <s v="California"/>
    <s v="USA"/>
    <s v="Bronze"/>
  </r>
  <r>
    <s v="CUST1310"/>
    <s v="Kara Dodson"/>
    <n v="20"/>
    <x v="0"/>
    <s v="Joelside"/>
    <s v="Vermont"/>
    <s v="USA"/>
    <s v="Silver"/>
  </r>
  <r>
    <s v="CUST1311"/>
    <s v="Kevin Larson"/>
    <n v="35"/>
    <x v="0"/>
    <s v="Port Edwardmouth"/>
    <s v="Oregon"/>
    <s v="USA"/>
    <s v="Platinum"/>
  </r>
  <r>
    <s v="CUST1312"/>
    <s v="Jason Mullins"/>
    <n v="47"/>
    <x v="1"/>
    <s v="Brianchester"/>
    <s v="Delaware"/>
    <s v="USA"/>
    <s v="Silver"/>
  </r>
  <r>
    <s v="CUST1313"/>
    <s v="Elizabeth Jones"/>
    <n v="62"/>
    <x v="0"/>
    <s v="Brownburgh"/>
    <s v="Maryland"/>
    <s v="USA"/>
    <s v="Platinum"/>
  </r>
  <r>
    <s v="CUST1314"/>
    <s v="Elizabeth Johnson"/>
    <n v="53"/>
    <x v="1"/>
    <s v="Anitaland"/>
    <s v="Washington"/>
    <s v="USA"/>
    <s v="Silver"/>
  </r>
  <r>
    <s v="CUST1315"/>
    <s v="William Rodriguez"/>
    <n v="49"/>
    <x v="0"/>
    <s v="Port Chad"/>
    <s v="Massachusetts"/>
    <s v="USA"/>
    <s v="Silver"/>
  </r>
  <r>
    <s v="CUST1316"/>
    <s v="Robert House"/>
    <n v="34"/>
    <x v="0"/>
    <s v="Lake James"/>
    <s v="Maryland"/>
    <s v="USA"/>
    <s v="Gold"/>
  </r>
  <r>
    <s v="CUST1317"/>
    <s v="Tiffany Williams"/>
    <n v="64"/>
    <x v="1"/>
    <s v="Richardsport"/>
    <s v="New Hampshire"/>
    <s v="USA"/>
    <s v="Gold"/>
  </r>
  <r>
    <s v="CUST1318"/>
    <s v="Madison Wright"/>
    <n v="25"/>
    <x v="0"/>
    <s v="Monicaview"/>
    <s v="Kansas"/>
    <s v="USA"/>
    <s v="Platinum"/>
  </r>
  <r>
    <s v="CUST1319"/>
    <s v="Casey Simpson"/>
    <n v="54"/>
    <x v="0"/>
    <s v="West Mathewside"/>
    <s v="Mississippi"/>
    <s v="USA"/>
    <s v="Platinum"/>
  </r>
  <r>
    <s v="CUST1320"/>
    <s v="Jessica Gonzalez"/>
    <n v="34"/>
    <x v="1"/>
    <s v="South Darrenland"/>
    <s v="Iowa"/>
    <s v="USA"/>
    <s v="Bronze"/>
  </r>
  <r>
    <s v="CUST1321"/>
    <s v="Darren Burton"/>
    <n v="21"/>
    <x v="1"/>
    <s v="Lake Alice"/>
    <s v="Tennessee"/>
    <s v="USA"/>
    <s v="Bronze"/>
  </r>
  <r>
    <s v="CUST1322"/>
    <s v="Samuel Arias"/>
    <n v="54"/>
    <x v="0"/>
    <s v="North Nicole"/>
    <s v="Wyoming"/>
    <s v="USA"/>
    <s v="Bronze"/>
  </r>
  <r>
    <s v="CUST1323"/>
    <s v="Kristy Dunlap"/>
    <n v="64"/>
    <x v="1"/>
    <s v="Whiteport"/>
    <s v="North Carolina"/>
    <s v="USA"/>
    <s v="Platinum"/>
  </r>
  <r>
    <s v="CUST1324"/>
    <s v="Alex Mann Ii"/>
    <n v="58"/>
    <x v="0"/>
    <s v="South Zacharychester"/>
    <s v="Oklahoma"/>
    <s v="USA"/>
    <s v="Bronze"/>
  </r>
  <r>
    <s v="CUST1325"/>
    <s v="Andrew Smith"/>
    <n v="60"/>
    <x v="0"/>
    <s v="East Matthew"/>
    <s v="Wisconsin"/>
    <s v="USA"/>
    <s v="Bronze"/>
  </r>
  <r>
    <s v="CUST1326"/>
    <s v="Robert King"/>
    <n v="58"/>
    <x v="1"/>
    <s v="Cindyton"/>
    <s v="Rhode Island"/>
    <s v="USA"/>
    <s v="Gold"/>
  </r>
  <r>
    <s v="CUST1327"/>
    <s v="Reginald Willis"/>
    <n v="62"/>
    <x v="1"/>
    <s v="Kellybury"/>
    <s v="New York"/>
    <s v="USA"/>
    <s v="Bronze"/>
  </r>
  <r>
    <s v="CUST1328"/>
    <s v="Mario Harvey Jr."/>
    <n v="46"/>
    <x v="0"/>
    <s v="Jessicaport"/>
    <s v="Minnesota"/>
    <s v="USA"/>
    <s v="Platinum"/>
  </r>
  <r>
    <s v="CUST1329"/>
    <s v="Victor Mcintosh"/>
    <n v="62"/>
    <x v="1"/>
    <s v="Tiffanyshire"/>
    <s v="Minnesota"/>
    <s v="USA"/>
    <s v="Bronze"/>
  </r>
  <r>
    <s v="CUST1330"/>
    <s v="Pamela Mcguire"/>
    <n v="54"/>
    <x v="0"/>
    <s v="South Jasontown"/>
    <s v="Illinois"/>
    <s v="USA"/>
    <s v="Platinum"/>
  </r>
  <r>
    <s v="CUST1331"/>
    <s v="Maria Phillips"/>
    <n v="38"/>
    <x v="1"/>
    <s v="North Kathytown"/>
    <s v="Montana"/>
    <s v="USA"/>
    <s v="Bronze"/>
  </r>
  <r>
    <s v="CUST1332"/>
    <s v="Dr. Lindsay Hanna"/>
    <n v="34"/>
    <x v="1"/>
    <s v="New Paulstad"/>
    <s v="Hawaii"/>
    <s v="USA"/>
    <s v="Bronze"/>
  </r>
  <r>
    <s v="CUST1333"/>
    <s v="Teresa Johnson"/>
    <n v="64"/>
    <x v="1"/>
    <s v="Johnsonbury"/>
    <s v="Georgia"/>
    <s v="USA"/>
    <s v="Gold"/>
  </r>
  <r>
    <s v="CUST1334"/>
    <s v="Mr. Christopher Sims"/>
    <n v="50"/>
    <x v="1"/>
    <s v="Donaldsontown"/>
    <s v="Connecticut"/>
    <s v="USA"/>
    <s v="Silver"/>
  </r>
  <r>
    <s v="CUST1335"/>
    <s v="Jennifer Woods"/>
    <n v="37"/>
    <x v="0"/>
    <s v="West Brendamouth"/>
    <s v="North Carolina"/>
    <s v="USA"/>
    <s v="Platinum"/>
  </r>
  <r>
    <s v="CUST1336"/>
    <s v="John Jones"/>
    <n v="58"/>
    <x v="1"/>
    <s v="North Michaelborough"/>
    <s v="Oregon"/>
    <s v="USA"/>
    <s v="Silver"/>
  </r>
  <r>
    <s v="CUST1337"/>
    <s v="Carol Lewis"/>
    <n v="40"/>
    <x v="1"/>
    <s v="Ryanport"/>
    <s v="North Carolina"/>
    <s v="USA"/>
    <s v="Bronze"/>
  </r>
  <r>
    <s v="CUST1338"/>
    <s v="Jasmine Snyder"/>
    <n v="46"/>
    <x v="1"/>
    <s v="Hudsonfort"/>
    <s v="Connecticut"/>
    <s v="USA"/>
    <s v="Silver"/>
  </r>
  <r>
    <s v="CUST1339"/>
    <s v="Mrs. Susan Buckley"/>
    <n v="52"/>
    <x v="1"/>
    <s v="Stevensbury"/>
    <s v="Arizona"/>
    <s v="USA"/>
    <s v="Platinum"/>
  </r>
  <r>
    <s v="CUST1340"/>
    <s v="Eric Davis"/>
    <n v="27"/>
    <x v="0"/>
    <s v="Johntown"/>
    <s v="Colorado"/>
    <s v="USA"/>
    <s v="Bronze"/>
  </r>
  <r>
    <s v="CUST1341"/>
    <s v="Angela Williams"/>
    <n v="56"/>
    <x v="1"/>
    <s v="Lake Alyssaburgh"/>
    <s v="Illinois"/>
    <s v="USA"/>
    <s v="Bronze"/>
  </r>
  <r>
    <s v="CUST1342"/>
    <s v="Michelle Cunningham"/>
    <n v="30"/>
    <x v="1"/>
    <s v="Amandaborough"/>
    <s v="Connecticut"/>
    <s v="USA"/>
    <s v="Bronze"/>
  </r>
  <r>
    <s v="CUST1343"/>
    <s v="Ryan Moore"/>
    <n v="38"/>
    <x v="0"/>
    <s v="Cartershire"/>
    <s v="Virginia"/>
    <s v="USA"/>
    <s v="Bronze"/>
  </r>
  <r>
    <s v="CUST1344"/>
    <s v="Evelyn Brown"/>
    <n v="39"/>
    <x v="0"/>
    <s v="West Victoriaborough"/>
    <s v="New Mexico"/>
    <s v="USA"/>
    <s v="Gold"/>
  </r>
  <r>
    <s v="CUST1345"/>
    <s v="Daniel Nelson"/>
    <n v="33"/>
    <x v="0"/>
    <s v="North Jonathan"/>
    <s v="Oklahoma"/>
    <s v="USA"/>
    <s v="Bronze"/>
  </r>
  <r>
    <s v="CUST1346"/>
    <s v="John Jordan"/>
    <n v="58"/>
    <x v="1"/>
    <s v="Port Crystalberg"/>
    <s v="Tennessee"/>
    <s v="USA"/>
    <s v="Platinum"/>
  </r>
  <r>
    <s v="CUST1347"/>
    <s v="Justin Mason Dds"/>
    <n v="39"/>
    <x v="1"/>
    <s v="Peggystad"/>
    <s v="Connecticut"/>
    <s v="USA"/>
    <s v="Gold"/>
  </r>
  <r>
    <s v="CUST1348"/>
    <s v="Sherry Cabrera"/>
    <n v="55"/>
    <x v="0"/>
    <s v="Shannonview"/>
    <s v="Pennsylvania"/>
    <s v="USA"/>
    <s v="Silver"/>
  </r>
  <r>
    <s v="CUST1349"/>
    <s v="Heather Valenzuela"/>
    <n v="31"/>
    <x v="0"/>
    <s v="New Angiefurt"/>
    <s v="Alaska"/>
    <s v="USA"/>
    <s v="Bronze"/>
  </r>
  <r>
    <s v="CUST1350"/>
    <s v="Charles Miller"/>
    <n v="26"/>
    <x v="0"/>
    <s v="Lake Allisonborough"/>
    <s v="Iowa"/>
    <s v="USA"/>
    <s v="Silver"/>
  </r>
  <r>
    <s v="CUST1351"/>
    <s v="Jeffrey Mccarthy"/>
    <n v="25"/>
    <x v="1"/>
    <s v="North Samuel"/>
    <s v="Nebraska"/>
    <s v="USA"/>
    <s v="Bronze"/>
  </r>
  <r>
    <s v="CUST1352"/>
    <s v="Michael Greene"/>
    <n v="52"/>
    <x v="1"/>
    <s v="Port Saramouth"/>
    <s v="Wisconsin"/>
    <s v="USA"/>
    <s v="Silver"/>
  </r>
  <r>
    <s v="CUST1353"/>
    <s v="Laura Green"/>
    <n v="56"/>
    <x v="1"/>
    <s v="Westbury"/>
    <s v="Oregon"/>
    <s v="USA"/>
    <s v="Platinum"/>
  </r>
  <r>
    <s v="CUST1354"/>
    <s v="Ryan Torres"/>
    <n v="38"/>
    <x v="0"/>
    <s v="Guerreroport"/>
    <s v="Connecticut"/>
    <s v="USA"/>
    <s v="Silver"/>
  </r>
  <r>
    <s v="CUST1355"/>
    <s v="Carlos Flores"/>
    <n v="20"/>
    <x v="0"/>
    <s v="North Johnfurt"/>
    <s v="Washington"/>
    <s v="USA"/>
    <s v="Gold"/>
  </r>
  <r>
    <s v="CUST1356"/>
    <s v="Steve Hunt"/>
    <n v="54"/>
    <x v="0"/>
    <s v="North Richard"/>
    <s v="Virginia"/>
    <s v="USA"/>
    <s v="Bronze"/>
  </r>
  <r>
    <s v="CUST1357"/>
    <s v="Manuel Castillo"/>
    <n v="41"/>
    <x v="0"/>
    <s v="Nealview"/>
    <s v="Tennessee"/>
    <s v="USA"/>
    <s v="Gold"/>
  </r>
  <r>
    <s v="CUST1358"/>
    <s v="Ashley Anderson"/>
    <n v="60"/>
    <x v="1"/>
    <s v="West Johnmouth"/>
    <s v="Mississippi"/>
    <s v="USA"/>
    <s v="Gold"/>
  </r>
  <r>
    <s v="CUST1359"/>
    <s v="Melanie Lam"/>
    <n v="32"/>
    <x v="0"/>
    <s v="East Michaelton"/>
    <s v="Kansas"/>
    <s v="USA"/>
    <s v="Silver"/>
  </r>
  <r>
    <s v="CUST1360"/>
    <s v="Denise Tate"/>
    <n v="34"/>
    <x v="0"/>
    <s v="Andersonside"/>
    <s v="Arkansas"/>
    <s v="USA"/>
    <s v="Platinum"/>
  </r>
  <r>
    <s v="CUST1361"/>
    <s v="Natalie Johnson"/>
    <n v="64"/>
    <x v="0"/>
    <s v="New Jessechester"/>
    <s v="Indiana"/>
    <s v="USA"/>
    <s v="Platinum"/>
  </r>
  <r>
    <s v="CUST1362"/>
    <s v="Joshua Smith Dvm"/>
    <n v="60"/>
    <x v="0"/>
    <s v="Melvinton"/>
    <s v="Alaska"/>
    <s v="USA"/>
    <s v="Gold"/>
  </r>
  <r>
    <s v="CUST1363"/>
    <s v="Elizabeth Smith"/>
    <n v="23"/>
    <x v="0"/>
    <s v="Murphytown"/>
    <s v="Ohio"/>
    <s v="USA"/>
    <s v="Bronze"/>
  </r>
  <r>
    <s v="CUST1364"/>
    <s v="Chloe Aguilar"/>
    <n v="58"/>
    <x v="0"/>
    <s v="Lake Johnside"/>
    <s v="Arizona"/>
    <s v="USA"/>
    <s v="Bronze"/>
  </r>
  <r>
    <s v="CUST1365"/>
    <s v="Brandon Mcbride"/>
    <n v="63"/>
    <x v="1"/>
    <s v="Kellyside"/>
    <s v="Alaska"/>
    <s v="USA"/>
    <s v="Platinum"/>
  </r>
  <r>
    <s v="CUST1366"/>
    <s v="Mallory Allen"/>
    <n v="40"/>
    <x v="1"/>
    <s v="North Theresa"/>
    <s v="Alabama"/>
    <s v="USA"/>
    <s v="Platinum"/>
  </r>
  <r>
    <s v="CUST1367"/>
    <s v="Melinda Johnson"/>
    <n v="51"/>
    <x v="0"/>
    <s v="Kaufmanfurt"/>
    <s v="Ohio"/>
    <s v="USA"/>
    <s v="Bronze"/>
  </r>
  <r>
    <s v="CUST1368"/>
    <s v="Miranda King"/>
    <n v="34"/>
    <x v="1"/>
    <s v="West Mathew"/>
    <s v="New York"/>
    <s v="USA"/>
    <s v="Platinum"/>
  </r>
  <r>
    <s v="CUST1369"/>
    <s v="Gregory Allen"/>
    <n v="20"/>
    <x v="1"/>
    <s v="West Bruce"/>
    <s v="Vermont"/>
    <s v="USA"/>
    <s v="Platinum"/>
  </r>
  <r>
    <s v="CUST1370"/>
    <s v="James Holloway Jr."/>
    <n v="45"/>
    <x v="0"/>
    <s v="Millston"/>
    <s v="Indiana"/>
    <s v="USA"/>
    <s v="Silver"/>
  </r>
  <r>
    <s v="CUST1371"/>
    <s v="Michael Garner"/>
    <n v="21"/>
    <x v="1"/>
    <s v="Port Crystal"/>
    <s v="New Hampshire"/>
    <s v="USA"/>
    <s v="Platinum"/>
  </r>
  <r>
    <s v="CUST1372"/>
    <s v="Jacqueline Anthony"/>
    <n v="28"/>
    <x v="0"/>
    <s v="Vincentside"/>
    <s v="Ohio"/>
    <s v="USA"/>
    <s v="Bronze"/>
  </r>
  <r>
    <s v="CUST1373"/>
    <s v="James Orozco"/>
    <n v="37"/>
    <x v="1"/>
    <s v="Simpsonfort"/>
    <s v="Maine"/>
    <s v="USA"/>
    <s v="Gold"/>
  </r>
  <r>
    <s v="CUST1374"/>
    <s v="Emma Wilson"/>
    <n v="60"/>
    <x v="0"/>
    <s v="Andersonburgh"/>
    <s v="Hawaii"/>
    <s v="USA"/>
    <s v="Platinum"/>
  </r>
  <r>
    <s v="CUST1375"/>
    <s v="Joshua Bell"/>
    <n v="26"/>
    <x v="0"/>
    <s v="Port Richardshire"/>
    <s v="Minnesota"/>
    <s v="USA"/>
    <s v="Platinum"/>
  </r>
  <r>
    <s v="CUST1376"/>
    <s v="Michele Burke"/>
    <n v="30"/>
    <x v="0"/>
    <s v="Chambersberg"/>
    <s v="Connecticut"/>
    <s v="USA"/>
    <s v="Bronze"/>
  </r>
  <r>
    <s v="CUST1377"/>
    <s v="Charles Conley"/>
    <n v="39"/>
    <x v="1"/>
    <s v="Nathanshire"/>
    <s v="Maine"/>
    <s v="USA"/>
    <s v="Gold"/>
  </r>
  <r>
    <s v="CUST1378"/>
    <s v="Frank Stewart"/>
    <n v="44"/>
    <x v="1"/>
    <s v="Fischerborough"/>
    <s v="Delaware"/>
    <s v="USA"/>
    <s v="Bronze"/>
  </r>
  <r>
    <s v="CUST1379"/>
    <s v="Tanya Lopez"/>
    <n v="34"/>
    <x v="1"/>
    <s v="West Jeffreyburgh"/>
    <s v="Iowa"/>
    <s v="USA"/>
    <s v="Gold"/>
  </r>
  <r>
    <s v="CUST1380"/>
    <s v="Shelley Ponce"/>
    <n v="23"/>
    <x v="0"/>
    <s v="South Cassandrachester"/>
    <s v="Rhode Island"/>
    <s v="USA"/>
    <s v="Gold"/>
  </r>
  <r>
    <s v="CUST1381"/>
    <s v="Erika Padilla"/>
    <n v="50"/>
    <x v="0"/>
    <s v="Andrewsland"/>
    <s v="Alabama"/>
    <s v="USA"/>
    <s v="Silver"/>
  </r>
  <r>
    <s v="CUST1382"/>
    <s v="Martha Brown"/>
    <n v="20"/>
    <x v="1"/>
    <s v="Novakstad"/>
    <s v="California"/>
    <s v="USA"/>
    <s v="Gold"/>
  </r>
  <r>
    <s v="CUST1383"/>
    <s v="Kristine Higgins"/>
    <n v="27"/>
    <x v="1"/>
    <s v="Jennifertown"/>
    <s v="South Carolina"/>
    <s v="USA"/>
    <s v="Silver"/>
  </r>
  <r>
    <s v="CUST1384"/>
    <s v="Andrew Mason"/>
    <n v="52"/>
    <x v="1"/>
    <s v="North Michael"/>
    <s v="Iowa"/>
    <s v="USA"/>
    <s v="Bronze"/>
  </r>
  <r>
    <s v="CUST1385"/>
    <s v="Tammy Brennan"/>
    <n v="60"/>
    <x v="0"/>
    <s v="Lake Brandontown"/>
    <s v="South Carolina"/>
    <s v="USA"/>
    <s v="Gold"/>
  </r>
  <r>
    <s v="CUST1386"/>
    <s v="Melanie Mitchell"/>
    <n v="18"/>
    <x v="1"/>
    <s v="West Laura"/>
    <s v="Maryland"/>
    <s v="USA"/>
    <s v="Bronze"/>
  </r>
  <r>
    <s v="CUST1387"/>
    <s v="Timothy Gardner"/>
    <n v="28"/>
    <x v="1"/>
    <s v="New Dawn"/>
    <s v="New Jersey"/>
    <s v="USA"/>
    <s v="Silver"/>
  </r>
  <r>
    <s v="CUST1388"/>
    <s v="Timothy Valenzuela"/>
    <n v="53"/>
    <x v="0"/>
    <s v="Stevensshire"/>
    <s v="Missouri"/>
    <s v="USA"/>
    <s v="Platinum"/>
  </r>
  <r>
    <s v="CUST1389"/>
    <s v="Cynthia Lopez"/>
    <n v="50"/>
    <x v="0"/>
    <s v="Joseland"/>
    <s v="Nebraska"/>
    <s v="USA"/>
    <s v="Platinum"/>
  </r>
  <r>
    <s v="CUST1390"/>
    <s v="Daniel Bell"/>
    <n v="56"/>
    <x v="0"/>
    <s v="Deniseberg"/>
    <s v="Arkansas"/>
    <s v="USA"/>
    <s v="Silver"/>
  </r>
  <r>
    <s v="CUST1391"/>
    <s v="Heidi Tyler"/>
    <n v="40"/>
    <x v="1"/>
    <s v="Dawnstad"/>
    <s v="Oregon"/>
    <s v="USA"/>
    <s v="Bronze"/>
  </r>
  <r>
    <s v="CUST1392"/>
    <s v="Jacqueline Payne"/>
    <n v="46"/>
    <x v="0"/>
    <s v="Gutierrezstad"/>
    <s v="Missouri"/>
    <s v="USA"/>
    <s v="Gold"/>
  </r>
  <r>
    <s v="CUST1393"/>
    <s v="Michael Mcneil"/>
    <n v="46"/>
    <x v="0"/>
    <s v="Stewartchester"/>
    <s v="Utah"/>
    <s v="USA"/>
    <s v="Bronze"/>
  </r>
  <r>
    <s v="CUST1394"/>
    <s v="Alejandro Evans"/>
    <n v="43"/>
    <x v="1"/>
    <s v="Cannonberg"/>
    <s v="Connecticut"/>
    <s v="USA"/>
    <s v="Bronze"/>
  </r>
  <r>
    <s v="CUST1395"/>
    <s v="Brandon Mcguire"/>
    <n v="50"/>
    <x v="0"/>
    <s v="Lake Morganland"/>
    <s v="Kansas"/>
    <s v="USA"/>
    <s v="Gold"/>
  </r>
  <r>
    <s v="CUST1396"/>
    <s v="Alexander Byrd"/>
    <n v="25"/>
    <x v="1"/>
    <s v="Parkerview"/>
    <s v="New York"/>
    <s v="USA"/>
    <s v="Silver"/>
  </r>
  <r>
    <s v="CUST1397"/>
    <s v="Charles Norman Phd"/>
    <n v="62"/>
    <x v="1"/>
    <s v="East Jennifer"/>
    <s v="Kansas"/>
    <s v="USA"/>
    <s v="Platinum"/>
  </r>
  <r>
    <s v="CUST1398"/>
    <s v="Jennifer Johnson"/>
    <n v="54"/>
    <x v="0"/>
    <s v="Cheyenneborough"/>
    <s v="New Hampshire"/>
    <s v="USA"/>
    <s v="Bronze"/>
  </r>
  <r>
    <s v="CUST1399"/>
    <s v="John Donaldson"/>
    <n v="27"/>
    <x v="0"/>
    <s v="New Edward"/>
    <s v="Maine"/>
    <s v="USA"/>
    <s v="Bronze"/>
  </r>
  <r>
    <s v="CUST1400"/>
    <s v="Mark Rogers"/>
    <n v="57"/>
    <x v="1"/>
    <s v="Bookertown"/>
    <s v="Oklahoma"/>
    <s v="USA"/>
    <s v="Platinum"/>
  </r>
  <r>
    <s v="CUST1401"/>
    <s v="Terry Moses"/>
    <n v="51"/>
    <x v="1"/>
    <s v="Leahmouth"/>
    <s v="Nevada"/>
    <s v="USA"/>
    <s v="Platinum"/>
  </r>
  <r>
    <s v="CUST1402"/>
    <s v="Cassandra Perez"/>
    <n v="31"/>
    <x v="0"/>
    <s v="Brandonville"/>
    <s v="Mississippi"/>
    <s v="USA"/>
    <s v="Bronze"/>
  </r>
  <r>
    <s v="CUST1403"/>
    <s v="Justin Ingram"/>
    <n v="34"/>
    <x v="0"/>
    <s v="Lake Lisaland"/>
    <s v="Louisiana"/>
    <s v="USA"/>
    <s v="Bronze"/>
  </r>
  <r>
    <s v="CUST1404"/>
    <s v="David Ross"/>
    <n v="22"/>
    <x v="1"/>
    <s v="South Angela"/>
    <s v="Arkansas"/>
    <s v="USA"/>
    <s v="Silver"/>
  </r>
  <r>
    <s v="CUST1405"/>
    <s v="Eric Wolfe"/>
    <n v="18"/>
    <x v="1"/>
    <s v="Garciaview"/>
    <s v="Louisiana"/>
    <s v="USA"/>
    <s v="Gold"/>
  </r>
  <r>
    <s v="CUST1406"/>
    <s v="David Lozano"/>
    <n v="23"/>
    <x v="1"/>
    <s v="North Michaelfurt"/>
    <s v="Wisconsin"/>
    <s v="USA"/>
    <s v="Gold"/>
  </r>
  <r>
    <s v="CUST1407"/>
    <s v="Joseph Mendoza"/>
    <n v="33"/>
    <x v="0"/>
    <s v="Ashleymouth"/>
    <s v="Maryland"/>
    <s v="USA"/>
    <s v="Gold"/>
  </r>
  <r>
    <s v="CUST1408"/>
    <s v="Isabel Foster"/>
    <n v="36"/>
    <x v="0"/>
    <s v="Port Joshuaville"/>
    <s v="New Jersey"/>
    <s v="USA"/>
    <s v="Gold"/>
  </r>
  <r>
    <s v="CUST1409"/>
    <s v="Sarah Smith"/>
    <n v="55"/>
    <x v="0"/>
    <s v="Kathleenport"/>
    <s v="Wyoming"/>
    <s v="USA"/>
    <s v="Gold"/>
  </r>
  <r>
    <s v="CUST1410"/>
    <s v="Jackie Thompson"/>
    <n v="48"/>
    <x v="1"/>
    <s v="South Edwin"/>
    <s v="New Jersey"/>
    <s v="USA"/>
    <s v="Bronze"/>
  </r>
  <r>
    <s v="CUST1411"/>
    <s v="Katrina Perez"/>
    <n v="63"/>
    <x v="0"/>
    <s v="West Rebecca"/>
    <s v="Ohio"/>
    <s v="USA"/>
    <s v="Silver"/>
  </r>
  <r>
    <s v="CUST1412"/>
    <s v="Shane Brown"/>
    <n v="23"/>
    <x v="1"/>
    <s v="East Andrea"/>
    <s v="Michigan"/>
    <s v="USA"/>
    <s v="Gold"/>
  </r>
  <r>
    <s v="CUST1413"/>
    <s v="Megan Ryan"/>
    <n v="59"/>
    <x v="1"/>
    <s v="Andrewsfurt"/>
    <s v="Idaho"/>
    <s v="USA"/>
    <s v="Bronze"/>
  </r>
  <r>
    <s v="CUST1414"/>
    <s v="Melissa Valentine"/>
    <n v="35"/>
    <x v="1"/>
    <s v="East Patriciafort"/>
    <s v="Missouri"/>
    <s v="USA"/>
    <s v="Gold"/>
  </r>
  <r>
    <s v="CUST1415"/>
    <s v="Tyler Cook"/>
    <n v="26"/>
    <x v="1"/>
    <s v="Kramerview"/>
    <s v="Alaska"/>
    <s v="USA"/>
    <s v="Silver"/>
  </r>
  <r>
    <s v="CUST1416"/>
    <s v="Jennifer Myers"/>
    <n v="46"/>
    <x v="0"/>
    <s v="Marthaborough"/>
    <s v="Wisconsin"/>
    <s v="USA"/>
    <s v="Platinum"/>
  </r>
  <r>
    <s v="CUST1417"/>
    <s v="Karen King"/>
    <n v="64"/>
    <x v="1"/>
    <s v="Kimburgh"/>
    <s v="North Carolina"/>
    <s v="USA"/>
    <s v="Bronze"/>
  </r>
  <r>
    <s v="CUST1418"/>
    <s v="Luke Parks"/>
    <n v="60"/>
    <x v="1"/>
    <s v="West Mario"/>
    <s v="New Hampshire"/>
    <s v="USA"/>
    <s v="Silver"/>
  </r>
  <r>
    <s v="CUST1419"/>
    <s v="Monica Miller"/>
    <n v="33"/>
    <x v="0"/>
    <s v="Lake David"/>
    <s v="Mississippi"/>
    <s v="USA"/>
    <s v="Gold"/>
  </r>
  <r>
    <s v="CUST1420"/>
    <s v="Dr. Tamara White Md"/>
    <n v="60"/>
    <x v="0"/>
    <s v="New Benjamin"/>
    <s v="North Carolina"/>
    <s v="USA"/>
    <s v="Bronze"/>
  </r>
  <r>
    <s v="CUST1421"/>
    <s v="Holly Robinson"/>
    <n v="45"/>
    <x v="1"/>
    <s v="East Amy"/>
    <s v="Washington"/>
    <s v="USA"/>
    <s v="Platinum"/>
  </r>
  <r>
    <s v="CUST1422"/>
    <s v="Brittany Edwards Dds"/>
    <n v="42"/>
    <x v="1"/>
    <s v="Aliciahaven"/>
    <s v="Kansas"/>
    <s v="USA"/>
    <s v="Platinum"/>
  </r>
  <r>
    <s v="CUST1423"/>
    <s v="Rebecca Baker"/>
    <n v="35"/>
    <x v="0"/>
    <s v="New Katherine"/>
    <s v="Kansas"/>
    <s v="USA"/>
    <s v="Silver"/>
  </r>
  <r>
    <s v="CUST1424"/>
    <s v="Edwin Barnes"/>
    <n v="53"/>
    <x v="0"/>
    <s v="Lake Alexandra"/>
    <s v="North Carolina"/>
    <s v="USA"/>
    <s v="Bronze"/>
  </r>
  <r>
    <s v="CUST1425"/>
    <s v="Bryce Hawkins"/>
    <n v="40"/>
    <x v="0"/>
    <s v="Lake Monique"/>
    <s v="Utah"/>
    <s v="USA"/>
    <s v="Bronze"/>
  </r>
  <r>
    <s v="CUST1426"/>
    <s v="Jeanette Nichols"/>
    <n v="28"/>
    <x v="0"/>
    <s v="Aguilarland"/>
    <s v="North Carolina"/>
    <s v="USA"/>
    <s v="Platinum"/>
  </r>
  <r>
    <s v="CUST1427"/>
    <s v="Jose Stewart"/>
    <n v="18"/>
    <x v="1"/>
    <s v="South Robert"/>
    <s v="Maine"/>
    <s v="USA"/>
    <s v="Gold"/>
  </r>
  <r>
    <s v="CUST1428"/>
    <s v="Samuel Mullins"/>
    <n v="27"/>
    <x v="1"/>
    <s v="Hartmouth"/>
    <s v="Louisiana"/>
    <s v="USA"/>
    <s v="Bronze"/>
  </r>
  <r>
    <s v="CUST1429"/>
    <s v="Sean Vang"/>
    <n v="43"/>
    <x v="0"/>
    <s v="Davidchester"/>
    <s v="Idaho"/>
    <s v="USA"/>
    <s v="Platinum"/>
  </r>
  <r>
    <s v="CUST1430"/>
    <s v="Kimberly Roberts"/>
    <n v="36"/>
    <x v="1"/>
    <s v="Josephchester"/>
    <s v="New Jersey"/>
    <s v="USA"/>
    <s v="Gold"/>
  </r>
  <r>
    <s v="CUST1431"/>
    <s v="John Smith"/>
    <n v="27"/>
    <x v="0"/>
    <s v="South Andrewport"/>
    <s v="California"/>
    <s v="USA"/>
    <s v="Platinum"/>
  </r>
  <r>
    <s v="CUST1432"/>
    <s v="Summer Weiss"/>
    <n v="37"/>
    <x v="0"/>
    <s v="Phyllisport"/>
    <s v="New Jersey"/>
    <s v="USA"/>
    <s v="Bronze"/>
  </r>
  <r>
    <s v="CUST1433"/>
    <s v="Thomas Moore"/>
    <n v="51"/>
    <x v="1"/>
    <s v="Williamsberg"/>
    <s v="New York"/>
    <s v="USA"/>
    <s v="Silver"/>
  </r>
  <r>
    <s v="CUST1434"/>
    <s v="Monique Castro"/>
    <n v="48"/>
    <x v="1"/>
    <s v="New Sarah"/>
    <s v="Indiana"/>
    <s v="USA"/>
    <s v="Gold"/>
  </r>
  <r>
    <s v="CUST1435"/>
    <s v="Lindsay Beasley"/>
    <n v="37"/>
    <x v="1"/>
    <s v="Wesleyhaven"/>
    <s v="Idaho"/>
    <s v="USA"/>
    <s v="Silver"/>
  </r>
  <r>
    <s v="CUST1436"/>
    <s v="Sharon Simpson"/>
    <n v="61"/>
    <x v="0"/>
    <s v="South Michellebury"/>
    <s v="South Dakota"/>
    <s v="USA"/>
    <s v="Gold"/>
  </r>
  <r>
    <s v="CUST1437"/>
    <s v="Melinda Rivera"/>
    <n v="47"/>
    <x v="1"/>
    <s v="East Davidmouth"/>
    <s v="New Hampshire"/>
    <s v="USA"/>
    <s v="Platinum"/>
  </r>
  <r>
    <s v="CUST1438"/>
    <s v="Monica Flynn"/>
    <n v="59"/>
    <x v="1"/>
    <s v="Amberburgh"/>
    <s v="Tennessee"/>
    <s v="USA"/>
    <s v="Platinum"/>
  </r>
  <r>
    <s v="CUST1439"/>
    <s v="John Compton"/>
    <n v="53"/>
    <x v="0"/>
    <s v="North Daniel"/>
    <s v="Michigan"/>
    <s v="USA"/>
    <s v="Silver"/>
  </r>
  <r>
    <s v="CUST1440"/>
    <s v="Tammy Trevino"/>
    <n v="60"/>
    <x v="0"/>
    <s v="Justinberg"/>
    <s v="North Dakota"/>
    <s v="USA"/>
    <s v="Silver"/>
  </r>
  <r>
    <s v="CUST1441"/>
    <s v="Dalton Walters"/>
    <n v="31"/>
    <x v="0"/>
    <s v="Jonesstad"/>
    <s v="Wisconsin"/>
    <s v="USA"/>
    <s v="Silver"/>
  </r>
  <r>
    <s v="CUST1442"/>
    <s v="Kelli Smith"/>
    <n v="42"/>
    <x v="1"/>
    <s v="North Maryfort"/>
    <s v="Oregon"/>
    <s v="USA"/>
    <s v="Bronze"/>
  </r>
  <r>
    <s v="CUST1443"/>
    <s v="Adam Castro"/>
    <n v="51"/>
    <x v="0"/>
    <s v="New Donnabury"/>
    <s v="Texas"/>
    <s v="USA"/>
    <s v="Silver"/>
  </r>
  <r>
    <s v="CUST1444"/>
    <s v="Cheryl Carr"/>
    <n v="19"/>
    <x v="0"/>
    <s v="Jessicaland"/>
    <s v="Wyoming"/>
    <s v="USA"/>
    <s v="Gold"/>
  </r>
  <r>
    <s v="CUST1445"/>
    <s v="Gene Lee"/>
    <n v="41"/>
    <x v="1"/>
    <s v="Mcfarlandmouth"/>
    <s v="Virginia"/>
    <s v="USA"/>
    <s v="Platinum"/>
  </r>
  <r>
    <s v="CUST1446"/>
    <s v="Shannon Turner"/>
    <n v="35"/>
    <x v="0"/>
    <s v="West Jorge"/>
    <s v="Oklahoma"/>
    <s v="USA"/>
    <s v="Silver"/>
  </r>
  <r>
    <s v="CUST1447"/>
    <s v="Monica Wright"/>
    <n v="45"/>
    <x v="0"/>
    <s v="Paulside"/>
    <s v="North Carolina"/>
    <s v="USA"/>
    <s v="Gold"/>
  </r>
  <r>
    <s v="CUST1448"/>
    <s v="Eric Holmes"/>
    <n v="64"/>
    <x v="1"/>
    <s v="Smithville"/>
    <s v="Wyoming"/>
    <s v="USA"/>
    <s v="Bronze"/>
  </r>
  <r>
    <s v="CUST1449"/>
    <s v="William Cortez"/>
    <n v="29"/>
    <x v="0"/>
    <s v="Port Hannahport"/>
    <s v="Ohio"/>
    <s v="USA"/>
    <s v="Bronze"/>
  </r>
  <r>
    <s v="CUST1450"/>
    <s v="Shane Mills"/>
    <n v="59"/>
    <x v="0"/>
    <s v="Lake Meganstad"/>
    <s v="Nebraska"/>
    <s v="USA"/>
    <s v="Bronze"/>
  </r>
  <r>
    <s v="CUST1451"/>
    <s v="Ashley Roberts"/>
    <n v="46"/>
    <x v="0"/>
    <s v="Josephmouth"/>
    <s v="New Mexico"/>
    <s v="USA"/>
    <s v="Gold"/>
  </r>
  <r>
    <s v="CUST1452"/>
    <s v="Jeffery Wolf"/>
    <n v="60"/>
    <x v="1"/>
    <s v="New Laura"/>
    <s v="Mississippi"/>
    <s v="USA"/>
    <s v="Bronze"/>
  </r>
  <r>
    <s v="CUST1453"/>
    <s v="April Phillips"/>
    <n v="62"/>
    <x v="1"/>
    <s v="Lake Carolyn"/>
    <s v="Hawaii"/>
    <s v="USA"/>
    <s v="Platinum"/>
  </r>
  <r>
    <s v="CUST1454"/>
    <s v="John Berg"/>
    <n v="60"/>
    <x v="0"/>
    <s v="Johnsonville"/>
    <s v="Oklahoma"/>
    <s v="USA"/>
    <s v="Gold"/>
  </r>
  <r>
    <s v="CUST1455"/>
    <s v="Tyler Weber"/>
    <n v="54"/>
    <x v="0"/>
    <s v="East Yvette"/>
    <s v="Illinois"/>
    <s v="USA"/>
    <s v="Gold"/>
  </r>
  <r>
    <s v="CUST1456"/>
    <s v="Julie Powell"/>
    <n v="59"/>
    <x v="1"/>
    <s v="South Barbara"/>
    <s v="Arkansas"/>
    <s v="USA"/>
    <s v="Gold"/>
  </r>
  <r>
    <s v="CUST1457"/>
    <s v="Christina Robertson"/>
    <n v="59"/>
    <x v="0"/>
    <s v="Hubbardborough"/>
    <s v="Kentucky"/>
    <s v="USA"/>
    <s v="Platinum"/>
  </r>
  <r>
    <s v="CUST1458"/>
    <s v="Kelly Garrett"/>
    <n v="62"/>
    <x v="1"/>
    <s v="Port Taylorberg"/>
    <s v="Pennsylvania"/>
    <s v="USA"/>
    <s v="Silver"/>
  </r>
  <r>
    <s v="CUST1459"/>
    <s v="John Perez"/>
    <n v="29"/>
    <x v="1"/>
    <s v="Brandontown"/>
    <s v="South Carolina"/>
    <s v="USA"/>
    <s v="Gold"/>
  </r>
  <r>
    <s v="CUST1460"/>
    <s v="Justin Johnson"/>
    <n v="35"/>
    <x v="0"/>
    <s v="Hughesview"/>
    <s v="Iowa"/>
    <s v="USA"/>
    <s v="Gold"/>
  </r>
  <r>
    <s v="CUST1461"/>
    <s v="Paul Cox"/>
    <n v="60"/>
    <x v="1"/>
    <s v="East Julie"/>
    <s v="Kansas"/>
    <s v="USA"/>
    <s v="Silver"/>
  </r>
  <r>
    <s v="CUST1462"/>
    <s v="Beth Martin"/>
    <n v="34"/>
    <x v="1"/>
    <s v="Burkefurt"/>
    <s v="West Virginia"/>
    <s v="USA"/>
    <s v="Silver"/>
  </r>
  <r>
    <s v="CUST1463"/>
    <s v="Samantha Lee"/>
    <n v="36"/>
    <x v="1"/>
    <s v="Port Anthony"/>
    <s v="Connecticut"/>
    <s v="USA"/>
    <s v="Bronze"/>
  </r>
  <r>
    <s v="C-1464"/>
    <s v="David Pierce"/>
    <n v="45"/>
    <x v="1"/>
    <s v="Grayland"/>
    <s v="Washington"/>
    <s v="USA"/>
    <s v="Platinum"/>
  </r>
  <r>
    <s v="CUST1465"/>
    <s v="Ronald Ross"/>
    <n v="28"/>
    <x v="1"/>
    <s v="Hartmanside"/>
    <s v="North Carolina"/>
    <s v="USA"/>
    <s v="Silver"/>
  </r>
  <r>
    <s v="CUST1466"/>
    <s v="Cynthia Parrish"/>
    <n v="18"/>
    <x v="0"/>
    <s v="Espinozaberg"/>
    <s v="Minnesota"/>
    <s v="USA"/>
    <s v="Silver"/>
  </r>
  <r>
    <s v="CUST1467"/>
    <s v="Michael Foley"/>
    <n v="63"/>
    <x v="1"/>
    <s v="Oneillfurt"/>
    <s v="Vermont"/>
    <s v="USA"/>
    <s v="Gold"/>
  </r>
  <r>
    <s v="CUST1468"/>
    <s v="Gregory Curtis"/>
    <n v="45"/>
    <x v="0"/>
    <s v="Bergermouth"/>
    <s v="Vermont"/>
    <s v="USA"/>
    <s v="Bronze"/>
  </r>
  <r>
    <s v="CUST1469"/>
    <s v="James Foster"/>
    <n v="19"/>
    <x v="0"/>
    <s v="East Audrey"/>
    <s v="Utah"/>
    <s v="USA"/>
    <s v="Gold"/>
  </r>
  <r>
    <s v="CUST1470"/>
    <s v="Manuel Fisher"/>
    <n v="21"/>
    <x v="1"/>
    <s v="Kanebury"/>
    <s v="New Hampshire"/>
    <s v="USA"/>
    <s v="Gold"/>
  </r>
  <r>
    <s v="CUST1471"/>
    <s v="Debra Mccullough"/>
    <n v="42"/>
    <x v="0"/>
    <s v="Mcdanielfurt"/>
    <s v="Montana"/>
    <s v="USA"/>
    <s v="Platinum"/>
  </r>
  <r>
    <s v="CUST1472"/>
    <s v="Philip Mendoza"/>
    <n v="42"/>
    <x v="0"/>
    <s v="Tylermouth"/>
    <s v="Massachusetts"/>
    <s v="USA"/>
    <s v="Silver"/>
  </r>
  <r>
    <s v="CUST1473"/>
    <s v="Laura Mathews"/>
    <n v="53"/>
    <x v="0"/>
    <s v="Chambersfurt"/>
    <s v="Wisconsin"/>
    <s v="USA"/>
    <s v="Bronze"/>
  </r>
  <r>
    <s v="CUST1474"/>
    <s v="Joshua Howard"/>
    <n v="32"/>
    <x v="1"/>
    <s v="East Christopherhaven"/>
    <s v="South Dakota"/>
    <s v="USA"/>
    <s v="Platinum"/>
  </r>
  <r>
    <s v="CUST1475"/>
    <s v="Barbara Berry"/>
    <n v="18"/>
    <x v="1"/>
    <s v="Lake Michael"/>
    <s v="Vermont"/>
    <s v="USA"/>
    <s v="Platinum"/>
  </r>
  <r>
    <s v="CUST1476"/>
    <s v="Elizabeth Foster"/>
    <n v="33"/>
    <x v="1"/>
    <s v="Anthonymouth"/>
    <s v="Oklahoma"/>
    <s v="USA"/>
    <s v="Gold"/>
  </r>
  <r>
    <s v="CUST1477"/>
    <s v="Andrea Harris"/>
    <n v="41"/>
    <x v="1"/>
    <s v="West Kelseyberg"/>
    <s v="Kansas"/>
    <s v="USA"/>
    <s v="Platinum"/>
  </r>
  <r>
    <s v="CUST1478"/>
    <s v="Earl Smith Dds"/>
    <n v="59"/>
    <x v="0"/>
    <s v="West Sarah"/>
    <s v="South Dakota"/>
    <s v="USA"/>
    <s v="Gold"/>
  </r>
  <r>
    <s v="CUST1479"/>
    <s v="Dylan Gutierrez"/>
    <n v="40"/>
    <x v="0"/>
    <s v="New Jamesview"/>
    <s v="West Virginia"/>
    <s v="USA"/>
    <s v="Bronze"/>
  </r>
  <r>
    <s v="CUST1480"/>
    <s v="Jordan Medina"/>
    <n v="33"/>
    <x v="0"/>
    <s v="Robinchester"/>
    <s v="Florida"/>
    <s v="USA"/>
    <s v="Bronze"/>
  </r>
  <r>
    <s v="CUST1481"/>
    <s v="Bryan Tran"/>
    <n v="21"/>
    <x v="0"/>
    <s v="Kelseybury"/>
    <s v="Georgia"/>
    <s v="USA"/>
    <s v="Gold"/>
  </r>
  <r>
    <s v="CUST1482"/>
    <s v="Sheri Joyce"/>
    <n v="26"/>
    <x v="0"/>
    <s v="West Tylerfort"/>
    <s v="Kentucky"/>
    <s v="USA"/>
    <s v="Platinum"/>
  </r>
  <r>
    <s v="CUST1483"/>
    <s v="Sarah Smith"/>
    <n v="48"/>
    <x v="0"/>
    <s v="East Rodney"/>
    <s v="Nevada"/>
    <s v="USA"/>
    <s v="Gold"/>
  </r>
  <r>
    <s v="CUST1484"/>
    <s v="Jessica Castro"/>
    <n v="32"/>
    <x v="0"/>
    <s v="West Markton"/>
    <s v="Massachusetts"/>
    <s v="USA"/>
    <s v="Bronze"/>
  </r>
  <r>
    <s v="CUST1485"/>
    <s v="Sara Ingram"/>
    <n v="46"/>
    <x v="1"/>
    <s v="East Dillonview"/>
    <s v="Virginia"/>
    <s v="USA"/>
    <s v="Bronze"/>
  </r>
  <r>
    <s v="C-1486"/>
    <s v="Eric Lee"/>
    <n v="22"/>
    <x v="1"/>
    <s v="Lake April"/>
    <s v="Vermont"/>
    <s v="USA"/>
    <s v="Bronze"/>
  </r>
  <r>
    <s v="CUST1487"/>
    <s v="Amanda Medina"/>
    <n v="36"/>
    <x v="1"/>
    <s v="East Patriciastad"/>
    <s v="Utah"/>
    <s v="USA"/>
    <s v="Platinum"/>
  </r>
  <r>
    <s v="CUST1488"/>
    <s v="Zachary Andrade"/>
    <n v="23"/>
    <x v="1"/>
    <s v="South Davidport"/>
    <s v="California"/>
    <s v="USA"/>
    <s v="Platinum"/>
  </r>
  <r>
    <s v="CUST1489"/>
    <s v="Melinda Thomas"/>
    <n v="42"/>
    <x v="1"/>
    <s v="Lake Elizabethside"/>
    <s v="Indiana"/>
    <s v="USA"/>
    <s v="Silver"/>
  </r>
  <r>
    <s v="CUST1490"/>
    <s v="Scott Harris"/>
    <n v="23"/>
    <x v="0"/>
    <s v="North Nataliemouth"/>
    <s v="Maryland"/>
    <s v="USA"/>
    <s v="Platinum"/>
  </r>
  <r>
    <s v="C-1491"/>
    <s v="Kaitlin Brown"/>
    <n v="52"/>
    <x v="1"/>
    <s v="Kellyberg"/>
    <s v="South Dakota"/>
    <s v="USA"/>
    <s v="Gold"/>
  </r>
  <r>
    <s v="CUST1492"/>
    <s v="Darrell Miller"/>
    <n v="59"/>
    <x v="1"/>
    <s v="Port Carol"/>
    <s v="Florida"/>
    <s v="USA"/>
    <s v="Platinum"/>
  </r>
  <r>
    <s v="CUST1493"/>
    <s v="Amanda Powell"/>
    <n v="28"/>
    <x v="0"/>
    <s v="South William"/>
    <s v="Alabama"/>
    <s v="USA"/>
    <s v="Silver"/>
  </r>
  <r>
    <s v="CUST1494"/>
    <s v="Justin Lopez"/>
    <n v="21"/>
    <x v="0"/>
    <s v="Port Cheryl"/>
    <s v="Texas"/>
    <s v="USA"/>
    <s v="Gold"/>
  </r>
  <r>
    <s v="CUST1495"/>
    <s v="James Berger"/>
    <n v="23"/>
    <x v="1"/>
    <s v="Bryanmouth"/>
    <s v="Delaware"/>
    <s v="USA"/>
    <s v="Bronze"/>
  </r>
  <r>
    <s v="CUST1496"/>
    <s v="Christopher Ford"/>
    <n v="56"/>
    <x v="0"/>
    <s v="North Seanfurt"/>
    <s v="Ohio"/>
    <s v="USA"/>
    <s v="Bronze"/>
  </r>
  <r>
    <s v="CUST1497"/>
    <s v="Sarah Marsh"/>
    <n v="47"/>
    <x v="1"/>
    <s v="Port William"/>
    <s v="New York"/>
    <s v="USA"/>
    <s v="Gold"/>
  </r>
  <r>
    <s v="CUST1498"/>
    <s v="Traci Gonzalez"/>
    <n v="35"/>
    <x v="0"/>
    <s v="Snyderfurt"/>
    <s v="New Mexico"/>
    <s v="USA"/>
    <s v="Silver"/>
  </r>
  <r>
    <s v="C-1499"/>
    <s v="Philip Pennington"/>
    <n v="27"/>
    <x v="1"/>
    <s v="East Valerieview"/>
    <s v="Oregon"/>
    <s v="USA"/>
    <s v="Platinum"/>
  </r>
  <r>
    <m/>
    <m/>
    <m/>
    <x v="2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ROD0"/>
    <s v="Brother Laser Printer"/>
    <x v="0"/>
    <s v="Computer"/>
    <s v="Hunt Inc"/>
  </r>
  <r>
    <s v="PROD1"/>
    <s v="Men's Graphic T-Shirt"/>
    <x v="1"/>
    <s v="Tops"/>
    <s v="Terry-Moore"/>
  </r>
  <r>
    <s v="PROD2"/>
    <s v="Women's Casual Hoodie"/>
    <x v="1"/>
    <s v="Outerwear"/>
    <s v="Sims Inc"/>
  </r>
  <r>
    <s v="PROD3"/>
    <s v="Men's Running Jacket"/>
    <x v="1"/>
    <s v="Outerwear"/>
    <s v="Pineda Ltd"/>
  </r>
  <r>
    <s v="PROD4"/>
    <s v="Women's Yoga Pants"/>
    <x v="1"/>
    <s v="Bottoms"/>
    <s v="Gonzales-Davis"/>
  </r>
  <r>
    <s v="PROD5"/>
    <s v="Men's Leather Belt"/>
    <x v="1"/>
    <s v="Accessories"/>
    <s v="Baldwin, Garza and Gonzalez"/>
  </r>
  <r>
    <s v="PROD6"/>
    <s v="Herbal Face Moisturizer"/>
    <x v="2"/>
    <s v="Skincare"/>
    <s v="Davidson PLC"/>
  </r>
  <r>
    <s v="PROD7"/>
    <s v="LED Table Lamp"/>
    <x v="3"/>
    <s v="Lighting"/>
    <s v="Harrell LLC"/>
  </r>
  <r>
    <s v="PROD8"/>
    <s v="Wireless Bluetooth Earbuds"/>
    <x v="0"/>
    <s v="Audio"/>
    <s v="Perez-Johnston"/>
  </r>
  <r>
    <s v="PROD9"/>
    <s v="Adjustable Dumbbell Set"/>
    <x v="4"/>
    <s v="Fitness"/>
    <s v="Hill PLC"/>
  </r>
  <r>
    <s v="PROD10"/>
    <s v="Ceramic Kitchen Bowl Set"/>
    <x v="3"/>
    <s v="Kitchen"/>
    <s v="Hamilton Group"/>
  </r>
  <r>
    <s v="PROD11"/>
    <s v="HD Smart TV Stick"/>
    <x v="0"/>
    <s v="Accessories"/>
    <s v="Gibson, Hobbs and Weaver"/>
  </r>
  <r>
    <s v="PROD12"/>
    <s v="Hair Strengthening Shampoo"/>
    <x v="2"/>
    <s v="Haircare"/>
    <s v="Rice LLC"/>
  </r>
  <r>
    <s v="PROD13"/>
    <s v="USB-C Fast Charger"/>
    <x v="0"/>
    <s v="Accessories"/>
    <s v="Dawson-Perkins"/>
  </r>
  <r>
    <s v="PROD14"/>
    <s v="Decorative Wall Mirror"/>
    <x v="3"/>
    <s v="Decor"/>
    <s v="Luna, Anderson and Bowman"/>
  </r>
  <r>
    <s v="PROD15"/>
    <s v="4K Home Projector"/>
    <x v="0"/>
    <s v="Appliances"/>
    <s v="Thomas LLC"/>
  </r>
  <r>
    <s v="PROD16"/>
    <s v="Beard Grooming Kit"/>
    <x v="2"/>
    <s v="Grooming"/>
    <s v="Erickson-Green"/>
  </r>
  <r>
    <s v="PROD17"/>
    <s v="Soccer Training Cone Set"/>
    <x v="4"/>
    <s v="Accessories"/>
    <s v="Ford, Murphy and Wilson"/>
  </r>
  <r>
    <s v="PROD18"/>
    <s v="Women's Denim Jeans"/>
    <x v="1"/>
    <s v="Bottoms"/>
    <s v="Guerra-Hendrix"/>
  </r>
  <r>
    <s v="PROD19"/>
    <s v="Knee Support Brace"/>
    <x v="4"/>
    <s v="Equipment"/>
    <s v="May-Reese"/>
  </r>
  <r>
    <s v="PROD20"/>
    <s v="Outdoor Sports Water Bottle"/>
    <x v="4"/>
    <s v="Accessories"/>
    <s v="Soto-Ellis"/>
  </r>
  <r>
    <s v="PROD21"/>
    <s v="Multi-Purpose Storage Box"/>
    <x v="3"/>
    <s v="Storage"/>
    <s v="Gardner-Montes"/>
  </r>
  <r>
    <s v="PROD22"/>
    <s v="Carbon Fiber Tennis Racket"/>
    <x v="4"/>
    <s v="Equipment"/>
    <s v="Flores, Pineda and Rodriguez"/>
  </r>
  <r>
    <s v="PROD23"/>
    <s v="Men's Formal Shirt"/>
    <x v="1"/>
    <s v="Tops"/>
    <s v="Moon, Mora and Santos"/>
  </r>
  <r>
    <s v="PROD24"/>
    <s v="Foldable Camping Chair"/>
    <x v="4"/>
    <s v="Outdoor"/>
    <s v="Cook Ltd"/>
  </r>
  <r>
    <s v="PROD25"/>
    <s v="Women's Scarf Set"/>
    <x v="1"/>
    <s v="Accessories"/>
    <s v="Brown and Sons"/>
  </r>
  <r>
    <s v="PROD26"/>
    <s v="Wireless Bluetooth Speaker"/>
    <x v="0"/>
    <s v="Audio"/>
    <s v="Reed-Schmidt"/>
  </r>
  <r>
    <s v="PROD27"/>
    <s v="Decorative Floor Vase"/>
    <x v="3"/>
    <s v="Decor"/>
    <s v="Khan, Jones and Paul"/>
  </r>
  <r>
    <s v="PROD28"/>
    <s v="Sports Stopwatch Timer"/>
    <x v="4"/>
    <s v="Accessories"/>
    <s v="Burns-Hansen"/>
  </r>
  <r>
    <s v="PROD29"/>
    <s v="Fabric Sofa Throw Blanket"/>
    <x v="3"/>
    <s v="Decor"/>
    <s v="Hoffman Group"/>
  </r>
  <r>
    <s v="PROD30"/>
    <s v="Stainless Steel Cutlery Set"/>
    <x v="3"/>
    <s v="Kitchen"/>
    <s v="Stevens, Fernandez and Martin"/>
  </r>
  <r>
    <s v="PROD31"/>
    <s v="Basketball"/>
    <x v="4"/>
    <s v="Team Sports"/>
    <s v="Nolan-Snow"/>
  </r>
  <r>
    <s v="PROD32"/>
    <s v="Vitamin C Face Serum"/>
    <x v="2"/>
    <s v="Skincare"/>
    <s v="Griffin Ltd"/>
  </r>
  <r>
    <s v="PROD33"/>
    <s v="Modern Wall Clock"/>
    <x v="3"/>
    <s v="Decor"/>
    <s v="Weiss-Watson"/>
  </r>
  <r>
    <s v="PROD34"/>
    <s v="Gaming Mechanical Keyboard"/>
    <x v="0"/>
    <s v="Computer"/>
    <s v="Lucero LLC"/>
  </r>
  <r>
    <s v="PROD35"/>
    <s v="Bedroom Table Lamp"/>
    <x v="3"/>
    <s v="Lighting"/>
    <s v="Jones LLC"/>
  </r>
  <r>
    <s v="PROD36"/>
    <s v="Women's Summer Dress"/>
    <x v="1"/>
    <s v="Tops"/>
    <s v="Smith-Mills"/>
  </r>
  <r>
    <s v="PROD37"/>
    <s v="Men's Casual Sneakers"/>
    <x v="1"/>
    <s v="Footwear"/>
    <s v="Hogan-Lee"/>
  </r>
  <r>
    <s v="PROD38"/>
    <s v="Sports Water Hydration Pack"/>
    <x v="4"/>
    <s v="Outdoor"/>
    <s v="Sims-Smith"/>
  </r>
  <r>
    <s v="PROD39"/>
    <s v="Portable Power Bank"/>
    <x v="0"/>
    <s v="Mobile"/>
    <s v="Cummings and Sons"/>
  </r>
  <r>
    <s v="PROD40"/>
    <s v="Noise-Canceling Headphones"/>
    <x v="0"/>
    <s v="Audio"/>
    <s v="Taylor-Hart"/>
  </r>
  <r>
    <s v="PROD41"/>
    <s v="Yoga Exercise Mat"/>
    <x v="4"/>
    <s v="Fitness"/>
    <s v="Carroll, Long and Mendoza"/>
  </r>
  <r>
    <s v="PROD42"/>
    <s v="Smart Home WiFi Camera"/>
    <x v="0"/>
    <s v="Accessories"/>
    <s v="Holmes LLC"/>
  </r>
  <r>
    <s v="PROD43"/>
    <s v="USB External Hard Drive"/>
    <x v="0"/>
    <s v="Computer"/>
    <s v="Robinson Inc"/>
  </r>
  <r>
    <s v="PROD44"/>
    <s v="Adjustable Jump Rope"/>
    <x v="4"/>
    <s v="Fitness"/>
    <s v="Cox Inc"/>
  </r>
  <r>
    <s v="PROD45"/>
    <s v="High-Grip Football"/>
    <x v="4"/>
    <s v="Team Sports"/>
    <s v="Bridges, Banks and Cummings"/>
  </r>
  <r>
    <s v="PROD46"/>
    <s v="Men's Winter Jacket"/>
    <x v="1"/>
    <s v="Outerwear"/>
    <s v="Kelly, Smith and Perez"/>
  </r>
  <r>
    <s v="PROD47"/>
    <s v="Makeup Brush Set"/>
    <x v="2"/>
    <s v="Makeup"/>
    <s v="Cook Inc"/>
  </r>
  <r>
    <s v="PROD48"/>
    <s v="Car Dashboard Phone Holder"/>
    <x v="0"/>
    <s v="Accessories"/>
    <s v="Byrd, Stewart and Valdez"/>
  </r>
  <r>
    <s v="PROD49"/>
    <s v="Men's Roll-On Perfume"/>
    <x v="2"/>
    <s v="Fragrance"/>
    <s v="Sullivan and Sons"/>
  </r>
  <r>
    <s v="PROD50"/>
    <s v="Boxing Hand Wraps"/>
    <x v="4"/>
    <s v="Fitness"/>
    <s v="Smith-King"/>
  </r>
  <r>
    <s v="PROD51"/>
    <s v="HDMI Cable – 2m"/>
    <x v="0"/>
    <s v="Accessories"/>
    <s v="Bautista, Green and Hale"/>
  </r>
  <r>
    <s v="PROD52"/>
    <s v="Rugby Ball"/>
    <x v="4"/>
    <s v="Team Sports"/>
    <s v="Harris Inc"/>
  </r>
  <r>
    <s v="PROD53"/>
    <s v="Men's Track Pants"/>
    <x v="1"/>
    <s v="Bottoms"/>
    <s v="Hamilton, Woods and Walker"/>
  </r>
  <r>
    <s v="PROD54"/>
    <s v="Sports Stopwatch Pro"/>
    <x v="4"/>
    <s v="Accessories"/>
    <s v="Thompson-French"/>
  </r>
  <r>
    <s v="PROD55"/>
    <s v="Ceramic Plant Pot"/>
    <x v="3"/>
    <s v="Decor"/>
    <s v="Hatfield, Baird and Torres"/>
  </r>
  <r>
    <s v="PROD56"/>
    <s v="Premium Blanket Throw"/>
    <x v="3"/>
    <s v="Decor"/>
    <s v="Hernandez, Kennedy and Porter"/>
  </r>
  <r>
    <s v="PROD57"/>
    <s v="Foam Roller"/>
    <x v="4"/>
    <s v="Fitness"/>
    <s v="Atkinson, Camacho and Oliver"/>
  </r>
  <r>
    <s v="PROD58"/>
    <s v="Womens Cotton Scarf"/>
    <x v="1"/>
    <s v="Accessories"/>
    <s v="Shepherd-Gould"/>
  </r>
  <r>
    <s v="PROD59"/>
    <s v="Men's Hair Styling Gel"/>
    <x v="2"/>
    <s v="Haircare"/>
    <s v="Cline-Mccarthy"/>
  </r>
  <r>
    <s v="PROD60"/>
    <s v="Luxury Perfume Spray"/>
    <x v="2"/>
    <s v="Fragrance"/>
    <s v="Gibson, Green and Lopez"/>
  </r>
  <r>
    <s v="PROD61"/>
    <s v="Tennis Ball 3-Pack"/>
    <x v="4"/>
    <s v="Equipment"/>
    <s v="Lopez LLC"/>
  </r>
  <r>
    <s v="PROD62"/>
    <s v="Laptop Cooling Pad"/>
    <x v="0"/>
    <s v="Computer"/>
    <s v="Murray, Gould and Ware"/>
  </r>
  <r>
    <s v="PROD63"/>
    <s v="Organic Sunscreen Lotion"/>
    <x v="2"/>
    <s v="Skincare"/>
    <s v="Anderson-Riley"/>
  </r>
  <r>
    <s v="PROD64"/>
    <s v="Matte Lipstick Set"/>
    <x v="2"/>
    <s v="Makeup"/>
    <s v="Zhang Inc"/>
  </r>
  <r>
    <s v="PROD65"/>
    <s v="Adjustable Dumbbells 20kg"/>
    <x v="4"/>
    <s v="Fitness"/>
    <s v="Montgomery, Benton and Miller"/>
  </r>
  <r>
    <s v="PROD66"/>
    <s v="Women's Hair Dryer Brush"/>
    <x v="2"/>
    <s v="Haircare"/>
    <s v="Torres, Spencer and Potter"/>
  </r>
  <r>
    <s v="PROD67"/>
    <s v="Smart LED Light Strip"/>
    <x v="0"/>
    <s v="Accessories"/>
    <s v="Flores-Davis"/>
  </r>
  <r>
    <s v="PROD68"/>
    <s v="Wooden Nightstand"/>
    <x v="3"/>
    <s v="Furniture"/>
    <s v="Wolfe, Ross and Hester"/>
  </r>
  <r>
    <s v="PROD69"/>
    <s v="Men's Sports Shorts"/>
    <x v="1"/>
    <s v="Bottoms"/>
    <s v="Fitzpatrick Ltd"/>
  </r>
  <r>
    <s v="PROD70"/>
    <s v="Kitchen Storage Rack"/>
    <x v="3"/>
    <s v="Storage"/>
    <s v="Duran Group"/>
  </r>
  <r>
    <s v="PROD71"/>
    <s v="Hair Repair Oil Treatment"/>
    <x v="2"/>
    <s v="Haircare"/>
    <s v="Hopkins Ltd"/>
  </r>
  <r>
    <s v="PROD72"/>
    <s v="Professional Jump Rope"/>
    <x v="4"/>
    <s v="Fitness"/>
    <s v="Davis PLC"/>
  </r>
  <r>
    <s v="PROD73"/>
    <s v="Shin Guards – Adult"/>
    <x v="4"/>
    <s v="Team Sports"/>
    <s v="French Ltd"/>
  </r>
  <r>
    <s v="PROD74"/>
    <s v="Bluetooth Car Audio System"/>
    <x v="0"/>
    <s v="Audio"/>
    <s v="Bruce-Bowen"/>
  </r>
  <r>
    <s v="PROD75"/>
    <s v="Women's Ankle Boots"/>
    <x v="1"/>
    <s v="Footwear"/>
    <s v="Poole PLC"/>
  </r>
  <r>
    <s v="PROD76"/>
    <s v="Wireless Mouse"/>
    <x v="0"/>
    <s v="Computer"/>
    <s v="Larson Ltd"/>
  </r>
  <r>
    <s v="PROD77"/>
    <s v="WiFi Mesh Router"/>
    <x v="0"/>
    <s v="Appliances"/>
    <s v="White, Reeves and Woods"/>
  </r>
  <r>
    <s v="PROD78"/>
    <s v="Essential Oil Diffuser"/>
    <x v="3"/>
    <s v="Decor"/>
    <s v="Hernandez Inc"/>
  </r>
  <r>
    <s v="PROD79"/>
    <s v="Decorative Lamp Shade"/>
    <x v="3"/>
    <s v="Lighting"/>
    <s v="Ramirez-Hanson"/>
  </r>
  <r>
    <s v="PROD80"/>
    <s v="Wall-Mounted Spice Rack"/>
    <x v="3"/>
    <s v="Kitchen"/>
    <s v="Allison Ltd"/>
  </r>
  <r>
    <s v="PROD81"/>
    <s v="Badminton Racket Set"/>
    <x v="4"/>
    <s v="Equipment"/>
    <s v="Robinson-Brown"/>
  </r>
  <r>
    <s v="PROD82"/>
    <s v="Fitness Resistance Bands"/>
    <x v="4"/>
    <s v="Fitness"/>
    <s v="Reese-Watson"/>
  </r>
  <r>
    <s v="PROD83"/>
    <s v="Hydrating Face Cleanser"/>
    <x v="2"/>
    <s v="Skincare"/>
    <s v="Butler Group"/>
  </r>
  <r>
    <s v="PROD84"/>
    <s v="Wooden Bookshelf"/>
    <x v="3"/>
    <s v="Furniture"/>
    <s v="Collins-Stephenson"/>
  </r>
  <r>
    <s v="PROD85"/>
    <s v="Women's Beanie Hat"/>
    <x v="1"/>
    <s v="Accessories"/>
    <s v="Richardson-Carrillo"/>
  </r>
  <r>
    <s v="PROD86"/>
    <s v="Kitchen Cutting Board"/>
    <x v="3"/>
    <s v="Kitchen"/>
    <s v="Taylor, Dodson and Johnston"/>
  </r>
  <r>
    <s v="PROD87"/>
    <s v="LED Bedside Lamp"/>
    <x v="3"/>
    <s v="Lighting"/>
    <s v="Aguilar, Horton and Lewis"/>
  </r>
  <r>
    <s v="PROD88"/>
    <s v="Sports Wrist Sweatbands"/>
    <x v="4"/>
    <s v="Accessories"/>
    <s v="Olsen-Daniels"/>
  </r>
  <r>
    <s v="PROD89"/>
    <s v="Face Foundation Kit"/>
    <x v="2"/>
    <s v="Makeup"/>
    <s v="Taylor-Elliott"/>
  </r>
  <r>
    <s v="PROD90"/>
    <s v="Gaming Mouse Pad XL"/>
    <x v="0"/>
    <s v="Accessories"/>
    <s v="Sharp, Taylor and Rodriguez"/>
  </r>
  <r>
    <s v="PROD91"/>
    <s v="Women's High Heels"/>
    <x v="1"/>
    <s v="Footwear"/>
    <s v="Smith-Charles"/>
  </r>
  <r>
    <s v="PROD92"/>
    <s v="Microwave Oven"/>
    <x v="3"/>
    <s v="Appliances"/>
    <s v="Green, Powell and Palmer"/>
  </r>
  <r>
    <s v="PROD93"/>
    <s v="USB-C Laptop Charger"/>
    <x v="0"/>
    <s v="Computer"/>
    <s v="Martin LLC"/>
  </r>
  <r>
    <s v="PROD94"/>
    <s v="Vitamin E Body Lotion"/>
    <x v="2"/>
    <s v="Skincare"/>
    <s v="Hoffman-Williams"/>
  </r>
  <r>
    <s v="PROD95"/>
    <s v="Sports Stopwatch Basic"/>
    <x v="4"/>
    <s v="Accessories"/>
    <s v="Wilson Group"/>
  </r>
  <r>
    <s v="PROD96"/>
    <s v="Women's Formal Blazer"/>
    <x v="1"/>
    <s v="Outerwear"/>
    <s v="Phillips and Sons"/>
  </r>
  <r>
    <s v="PROD97"/>
    <s v="Cricket Bat"/>
    <x v="4"/>
    <s v="Team Sports"/>
    <s v="Khan LLC"/>
  </r>
  <r>
    <s v="PROD98"/>
    <s v="Portable Bluetooth Speaker"/>
    <x v="0"/>
    <s v="Audio"/>
    <s v="Flores-King"/>
  </r>
  <r>
    <s v="PROD99"/>
    <s v="Stainless Steel Cookware Set"/>
    <x v="3"/>
    <s v="Kitchen"/>
    <s v="Campbell Ltd"/>
  </r>
  <r>
    <m/>
    <m/>
    <x v="5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SALE0"/>
    <d v="2024-07-07T00:00:00"/>
    <x v="0"/>
    <s v="PROD97"/>
    <s v="STORE3"/>
    <n v="1"/>
    <n v="218.04"/>
    <n v="0.09"/>
    <x v="0"/>
    <n v="198.41640000000001"/>
    <n v="2174394.6983000007"/>
    <n v="1087.1973491500003"/>
    <n v="695"/>
    <s v="Low Value"/>
    <s v="Jul-2024"/>
    <s v="Cricket Bat"/>
    <s v="Sports"/>
    <x v="0"/>
  </r>
  <r>
    <s v="SALE1"/>
    <d v="2023-12-25T00:00:00"/>
    <x v="1"/>
    <s v="PROD74"/>
    <s v="STORE17"/>
    <n v="3"/>
    <n v="104.47"/>
    <n v="0.27"/>
    <x v="1"/>
    <n v="228.7893"/>
    <n v="2174196.2819000003"/>
    <n v="1087.6419619309656"/>
    <n v="695"/>
    <s v="Low Value"/>
    <s v="Dec-2023"/>
    <s v="Bluetooth Car Audio System"/>
    <s v="Electronics"/>
    <x v="1"/>
  </r>
  <r>
    <s v="SALE2"/>
    <d v="2024-06-03T00:00:00"/>
    <x v="2"/>
    <s v="PROD49"/>
    <s v="STORE8"/>
    <n v="4"/>
    <n v="914.05"/>
    <n v="0.25"/>
    <x v="0"/>
    <n v="2742.15"/>
    <n v="2173967.4926000005"/>
    <n v="1088.0718181181182"/>
    <n v="694"/>
    <s v="High Value"/>
    <s v="Jun-2024"/>
    <s v="Men's Roll-On Perfume"/>
    <s v="Beauty"/>
    <x v="2"/>
  </r>
  <r>
    <s v="SALE3"/>
    <d v="2023-11-29T00:00:00"/>
    <x v="3"/>
    <s v="PROD76"/>
    <s v="STORE8"/>
    <n v="1"/>
    <n v="921.51"/>
    <n v="0.16"/>
    <x v="2"/>
    <n v="774.0684"/>
    <n v="2171225.3426000001"/>
    <n v="1087.2435366049074"/>
    <n v="694"/>
    <s v="Low Value"/>
    <s v="Nov-2023"/>
    <s v="Wireless Mouse"/>
    <s v="Electronics"/>
    <x v="3"/>
  </r>
  <r>
    <s v="SALE4"/>
    <d v="2024-01-06T00:00:00"/>
    <x v="4"/>
    <s v="PROD59"/>
    <s v="STORE5"/>
    <n v="3"/>
    <n v="745.3"/>
    <n v="0.18"/>
    <x v="0"/>
    <n v="1833.4380000000001"/>
    <n v="2170451.2741999999"/>
    <n v="1087.4004379759519"/>
    <n v="694"/>
    <s v="High Value"/>
    <s v="Jan-2024"/>
    <s v="Men's Hair Styling Gel"/>
    <s v="Beauty"/>
    <x v="4"/>
  </r>
  <r>
    <s v="SALE5"/>
    <d v="2024-07-26T00:00:00"/>
    <x v="5"/>
    <s v="PROD15"/>
    <s v="STORE7"/>
    <n v="3"/>
    <n v="147.01"/>
    <n v="0.19"/>
    <x v="2"/>
    <n v="357.23430000000002"/>
    <n v="2168617.8362000003"/>
    <n v="1087.0264843107771"/>
    <n v="694"/>
    <s v="Low Value"/>
    <s v="Jul-2024"/>
    <s v="4K Home Projector"/>
    <s v="Electronics"/>
    <x v="5"/>
  </r>
  <r>
    <s v="SALE6"/>
    <d v="2025-07-12T00:00:00"/>
    <x v="6"/>
    <s v="PROD56"/>
    <s v="STORE4"/>
    <n v="2"/>
    <n v="785.31"/>
    <n v="0.15"/>
    <x v="1"/>
    <n v="1335.027"/>
    <n v="2168260.6019000001"/>
    <n v="1087.3924783851555"/>
    <n v="694"/>
    <s v="High Value"/>
    <s v="Jul-2025"/>
    <s v="Premium Blanket Throw"/>
    <s v="Home"/>
    <x v="6"/>
  </r>
  <r>
    <s v="SALE7"/>
    <d v="2023-11-18T00:00:00"/>
    <x v="7"/>
    <s v="PROD70"/>
    <s v="STORE8"/>
    <n v="4"/>
    <n v="342.39"/>
    <n v="0.23"/>
    <x v="1"/>
    <n v="1054.5612000000001"/>
    <n v="2166925.5749000004"/>
    <n v="1087.2682262418466"/>
    <n v="693"/>
    <s v="High Value"/>
    <s v="Nov-2023"/>
    <s v="Kitchen Storage Rack"/>
    <s v="Home"/>
    <x v="7"/>
  </r>
  <r>
    <s v="SALE8"/>
    <d v="2025-05-04T00:00:00"/>
    <x v="8"/>
    <s v="PROD99"/>
    <s v="STORE5"/>
    <n v="3"/>
    <n v="448.25"/>
    <n v="7.0000000000000007E-2"/>
    <x v="1"/>
    <n v="1250.6175000000001"/>
    <n v="2165871.0137000005"/>
    <n v="1087.2846454317271"/>
    <n v="692"/>
    <s v="High Value"/>
    <s v="May-2025"/>
    <s v="Stainless Steel Cookware Set"/>
    <s v="Home"/>
    <x v="8"/>
  </r>
  <r>
    <s v="SALE9"/>
    <d v="2025-07-31T00:00:00"/>
    <x v="9"/>
    <s v="PROD33"/>
    <s v="STORE0"/>
    <n v="2"/>
    <n v="873.17"/>
    <n v="0.23"/>
    <x v="1"/>
    <n v="1344.6818000000001"/>
    <n v="2164620.3962000008"/>
    <n v="1087.2026098442998"/>
    <n v="691"/>
    <s v="High Value"/>
    <s v="Jul-2025"/>
    <s v="Modern Wall Clock"/>
    <s v="Home"/>
    <x v="9"/>
  </r>
  <r>
    <s v="SALE10"/>
    <d v="2024-02-13T00:00:00"/>
    <x v="10"/>
    <s v="PROD24"/>
    <s v="STORE14"/>
    <n v="1"/>
    <n v="278.63"/>
    <n v="7.0000000000000007E-2"/>
    <x v="0"/>
    <n v="259.1259"/>
    <n v="2163275.7144000009"/>
    <n v="1087.0732233165834"/>
    <n v="690"/>
    <s v="Low Value"/>
    <s v="Feb-2024"/>
    <s v="Foldable Camping Chair"/>
    <s v="Sports"/>
    <x v="10"/>
  </r>
  <r>
    <s v="SALE11"/>
    <d v="2025-05-24T00:00:00"/>
    <x v="11"/>
    <s v="PROD39"/>
    <s v="STORE1"/>
    <n v="4"/>
    <n v="286.92"/>
    <n v="0.17"/>
    <x v="0"/>
    <n v="952.57439999999997"/>
    <n v="2163016.588500001"/>
    <n v="1087.4894864253399"/>
    <n v="690"/>
    <s v="Low Value"/>
    <s v="May-2025"/>
    <s v="Portable Power Bank"/>
    <s v="Electronics"/>
    <x v="11"/>
  </r>
  <r>
    <s v="SALE12"/>
    <d v="2024-08-24T00:00:00"/>
    <x v="12"/>
    <s v="PROD88"/>
    <s v="STORE4"/>
    <n v="4"/>
    <n v="644.58000000000004"/>
    <n v="0.01"/>
    <x v="0"/>
    <n v="2552.5367999999999"/>
    <n v="2162064.0141000012"/>
    <n v="1087.5573511569423"/>
    <n v="690"/>
    <s v="High Value"/>
    <s v="Aug-2024"/>
    <s v="Sports Wrist Sweatbands"/>
    <s v="Sports"/>
    <x v="12"/>
  </r>
  <r>
    <s v="SALE13"/>
    <d v="2025-08-06T00:00:00"/>
    <x v="13"/>
    <s v="PROD34"/>
    <s v="STORE16"/>
    <n v="2"/>
    <n v="316.89999999999998"/>
    <n v="0.3"/>
    <x v="1"/>
    <n v="443.66"/>
    <n v="2159511.4773000008"/>
    <n v="1086.8200690991448"/>
    <n v="690"/>
    <s v="Low Value"/>
    <s v="Aug-2025"/>
    <s v="Gaming Mechanical Keyboard"/>
    <s v="Electronics"/>
    <x v="13"/>
  </r>
  <r>
    <s v="SALE14"/>
    <d v="2025-06-21T00:00:00"/>
    <x v="14"/>
    <s v="PROD24"/>
    <s v="STORE15"/>
    <n v="4"/>
    <n v="403.47"/>
    <n v="0.28999999999999998"/>
    <x v="1"/>
    <n v="1145.8548000000001"/>
    <n v="2159067.8173000007"/>
    <n v="1087.1439160624375"/>
    <n v="689"/>
    <s v="High Value"/>
    <s v="Jun-2025"/>
    <s v="Foldable Camping Chair"/>
    <s v="Sports"/>
    <x v="14"/>
  </r>
  <r>
    <s v="SALE15"/>
    <d v="2024-12-10T00:00:00"/>
    <x v="15"/>
    <s v="PROD36"/>
    <s v="STORE9"/>
    <n v="3"/>
    <n v="871.34"/>
    <n v="0.04"/>
    <x v="2"/>
    <n v="2509.4591999999998"/>
    <n v="2157921.9625000008"/>
    <n v="1087.1143387909324"/>
    <n v="688"/>
    <s v="High Value"/>
    <s v="Dec-2024"/>
    <s v="Women's Summer Dress"/>
    <s v="Clothing"/>
    <x v="15"/>
  </r>
  <r>
    <s v="SALE16"/>
    <d v="2025-09-13T00:00:00"/>
    <x v="16"/>
    <s v="PROD65"/>
    <s v="STORE19"/>
    <n v="2"/>
    <n v="451.98"/>
    <n v="0.25"/>
    <x v="0"/>
    <n v="677.97"/>
    <n v="2155412.5033000009"/>
    <n v="1086.3974310987908"/>
    <n v="688"/>
    <s v="Low Value"/>
    <s v="Sep-2025"/>
    <s v="Adjustable Dumbbells 20kg"/>
    <s v="Sports"/>
    <x v="16"/>
  </r>
  <r>
    <s v="SALE17"/>
    <d v="2024-12-11T00:00:00"/>
    <x v="17"/>
    <s v="PROD27"/>
    <s v="STORE4"/>
    <n v="2"/>
    <n v="502.69"/>
    <n v="0.23"/>
    <x v="0"/>
    <n v="774.14260000000002"/>
    <n v="2154734.5333000012"/>
    <n v="1086.6033955118514"/>
    <n v="688"/>
    <s v="Low Value"/>
    <s v="Dec-2024"/>
    <s v="Decorative Floor Vase"/>
    <s v="Home"/>
    <x v="17"/>
  </r>
  <r>
    <s v="SALE18"/>
    <d v="2024-08-13T00:00:00"/>
    <x v="18"/>
    <s v="PROD39"/>
    <s v="STORE4"/>
    <n v="2"/>
    <n v="559.23"/>
    <n v="0.25"/>
    <x v="2"/>
    <n v="838.84500000000003"/>
    <n v="2153960.3907000013"/>
    <n v="1086.7610447527757"/>
    <n v="688"/>
    <s v="Low Value"/>
    <s v="Aug-2024"/>
    <s v="Portable Power Bank"/>
    <s v="Electronics"/>
    <x v="18"/>
  </r>
  <r>
    <s v="SALE19"/>
    <d v="2024-03-18T00:00:00"/>
    <x v="19"/>
    <s v="PROD60"/>
    <s v="STORE13"/>
    <n v="4"/>
    <n v="464.18"/>
    <n v="0.04"/>
    <x v="2"/>
    <n v="1782.4512"/>
    <n v="2153121.5457000011"/>
    <n v="1086.8861916708738"/>
    <n v="688"/>
    <s v="High Value"/>
    <s v="Mar-2024"/>
    <s v="Luxury Perfume Spray"/>
    <s v="Beauty"/>
    <x v="19"/>
  </r>
  <r>
    <s v="SALE20"/>
    <d v="2025-07-05T00:00:00"/>
    <x v="20"/>
    <s v="PROD72"/>
    <s v="STORE17"/>
    <n v="3"/>
    <n v="986.04"/>
    <n v="0.27"/>
    <x v="2"/>
    <n v="2159.4276"/>
    <n v="2151339.0945000006"/>
    <n v="1086.5348962121216"/>
    <n v="688"/>
    <s v="High Value"/>
    <s v="Jul-2025"/>
    <s v="Professional Jump Rope"/>
    <s v="Sports"/>
    <x v="20"/>
  </r>
  <r>
    <s v="SALE21"/>
    <d v="2024-06-04T00:00:00"/>
    <x v="21"/>
    <s v="PROD43"/>
    <s v="STORE18"/>
    <n v="1"/>
    <n v="589.55999999999995"/>
    <n v="0.22"/>
    <x v="0"/>
    <n v="459.85680000000002"/>
    <n v="2149179.6669000001"/>
    <n v="1085.9927574027288"/>
    <n v="688"/>
    <s v="Low Value"/>
    <s v="Jun-2024"/>
    <s v="USB External Hard Drive"/>
    <s v="Electronics"/>
    <x v="21"/>
  </r>
  <r>
    <s v="SALE22"/>
    <d v="2024-04-12T00:00:00"/>
    <x v="22"/>
    <s v="PROD69"/>
    <s v="STORE10"/>
    <n v="3"/>
    <n v="979.42"/>
    <n v="0.03"/>
    <x v="1"/>
    <n v="2850.1122"/>
    <n v="2148719.8101000004"/>
    <n v="1086.3093074317494"/>
    <n v="688"/>
    <s v="High Value"/>
    <s v="Apr-2024"/>
    <s v="Men's Sports Shorts"/>
    <s v="Clothing"/>
    <x v="22"/>
  </r>
  <r>
    <s v="SALE23"/>
    <d v="2024-06-23T00:00:00"/>
    <x v="23"/>
    <s v="PROD12"/>
    <s v="STORE8"/>
    <n v="1"/>
    <n v="719.28"/>
    <n v="0.08"/>
    <x v="0"/>
    <n v="661.73760000000004"/>
    <n v="2145869.6979"/>
    <n v="1085.4171461305007"/>
    <n v="687"/>
    <s v="Low Value"/>
    <s v="Jun-2024"/>
    <s v="Hair Strengthening Shampoo"/>
    <s v="Beauty"/>
    <x v="23"/>
  </r>
  <r>
    <s v="SALE24"/>
    <d v="2025-09-08T00:00:00"/>
    <x v="24"/>
    <s v="PROD67"/>
    <s v="STORE6"/>
    <n v="3"/>
    <n v="77.599999999999994"/>
    <n v="7.0000000000000007E-2"/>
    <x v="0"/>
    <n v="216.50399999999999"/>
    <n v="2145207.9603000004"/>
    <n v="1085.6315588562754"/>
    <n v="687"/>
    <s v="Low Value"/>
    <s v="Sep-2025"/>
    <s v="Smart LED Light Strip"/>
    <s v="Electronics"/>
    <x v="24"/>
  </r>
  <r>
    <s v="SALE25"/>
    <d v="2024-09-17T00:00:00"/>
    <x v="25"/>
    <s v="PROD5"/>
    <s v="STORE3"/>
    <n v="4"/>
    <n v="852.71"/>
    <n v="0.14000000000000001"/>
    <x v="1"/>
    <n v="2933.3224"/>
    <n v="2144991.4563000002"/>
    <n v="1086.0716234430381"/>
    <n v="687"/>
    <s v="High Value"/>
    <s v="Sep-2024"/>
    <s v="Men's Leather Belt"/>
    <s v="Clothing"/>
    <x v="25"/>
  </r>
  <r>
    <s v="SALE26"/>
    <d v="2024-01-03T00:00:00"/>
    <x v="26"/>
    <s v="PROD98"/>
    <s v="STORE8"/>
    <n v="4"/>
    <n v="156.16"/>
    <n v="0.04"/>
    <x v="0"/>
    <n v="599.65440000000001"/>
    <n v="2142058.1338999993"/>
    <n v="1085.1358327760888"/>
    <n v="686"/>
    <s v="Low Value"/>
    <s v="Jan-2024"/>
    <s v="Portable Bluetooth Speaker"/>
    <s v="Electronics"/>
    <x v="26"/>
  </r>
  <r>
    <s v="SALE27"/>
    <d v="2025-02-22T00:00:00"/>
    <x v="27"/>
    <s v="PROD77"/>
    <s v="STORE8"/>
    <n v="3"/>
    <n v="815.49"/>
    <n v="0.17"/>
    <x v="0"/>
    <n v="2030.5700999999999"/>
    <n v="2141458.4794999994"/>
    <n v="1085.3818953370499"/>
    <n v="686"/>
    <s v="High Value"/>
    <s v="Feb-2025"/>
    <s v="WiFi Mesh Router"/>
    <s v="Electronics"/>
    <x v="27"/>
  </r>
  <r>
    <s v="SALE28"/>
    <d v="2025-09-23T00:00:00"/>
    <x v="28"/>
    <s v="PROD13"/>
    <s v="STORE2"/>
    <n v="2"/>
    <n v="74.209999999999994"/>
    <n v="0.11"/>
    <x v="1"/>
    <n v="132.09379999999999"/>
    <n v="2139427.9093999998"/>
    <n v="1084.9025909736308"/>
    <n v="686"/>
    <s v="Low Value"/>
    <s v="Sep-2025"/>
    <s v="USB-C Fast Charger"/>
    <s v="Electronics"/>
    <x v="28"/>
  </r>
  <r>
    <s v="SALE29"/>
    <d v="2024-01-11T00:00:00"/>
    <x v="14"/>
    <s v="PROD99"/>
    <s v="STORE3"/>
    <n v="4"/>
    <n v="451.67"/>
    <n v="0.15"/>
    <x v="0"/>
    <n v="1535.6780000000001"/>
    <n v="2139295.8155999994"/>
    <n v="1085.3860048706238"/>
    <n v="685"/>
    <s v="High Value"/>
    <s v="Jan-2024"/>
    <s v="Stainless Steel Cookware Set"/>
    <s v="Home"/>
    <x v="14"/>
  </r>
  <r>
    <s v="SALE30"/>
    <d v="2023-10-18T00:00:00"/>
    <x v="29"/>
    <s v="PROD5"/>
    <s v="STORE19"/>
    <n v="1"/>
    <n v="429.38"/>
    <n v="0.13"/>
    <x v="1"/>
    <n v="373.56060000000002"/>
    <n v="2137760.1376"/>
    <n v="1085.1574302538072"/>
    <n v="685"/>
    <s v="Low Value"/>
    <s v="Oct-2023"/>
    <s v="Men's Leather Belt"/>
    <s v="Clothing"/>
    <x v="29"/>
  </r>
  <r>
    <s v="SALE31"/>
    <d v="2024-10-28T00:00:00"/>
    <x v="30"/>
    <s v="PROD53"/>
    <s v="STORE12"/>
    <n v="2"/>
    <n v="148.96"/>
    <n v="0.03"/>
    <x v="2"/>
    <n v="288.98239999999998"/>
    <n v="2137386.577"/>
    <n v="1085.5188303707466"/>
    <n v="684"/>
    <s v="Low Value"/>
    <s v="Oct-2024"/>
    <s v="Men's Track Pants"/>
    <s v="Clothing"/>
    <x v="30"/>
  </r>
  <r>
    <s v="SALE32"/>
    <d v="2024-11-01T00:00:00"/>
    <x v="31"/>
    <s v="PROD75"/>
    <s v="STORE8"/>
    <n v="4"/>
    <n v="313.83"/>
    <n v="0.08"/>
    <x v="0"/>
    <n v="1154.8943999999999"/>
    <n v="2137097.5945999995"/>
    <n v="1085.9235744918697"/>
    <n v="684"/>
    <s v="High Value"/>
    <s v="Nov-2024"/>
    <s v="Women's Ankle Boots"/>
    <s v="Clothing"/>
    <x v="31"/>
  </r>
  <r>
    <s v="SALE33"/>
    <d v="2024-11-24T00:00:00"/>
    <x v="32"/>
    <s v="PROD12"/>
    <s v="STORE6"/>
    <n v="2"/>
    <n v="717.31"/>
    <n v="0.15"/>
    <x v="0"/>
    <n v="1219.4269999999999"/>
    <n v="2135942.7001999998"/>
    <n v="1085.88851052364"/>
    <n v="684"/>
    <s v="High Value"/>
    <s v="Nov-2024"/>
    <s v="Hair Strengthening Shampoo"/>
    <s v="Beauty"/>
    <x v="32"/>
  </r>
  <r>
    <s v="SALE34"/>
    <d v="2023-10-16T00:00:00"/>
    <x v="33"/>
    <s v="PROD79"/>
    <s v="STORE1"/>
    <n v="3"/>
    <n v="873.22"/>
    <n v="0.18"/>
    <x v="0"/>
    <n v="2148.1212"/>
    <n v="2134723.2732000002"/>
    <n v="1085.8205865717193"/>
    <n v="684"/>
    <s v="High Value"/>
    <s v="Oct-2023"/>
    <s v="Decorative Lamp Shade"/>
    <s v="Home"/>
    <x v="33"/>
  </r>
  <r>
    <s v="SALE35"/>
    <d v="2025-08-09T00:00:00"/>
    <x v="34"/>
    <s v="PROD16"/>
    <s v="STORE3"/>
    <n v="4"/>
    <n v="109.36"/>
    <n v="0.19"/>
    <x v="2"/>
    <n v="354.32639999999998"/>
    <n v="2132575.1520000007"/>
    <n v="1085.2799755725193"/>
    <n v="684"/>
    <s v="Low Value"/>
    <s v="Aug-2025"/>
    <s v="Beard Grooming Kit"/>
    <s v="Beauty"/>
    <x v="34"/>
  </r>
  <r>
    <s v="SALE36"/>
    <d v="2024-12-09T00:00:00"/>
    <x v="35"/>
    <s v="PROD5"/>
    <s v="STORE7"/>
    <n v="3"/>
    <n v="559.52"/>
    <n v="0.16"/>
    <x v="1"/>
    <n v="1409.9903999999999"/>
    <n v="2132220.8256000006"/>
    <n v="1085.6521515274951"/>
    <n v="684"/>
    <s v="High Value"/>
    <s v="Dec-2024"/>
    <s v="Men's Leather Belt"/>
    <s v="Clothing"/>
    <x v="35"/>
  </r>
  <r>
    <s v="SALE37"/>
    <d v="2024-02-07T00:00:00"/>
    <x v="36"/>
    <s v="PROD10"/>
    <s v="STORE17"/>
    <n v="3"/>
    <n v="121.76"/>
    <n v="0.27"/>
    <x v="1"/>
    <n v="266.65440000000001"/>
    <n v="2130810.8352000006"/>
    <n v="1085.48692572593"/>
    <n v="683"/>
    <s v="Low Value"/>
    <s v="Feb-2024"/>
    <s v="Ceramic Kitchen Bowl Set"/>
    <s v="Home"/>
    <x v="36"/>
  </r>
  <r>
    <s v="SALE38"/>
    <d v="2024-03-27T00:00:00"/>
    <x v="37"/>
    <s v="PROD33"/>
    <s v="STORE13"/>
    <n v="4"/>
    <n v="735.32"/>
    <n v="0.06"/>
    <x v="2"/>
    <n v="2764.8031999999998"/>
    <n v="2130544.1808000007"/>
    <n v="1085.9042715596333"/>
    <n v="682"/>
    <s v="High Value"/>
    <s v="Mar-2024"/>
    <s v="Modern Wall Clock"/>
    <s v="Home"/>
    <x v="37"/>
  </r>
  <r>
    <s v="SALE39"/>
    <d v="2023-12-04T00:00:00"/>
    <x v="38"/>
    <s v="PROD94"/>
    <s v="STORE3"/>
    <n v="2"/>
    <n v="600.73"/>
    <n v="0.08"/>
    <x v="0"/>
    <n v="1105.3432"/>
    <n v="2127779.3776000007"/>
    <n v="1085.0481272819993"/>
    <n v="682"/>
    <s v="High Value"/>
    <s v="Dec-2023"/>
    <s v="Vitamin E Body Lotion"/>
    <s v="Beauty"/>
    <x v="38"/>
  </r>
  <r>
    <s v="SALE40"/>
    <d v="2024-07-13T00:00:00"/>
    <x v="39"/>
    <s v="PROD26"/>
    <s v="STORE19"/>
    <n v="2"/>
    <n v="873.86"/>
    <n v="7.0000000000000007E-2"/>
    <x v="2"/>
    <n v="1625.3796"/>
    <n v="2126674.0344000002"/>
    <n v="1085.0377726530614"/>
    <n v="682"/>
    <s v="High Value"/>
    <s v="Jul-2024"/>
    <s v="Wireless Bluetooth Speaker"/>
    <s v="Electronics"/>
    <x v="39"/>
  </r>
  <r>
    <s v="SALE41"/>
    <d v="2023-11-11T00:00:00"/>
    <x v="40"/>
    <s v="PROD23"/>
    <s v="STORE8"/>
    <n v="3"/>
    <n v="342.47"/>
    <n v="0.08"/>
    <x v="1"/>
    <n v="945.21720000000016"/>
    <n v="2125048.6548000006"/>
    <n v="1084.7619473200616"/>
    <n v="682"/>
    <s v="Low Value"/>
    <s v="Nov-2023"/>
    <s v="Men's Formal Shirt"/>
    <s v="Clothing"/>
    <x v="40"/>
  </r>
  <r>
    <s v="SALE42"/>
    <d v="2024-12-23T00:00:00"/>
    <x v="41"/>
    <s v="PROD29"/>
    <s v="STORE9"/>
    <n v="2"/>
    <n v="915.15"/>
    <n v="0.16"/>
    <x v="1"/>
    <n v="1537.452"/>
    <n v="2124103.4376000003"/>
    <n v="1084.8332163432076"/>
    <n v="681"/>
    <s v="High Value"/>
    <s v="Dec-2024"/>
    <s v="Fabric Sofa Throw Blanket"/>
    <s v="Home"/>
    <x v="41"/>
  </r>
  <r>
    <s v="SALE43"/>
    <d v="2025-01-20T00:00:00"/>
    <x v="42"/>
    <s v="PROD33"/>
    <s v="STORE17"/>
    <n v="3"/>
    <n v="863.11"/>
    <n v="0.28000000000000003"/>
    <x v="1"/>
    <n v="1864.3176000000001"/>
    <n v="2122565.9856000002"/>
    <n v="1084.6019343893715"/>
    <n v="680"/>
    <s v="High Value"/>
    <s v="Jan-2025"/>
    <s v="Modern Wall Clock"/>
    <s v="Home"/>
    <x v="42"/>
  </r>
  <r>
    <s v="SALE44"/>
    <d v="2024-09-03T00:00:00"/>
    <x v="43"/>
    <s v="PROD43"/>
    <s v="STORE12"/>
    <n v="2"/>
    <n v="209.32"/>
    <n v="0.23"/>
    <x v="2"/>
    <n v="322.3528"/>
    <n v="2120701.6680000001"/>
    <n v="1084.2033067484663"/>
    <n v="679"/>
    <s v="Low Value"/>
    <s v="Sep-2024"/>
    <s v="USB External Hard Drive"/>
    <s v="Electronics"/>
    <x v="43"/>
  </r>
  <r>
    <s v="SALE45"/>
    <d v="2024-11-10T00:00:00"/>
    <x v="44"/>
    <s v="PROD59"/>
    <s v="STORE8"/>
    <n v="4"/>
    <n v="288.60000000000002"/>
    <n v="0.09"/>
    <x v="1"/>
    <n v="1050.5039999999999"/>
    <n v="2120379.3152000001"/>
    <n v="1084.5930001023019"/>
    <n v="679"/>
    <s v="High Value"/>
    <s v="Nov-2024"/>
    <s v="Men's Hair Styling Gel"/>
    <s v="Beauty"/>
    <x v="44"/>
  </r>
  <r>
    <s v="SALE46"/>
    <d v="2024-10-05T00:00:00"/>
    <x v="45"/>
    <s v="PROD78"/>
    <s v="STORE16"/>
    <n v="1"/>
    <n v="418.69"/>
    <n v="0.06"/>
    <x v="1"/>
    <n v="393.5686"/>
    <n v="2119328.8112000003"/>
    <n v="1084.6104458546572"/>
    <n v="678"/>
    <s v="Low Value"/>
    <s v="Oct-2024"/>
    <s v="Essential Oil Diffuser"/>
    <s v="Home"/>
    <x v="45"/>
  </r>
  <r>
    <s v="SALE47"/>
    <d v="2024-06-23T00:00:00"/>
    <x v="46"/>
    <s v="PROD30"/>
    <s v="STORE11"/>
    <n v="1"/>
    <n v="135.78"/>
    <n v="0.14000000000000001"/>
    <x v="1"/>
    <n v="116.77079999999999"/>
    <n v="2118935.2426000005"/>
    <n v="1084.9642819252435"/>
    <n v="677"/>
    <s v="Low Value"/>
    <s v="Jun-2024"/>
    <s v="Stainless Steel Cutlery Set"/>
    <s v="Home"/>
    <x v="46"/>
  </r>
  <r>
    <s v="SALE48"/>
    <d v="2023-10-19T00:00:00"/>
    <x v="43"/>
    <s v="PROD44"/>
    <s v="STORE17"/>
    <n v="1"/>
    <n v="517.13"/>
    <n v="0.28000000000000003"/>
    <x v="0"/>
    <n v="372.33359999999999"/>
    <n v="2118818.4718000004"/>
    <n v="1085.4602826844264"/>
    <n v="676"/>
    <s v="Low Value"/>
    <s v="Oct-2023"/>
    <s v="Adjustable Jump Rope"/>
    <s v="Sports"/>
    <x v="43"/>
  </r>
  <r>
    <s v="SALE49"/>
    <d v="2024-11-11T00:00:00"/>
    <x v="47"/>
    <s v="PROD21"/>
    <s v="STORE16"/>
    <n v="2"/>
    <n v="384.66"/>
    <n v="0.08"/>
    <x v="2"/>
    <n v="707.77440000000013"/>
    <n v="2118446.1382000004"/>
    <n v="1085.8258012301385"/>
    <n v="676"/>
    <s v="Low Value"/>
    <s v="Nov-2024"/>
    <s v="Multi-Purpose Storage Box"/>
    <s v="Home"/>
    <x v="47"/>
  </r>
  <r>
    <s v="SALE50"/>
    <d v="2023-12-31T00:00:00"/>
    <x v="45"/>
    <s v="PROD52"/>
    <s v="STORE9"/>
    <n v="3"/>
    <n v="83.7"/>
    <n v="0.24"/>
    <x v="1"/>
    <n v="190.83600000000001"/>
    <n v="2117738.3638000004"/>
    <n v="1086.0196737435899"/>
    <n v="676"/>
    <s v="Low Value"/>
    <s v="Dec-2023"/>
    <s v="Rugby Ball"/>
    <s v="Sports"/>
    <x v="45"/>
  </r>
  <r>
    <s v="SALE51"/>
    <d v="2025-02-01T00:00:00"/>
    <x v="48"/>
    <s v="PROD69"/>
    <s v="STORE7"/>
    <n v="3"/>
    <n v="76.569999999999993"/>
    <n v="0.26"/>
    <x v="0"/>
    <n v="169.9854"/>
    <n v="2117547.5278000007"/>
    <n v="1086.4789778347874"/>
    <n v="675"/>
    <s v="Low Value"/>
    <s v="Feb-2025"/>
    <s v="Men's Sports Shorts"/>
    <s v="Clothing"/>
    <x v="48"/>
  </r>
  <r>
    <s v="SALE52"/>
    <d v="2025-08-25T00:00:00"/>
    <x v="28"/>
    <s v="PROD89"/>
    <s v="STORE6"/>
    <n v="3"/>
    <n v="162.02109999999999"/>
    <n v="0"/>
    <x v="0"/>
    <n v="486.06330000000003"/>
    <n v="2117377.5424000002"/>
    <n v="1086.9494570841889"/>
    <n v="675"/>
    <s v="Low Value"/>
    <s v="Aug-2025"/>
    <s v="Face Foundation Kit"/>
    <s v="Beauty"/>
    <x v="28"/>
  </r>
  <r>
    <s v="SALE53"/>
    <d v="2025-01-20T00:00:00"/>
    <x v="49"/>
    <s v="PROD20"/>
    <s v="STORE8"/>
    <n v="1"/>
    <n v="900.35"/>
    <n v="0.13"/>
    <x v="2"/>
    <n v="783.30449999999996"/>
    <n v="2116891.4791000001"/>
    <n v="1087.2580786337955"/>
    <n v="675"/>
    <s v="Low Value"/>
    <s v="Jan-2025"/>
    <s v="Outdoor Sports Water Bottle"/>
    <s v="Sports"/>
    <x v="49"/>
  </r>
  <r>
    <s v="SALE54"/>
    <d v="2025-02-18T00:00:00"/>
    <x v="50"/>
    <s v="PROD40"/>
    <s v="STORE10"/>
    <n v="4"/>
    <n v="428.09"/>
    <n v="7.0000000000000007E-2"/>
    <x v="0"/>
    <n v="1592.4947999999999"/>
    <n v="2116108.1746000005"/>
    <n v="1087.4142726618707"/>
    <n v="675"/>
    <s v="High Value"/>
    <s v="Feb-2025"/>
    <s v="Noise-Canceling Headphones"/>
    <s v="Electronics"/>
    <x v="50"/>
  </r>
  <r>
    <s v="SALE55"/>
    <d v="2024-10-24T00:00:00"/>
    <x v="51"/>
    <s v="PROD49"/>
    <s v="STORE11"/>
    <n v="2"/>
    <n v="559.71"/>
    <n v="0.3"/>
    <x v="2"/>
    <n v="783.59400000000005"/>
    <n v="2114515.6798"/>
    <n v="1087.1545911568123"/>
    <n v="675"/>
    <s v="Low Value"/>
    <s v="Oct-2024"/>
    <s v="Men's Roll-On Perfume"/>
    <s v="Beauty"/>
    <x v="51"/>
  </r>
  <r>
    <s v="SALE56"/>
    <d v="2023-12-22T00:00:00"/>
    <x v="52"/>
    <s v="PROD34"/>
    <s v="STORE6"/>
    <n v="2"/>
    <n v="833.7"/>
    <n v="0.06"/>
    <x v="1"/>
    <n v="1567.356"/>
    <n v="2113732.0858"/>
    <n v="1087.3107437242797"/>
    <n v="675"/>
    <s v="High Value"/>
    <s v="Dec-2023"/>
    <s v="Gaming Mechanical Keyboard"/>
    <s v="Electronics"/>
    <x v="52"/>
  </r>
  <r>
    <s v="SALE57"/>
    <d v="2024-06-19T00:00:00"/>
    <x v="1"/>
    <s v="PROD47"/>
    <s v="STORE14"/>
    <n v="2"/>
    <n v="680.16"/>
    <n v="0.28000000000000003"/>
    <x v="0"/>
    <n v="979.43039999999996"/>
    <n v="2112164.7297999999"/>
    <n v="1087.063679773546"/>
    <n v="674"/>
    <s v="Low Value"/>
    <s v="Jun-2024"/>
    <s v="Makeup Brush Set"/>
    <s v="Beauty"/>
    <x v="1"/>
  </r>
  <r>
    <s v="SALE58"/>
    <d v="2024-12-07T00:00:00"/>
    <x v="53"/>
    <s v="PROD15"/>
    <s v="STORE7"/>
    <n v="4"/>
    <n v="733.42"/>
    <n v="0.13"/>
    <x v="1"/>
    <n v="2552.3015999999998"/>
    <n v="2111185.2993999999"/>
    <n v="1087.119103707518"/>
    <n v="674"/>
    <s v="High Value"/>
    <s v="Dec-2024"/>
    <s v="4K Home Projector"/>
    <s v="Electronics"/>
    <x v="53"/>
  </r>
  <r>
    <s v="SALE59"/>
    <d v="2023-11-27T00:00:00"/>
    <x v="54"/>
    <s v="PROD89"/>
    <s v="STORE11"/>
    <n v="1"/>
    <n v="996.33"/>
    <n v="0.23"/>
    <x v="1"/>
    <n v="767.17410000000007"/>
    <n v="2108632.9978"/>
    <n v="1086.3642441009788"/>
    <n v="673"/>
    <s v="Low Value"/>
    <s v="Nov-2023"/>
    <s v="Face Foundation Kit"/>
    <s v="Beauty"/>
    <x v="54"/>
  </r>
  <r>
    <s v="SALE60"/>
    <d v="2025-07-16T00:00:00"/>
    <x v="55"/>
    <s v="PROD31"/>
    <s v="STORE10"/>
    <n v="1"/>
    <n v="198.83"/>
    <n v="0.09"/>
    <x v="2"/>
    <n v="180.93530000000001"/>
    <n v="2107865.8237000001"/>
    <n v="1086.5287751030928"/>
    <n v="672"/>
    <s v="Low Value"/>
    <s v="Jul-2025"/>
    <s v="Basketball"/>
    <s v="Sports"/>
    <x v="55"/>
  </r>
  <r>
    <s v="SALE61"/>
    <d v="2025-02-28T00:00:00"/>
    <x v="19"/>
    <s v="PROD19"/>
    <s v="STORE7"/>
    <n v="1"/>
    <n v="374.92"/>
    <n v="0.18"/>
    <x v="1"/>
    <n v="307.43439999999998"/>
    <n v="2107684.8884000001"/>
    <n v="1086.9958166064982"/>
    <n v="672"/>
    <s v="Low Value"/>
    <s v="Feb-2025"/>
    <s v="Knee Support Brace"/>
    <s v="Sports"/>
    <x v="19"/>
  </r>
  <r>
    <s v="SALE62"/>
    <d v="2024-08-11T00:00:00"/>
    <x v="9"/>
    <s v="PROD93"/>
    <s v="STORE16"/>
    <n v="1"/>
    <n v="468.94"/>
    <n v="0.12"/>
    <x v="0"/>
    <n v="412.66719999999998"/>
    <n v="2107377.4540000004"/>
    <n v="1087.3980670794635"/>
    <n v="671"/>
    <s v="Low Value"/>
    <s v="Aug-2024"/>
    <s v="USB-C Laptop Charger"/>
    <s v="Electronics"/>
    <x v="9"/>
  </r>
  <r>
    <s v="SALE63"/>
    <d v="2025-09-27T00:00:00"/>
    <x v="56"/>
    <s v="PROD89"/>
    <s v="STORE12"/>
    <n v="2"/>
    <n v="121.37"/>
    <n v="0.05"/>
    <x v="0"/>
    <n v="230.60300000000001"/>
    <n v="2106964.7868000004"/>
    <n v="1087.7464051626228"/>
    <n v="671"/>
    <s v="Low Value"/>
    <s v="Sep-2025"/>
    <s v="Face Foundation Kit"/>
    <s v="Beauty"/>
    <x v="56"/>
  </r>
  <r>
    <s v="SALE64"/>
    <d v="2025-09-14T00:00:00"/>
    <x v="57"/>
    <s v="PROD53"/>
    <s v="STORE10"/>
    <n v="3"/>
    <n v="480.06"/>
    <n v="0.01"/>
    <x v="0"/>
    <n v="1425.7782"/>
    <n v="2106734.1838000002"/>
    <n v="1088.1891445247936"/>
    <n v="671"/>
    <s v="High Value"/>
    <s v="Sep-2025"/>
    <s v="Men's Track Pants"/>
    <s v="Clothing"/>
    <x v="57"/>
  </r>
  <r>
    <s v="SALE65"/>
    <d v="2023-12-30T00:00:00"/>
    <x v="58"/>
    <s v="PROD99"/>
    <s v="STORE17"/>
    <n v="2"/>
    <n v="856.57"/>
    <n v="0.24"/>
    <x v="0"/>
    <n v="1301.9864"/>
    <n v="2105308.4056000002"/>
    <n v="1088.0146798966409"/>
    <n v="671"/>
    <s v="High Value"/>
    <s v="Dec-2023"/>
    <s v="Stainless Steel Cookware Set"/>
    <s v="Home"/>
    <x v="58"/>
  </r>
  <r>
    <s v="SALE66"/>
    <d v="2023-10-14T00:00:00"/>
    <x v="59"/>
    <s v="PROD77"/>
    <s v="STORE2"/>
    <n v="4"/>
    <n v="814.25"/>
    <n v="0.18"/>
    <x v="0"/>
    <n v="2670.74"/>
    <n v="2104006.4192000004"/>
    <n v="1087.9040430196485"/>
    <n v="671"/>
    <s v="High Value"/>
    <s v="Oct-2023"/>
    <s v="WiFi Mesh Router"/>
    <s v="Electronics"/>
    <x v="59"/>
  </r>
  <r>
    <s v="SALE67"/>
    <d v="2023-11-25T00:00:00"/>
    <x v="60"/>
    <s v="PROD12"/>
    <s v="STORE2"/>
    <n v="1"/>
    <n v="989.17"/>
    <n v="0.2"/>
    <x v="1"/>
    <n v="791.33600000000001"/>
    <n v="2101335.6792000006"/>
    <n v="1087.0851935851013"/>
    <n v="671"/>
    <s v="Low Value"/>
    <s v="Nov-2023"/>
    <s v="Hair Strengthening Shampoo"/>
    <s v="Beauty"/>
    <x v="0"/>
  </r>
  <r>
    <s v="SALE68"/>
    <d v="2023-12-10T00:00:00"/>
    <x v="61"/>
    <s v="PROD72"/>
    <s v="STORE10"/>
    <n v="4"/>
    <n v="62.48"/>
    <n v="0.18"/>
    <x v="0"/>
    <n v="204.93440000000001"/>
    <n v="2100544.3432000009"/>
    <n v="1087.2382728778473"/>
    <n v="670"/>
    <s v="Low Value"/>
    <s v="Dec-2023"/>
    <s v="Professional Jump Rope"/>
    <s v="Sports"/>
    <x v="60"/>
  </r>
  <r>
    <s v="SALE69"/>
    <d v="2025-08-28T00:00:00"/>
    <x v="62"/>
    <s v="PROD13"/>
    <s v="STORE16"/>
    <n v="4"/>
    <n v="561.24"/>
    <n v="0.24"/>
    <x v="0"/>
    <n v="1706.1695999999999"/>
    <n v="2100339.4088000008"/>
    <n v="1087.6951883997933"/>
    <n v="670"/>
    <s v="High Value"/>
    <s v="Aug-2025"/>
    <s v="USB-C Fast Charger"/>
    <s v="Electronics"/>
    <x v="61"/>
  </r>
  <r>
    <s v="SALE70"/>
    <d v="2025-07-11T00:00:00"/>
    <x v="63"/>
    <s v="PROD60"/>
    <s v="STORE5"/>
    <n v="3"/>
    <n v="92.24"/>
    <n v="0.28000000000000003"/>
    <x v="2"/>
    <n v="199.23839999999998"/>
    <n v="2098633.2392000007"/>
    <n v="1087.3747353367878"/>
    <n v="670"/>
    <s v="Low Value"/>
    <s v="Jul-2025"/>
    <s v="Luxury Perfume Spray"/>
    <s v="Beauty"/>
    <x v="62"/>
  </r>
  <r>
    <s v="SALE71"/>
    <d v="2025-08-20T00:00:00"/>
    <x v="64"/>
    <s v="PROD72"/>
    <s v="STORE1"/>
    <n v="2"/>
    <n v="668.3"/>
    <n v="7.0000000000000007E-2"/>
    <x v="0"/>
    <n v="1243.038"/>
    <n v="2098434.0008000005"/>
    <n v="1087.8351481596685"/>
    <n v="670"/>
    <s v="High Value"/>
    <s v="Aug-2025"/>
    <s v="Professional Jump Rope"/>
    <s v="Sports"/>
    <x v="63"/>
  </r>
  <r>
    <s v="SALE72"/>
    <d v="2024-08-29T00:00:00"/>
    <x v="0"/>
    <s v="PROD38"/>
    <s v="STORE5"/>
    <n v="1"/>
    <n v="553.82000000000005"/>
    <n v="0.09"/>
    <x v="0"/>
    <n v="503.97620000000012"/>
    <n v="2097190.9628000008"/>
    <n v="1087.7546487551872"/>
    <n v="670"/>
    <s v="Low Value"/>
    <s v="Aug-2024"/>
    <s v="Sports Water Hydration Pack"/>
    <s v="Sports"/>
    <x v="0"/>
  </r>
  <r>
    <s v="SALE73"/>
    <d v="2024-11-30T00:00:00"/>
    <x v="65"/>
    <s v="PROD45"/>
    <s v="STORE11"/>
    <n v="2"/>
    <n v="556.42999999999995"/>
    <n v="0.13"/>
    <x v="0"/>
    <n v="968.18819999999994"/>
    <n v="2096686.9866000009"/>
    <n v="1088.0575955371048"/>
    <n v="670"/>
    <s v="Low Value"/>
    <s v="Nov-2024"/>
    <s v="High-Grip Football"/>
    <s v="Sports"/>
    <x v="64"/>
  </r>
  <r>
    <s v="SALE74"/>
    <d v="2025-10-12T00:00:00"/>
    <x v="66"/>
    <s v="PROD20"/>
    <s v="STORE8"/>
    <n v="1"/>
    <n v="184.98"/>
    <n v="0.1"/>
    <x v="2"/>
    <n v="166.482"/>
    <n v="2095718.7984000009"/>
    <n v="1088.1198330218074"/>
    <n v="670"/>
    <s v="Low Value"/>
    <s v="Oct-2025"/>
    <s v="Outdoor Sports Water Bottle"/>
    <s v="Sports"/>
    <x v="65"/>
  </r>
  <r>
    <s v="SALE75"/>
    <d v="2024-07-27T00:00:00"/>
    <x v="67"/>
    <s v="PROD97"/>
    <s v="STORE12"/>
    <n v="4"/>
    <n v="700.18"/>
    <n v="0.23"/>
    <x v="0"/>
    <n v="2156.5544"/>
    <n v="2095552.3164000008"/>
    <n v="1088.5986059220784"/>
    <n v="670"/>
    <s v="High Value"/>
    <s v="Jul-2024"/>
    <s v="Cricket Bat"/>
    <s v="Sports"/>
    <x v="66"/>
  </r>
  <r>
    <s v="SALE76"/>
    <d v="2023-12-25T00:00:00"/>
    <x v="68"/>
    <s v="PROD76"/>
    <s v="STORE10"/>
    <n v="2"/>
    <n v="686.31"/>
    <n v="0.25"/>
    <x v="0"/>
    <n v="1029.4649999999999"/>
    <n v="2093395.7620000006"/>
    <n v="1088.0435353430357"/>
    <n v="670"/>
    <s v="High Value"/>
    <s v="Dec-2023"/>
    <s v="Wireless Mouse"/>
    <s v="Electronics"/>
    <x v="67"/>
  </r>
  <r>
    <s v="SALE77"/>
    <d v="2025-05-23T00:00:00"/>
    <x v="69"/>
    <s v="PROD67"/>
    <s v="STORE15"/>
    <n v="1"/>
    <n v="687.82"/>
    <n v="0.27"/>
    <x v="2"/>
    <n v="502.10860000000002"/>
    <n v="2092366.297000001"/>
    <n v="1088.0739973998966"/>
    <n v="670"/>
    <s v="Low Value"/>
    <s v="May-2025"/>
    <s v="Smart LED Light Strip"/>
    <s v="Electronics"/>
    <x v="68"/>
  </r>
  <r>
    <s v="SALE78"/>
    <d v="2024-11-13T00:00:00"/>
    <x v="70"/>
    <s v="PROD83"/>
    <s v="STORE8"/>
    <n v="2"/>
    <n v="900.55"/>
    <n v="0.16"/>
    <x v="0"/>
    <n v="1512.924"/>
    <n v="2091864.188400001"/>
    <n v="1088.3788701352762"/>
    <n v="670"/>
    <s v="High Value"/>
    <s v="Nov-2024"/>
    <s v="Hydrating Face Cleanser"/>
    <s v="Beauty"/>
    <x v="69"/>
  </r>
  <r>
    <s v="SALE79"/>
    <d v="2023-12-08T00:00:00"/>
    <x v="71"/>
    <s v="PROD21"/>
    <s v="STORE2"/>
    <n v="1"/>
    <n v="341.17"/>
    <n v="0.15"/>
    <x v="0"/>
    <n v="289.99450000000002"/>
    <n v="2090351.2644000009"/>
    <n v="1088.1578679854247"/>
    <n v="670"/>
    <s v="Low Value"/>
    <s v="Dec-2023"/>
    <s v="Multi-Purpose Storage Box"/>
    <s v="Home"/>
    <x v="70"/>
  </r>
  <r>
    <s v="SALE80"/>
    <d v="2025-08-16T00:00:00"/>
    <x v="72"/>
    <s v="PROD52"/>
    <s v="STORE8"/>
    <n v="1"/>
    <n v="442.27"/>
    <n v="0.06"/>
    <x v="2"/>
    <n v="415.73379999999997"/>
    <n v="2090061.2699000009"/>
    <n v="1088.5735780729171"/>
    <n v="670"/>
    <s v="Low Value"/>
    <s v="Aug-2025"/>
    <s v="Rugby Ball"/>
    <s v="Sports"/>
    <x v="71"/>
  </r>
  <r>
    <s v="SALE81"/>
    <d v="2024-11-20T00:00:00"/>
    <x v="73"/>
    <s v="PROD71"/>
    <s v="STORE9"/>
    <n v="1"/>
    <n v="363.73"/>
    <n v="0.25"/>
    <x v="1"/>
    <n v="272.79750000000001"/>
    <n v="2089645.5361000011"/>
    <n v="1088.924198071913"/>
    <n v="670"/>
    <s v="Low Value"/>
    <s v="Nov-2024"/>
    <s v="Hair Repair Oil Treatment"/>
    <s v="Beauty"/>
    <x v="72"/>
  </r>
  <r>
    <s v="SALE82"/>
    <d v="2024-08-14T00:00:00"/>
    <x v="74"/>
    <s v="PROD91"/>
    <s v="STORE17"/>
    <n v="2"/>
    <n v="601.33000000000004"/>
    <n v="0.16"/>
    <x v="1"/>
    <n v="1010.2344000000001"/>
    <n v="2089372.738600001"/>
    <n v="1089.3497072992707"/>
    <n v="669"/>
    <s v="High Value"/>
    <s v="Aug-2024"/>
    <s v="Women's High Heels"/>
    <s v="Clothing"/>
    <x v="73"/>
  </r>
  <r>
    <s v="SALE83"/>
    <d v="2024-05-15T00:00:00"/>
    <x v="75"/>
    <s v="PROD17"/>
    <s v="STORE18"/>
    <n v="4"/>
    <n v="34.39"/>
    <n v="0.03"/>
    <x v="1"/>
    <n v="133.4332"/>
    <n v="2088362.5042000008"/>
    <n v="1089.3909776734486"/>
    <n v="668"/>
    <s v="Low Value"/>
    <s v="May-2024"/>
    <s v="Soccer Training Cone Set"/>
    <s v="Sports"/>
    <x v="74"/>
  </r>
  <r>
    <s v="SALE84"/>
    <d v="2023-12-08T00:00:00"/>
    <x v="62"/>
    <s v="PROD46"/>
    <s v="STORE17"/>
    <n v="1"/>
    <n v="773.57"/>
    <n v="0.05"/>
    <x v="2"/>
    <n v="734.89150000000006"/>
    <n v="2088229.0710000009"/>
    <n v="1089.8899117954077"/>
    <n v="667"/>
    <s v="Low Value"/>
    <s v="Dec-2023"/>
    <s v="Men's Winter Jacket"/>
    <s v="Clothing"/>
    <x v="61"/>
  </r>
  <r>
    <s v="SALE85"/>
    <d v="2023-12-22T00:00:00"/>
    <x v="76"/>
    <s v="PROD88"/>
    <s v="STORE7"/>
    <n v="4"/>
    <n v="127.1"/>
    <n v="0.24"/>
    <x v="2"/>
    <n v="386.38400000000001"/>
    <n v="2087494.1795000008"/>
    <n v="1090.0752895561361"/>
    <n v="667"/>
    <s v="Low Value"/>
    <s v="Dec-2023"/>
    <s v="Sports Wrist Sweatbands"/>
    <s v="Sports"/>
    <x v="75"/>
  </r>
  <r>
    <s v="SALE86"/>
    <d v="2024-09-10T00:00:00"/>
    <x v="77"/>
    <s v="PROD20"/>
    <s v="STORE3"/>
    <n v="3"/>
    <n v="899.58"/>
    <n v="0.28000000000000003"/>
    <x v="1"/>
    <n v="1943.0927999999999"/>
    <n v="2087107.7955000009"/>
    <n v="1090.4429443573672"/>
    <n v="667"/>
    <s v="High Value"/>
    <s v="Sep-2024"/>
    <s v="Outdoor Sports Water Bottle"/>
    <s v="Sports"/>
    <x v="76"/>
  </r>
  <r>
    <s v="SALE87"/>
    <d v="2025-04-08T00:00:00"/>
    <x v="78"/>
    <s v="PROD1"/>
    <s v="STORE10"/>
    <n v="3"/>
    <n v="964.39"/>
    <n v="0.04"/>
    <x v="0"/>
    <n v="2777.4432000000002"/>
    <n v="2085164.702700001"/>
    <n v="1089.9972308938845"/>
    <n v="666"/>
    <s v="High Value"/>
    <s v="Apr-2025"/>
    <s v="Men's Graphic T-Shirt"/>
    <s v="Clothing"/>
    <x v="77"/>
  </r>
  <r>
    <s v="SALE88"/>
    <d v="2024-10-23T00:00:00"/>
    <x v="79"/>
    <s v="PROD38"/>
    <s v="STORE0"/>
    <n v="2"/>
    <n v="217.83"/>
    <n v="0.14000000000000001"/>
    <x v="1"/>
    <n v="374.66759999999999"/>
    <n v="2082387.2595000009"/>
    <n v="1089.1146754707117"/>
    <n v="666"/>
    <s v="Low Value"/>
    <s v="Oct-2024"/>
    <s v="Sports Water Hydration Pack"/>
    <s v="Sports"/>
    <x v="78"/>
  </r>
  <r>
    <s v="SALE89"/>
    <d v="2025-07-10T00:00:00"/>
    <x v="80"/>
    <s v="PROD17"/>
    <s v="STORE1"/>
    <n v="4"/>
    <n v="187.71"/>
    <n v="0.06"/>
    <x v="2"/>
    <n v="705.78959999999995"/>
    <n v="2082012.5919000008"/>
    <n v="1089.488535792779"/>
    <n v="665"/>
    <s v="Low Value"/>
    <s v="Jul-2025"/>
    <s v="Soccer Training Cone Set"/>
    <s v="Sports"/>
    <x v="79"/>
  </r>
  <r>
    <s v="SALE90"/>
    <d v="2024-10-12T00:00:00"/>
    <x v="81"/>
    <s v="PROD33"/>
    <s v="STORE18"/>
    <n v="2"/>
    <n v="350.12"/>
    <n v="0.12"/>
    <x v="2"/>
    <n v="616.21119999999996"/>
    <n v="2081306.802300001"/>
    <n v="1089.6894252879586"/>
    <n v="665"/>
    <s v="Low Value"/>
    <s v="Oct-2024"/>
    <s v="Modern Wall Clock"/>
    <s v="Home"/>
    <x v="80"/>
  </r>
  <r>
    <s v="SALE91"/>
    <d v="2024-01-21T00:00:00"/>
    <x v="82"/>
    <s v="PROD16"/>
    <s v="STORE1"/>
    <n v="4"/>
    <n v="102.19"/>
    <n v="0.17"/>
    <x v="1"/>
    <n v="339.27080000000001"/>
    <n v="2080690.591100001"/>
    <n v="1089.9374495023578"/>
    <n v="665"/>
    <s v="Low Value"/>
    <s v="Jan-2024"/>
    <s v="Beard Grooming Kit"/>
    <s v="Beauty"/>
    <x v="81"/>
  </r>
  <r>
    <s v="SALE92"/>
    <d v="2024-02-28T00:00:00"/>
    <x v="69"/>
    <s v="PROD86"/>
    <s v="STORE4"/>
    <n v="1"/>
    <n v="696.53"/>
    <n v="0.17"/>
    <x v="0"/>
    <n v="578.11989999999992"/>
    <n v="2080351.320300001"/>
    <n v="1090.3308806603779"/>
    <n v="664"/>
    <s v="Low Value"/>
    <s v="Feb-2024"/>
    <s v="Kitchen Cutting Board"/>
    <s v="Home"/>
    <x v="68"/>
  </r>
  <r>
    <s v="SALE93"/>
    <d v="2024-12-31T00:00:00"/>
    <x v="10"/>
    <s v="PROD19"/>
    <s v="STORE4"/>
    <n v="2"/>
    <n v="327.52"/>
    <n v="0.15"/>
    <x v="1"/>
    <n v="556.78399999999999"/>
    <n v="2079773.2004000009"/>
    <n v="1090.5994758259051"/>
    <n v="664"/>
    <s v="Low Value"/>
    <s v="Dec-2024"/>
    <s v="Knee Support Brace"/>
    <s v="Sports"/>
    <x v="10"/>
  </r>
  <r>
    <s v="SALE94"/>
    <d v="2024-08-26T00:00:00"/>
    <x v="83"/>
    <s v="PROD97"/>
    <s v="STORE19"/>
    <n v="2"/>
    <n v="569.36"/>
    <n v="0.01"/>
    <x v="1"/>
    <n v="1127.3327999999999"/>
    <n v="2079216.4164000012"/>
    <n v="1090.8795469045126"/>
    <n v="663"/>
    <s v="High Value"/>
    <s v="Aug-2024"/>
    <s v="Cricket Bat"/>
    <s v="Sports"/>
    <x v="82"/>
  </r>
  <r>
    <s v="SALE95"/>
    <d v="2024-09-21T00:00:00"/>
    <x v="84"/>
    <s v="PROD99"/>
    <s v="STORE6"/>
    <n v="2"/>
    <n v="68.290000000000006"/>
    <n v="0.14000000000000001"/>
    <x v="2"/>
    <n v="117.4588"/>
    <n v="2078089.0836000012"/>
    <n v="1090.8604113385834"/>
    <n v="662"/>
    <s v="Low Value"/>
    <s v="Sep-2024"/>
    <s v="Stainless Steel Cookware Set"/>
    <s v="Home"/>
    <x v="83"/>
  </r>
  <r>
    <s v="SALE96"/>
    <d v="2024-08-19T00:00:00"/>
    <x v="85"/>
    <s v="PROD50"/>
    <s v="STORE10"/>
    <n v="1"/>
    <n v="842.9"/>
    <n v="0.06"/>
    <x v="2"/>
    <n v="792.32599999999991"/>
    <n v="2077971.6248000013"/>
    <n v="1091.371651680673"/>
    <n v="662"/>
    <s v="Low Value"/>
    <s v="Aug-2024"/>
    <s v="Boxing Hand Wraps"/>
    <s v="Sports"/>
    <x v="84"/>
  </r>
  <r>
    <s v="SALE97"/>
    <d v="2024-10-22T00:00:00"/>
    <x v="86"/>
    <s v="PROD3"/>
    <s v="STORE3"/>
    <n v="3"/>
    <n v="751.94"/>
    <n v="0.26"/>
    <x v="1"/>
    <n v="1669.3068000000001"/>
    <n v="2077179.2988000012"/>
    <n v="1091.5287960063065"/>
    <n v="662"/>
    <s v="High Value"/>
    <s v="Oct-2024"/>
    <s v="Men's Running Jacket"/>
    <s v="Clothing"/>
    <x v="85"/>
  </r>
  <r>
    <s v="SALE98"/>
    <d v="2024-10-15T00:00:00"/>
    <x v="87"/>
    <s v="PROD56"/>
    <s v="STORE7"/>
    <n v="4"/>
    <n v="476.28"/>
    <n v="0.17"/>
    <x v="0"/>
    <n v="1581.2496000000001"/>
    <n v="2075509.992000001"/>
    <n v="1091.2250220820194"/>
    <n v="661"/>
    <s v="High Value"/>
    <s v="Oct-2024"/>
    <s v="Premium Blanket Throw"/>
    <s v="Home"/>
    <x v="86"/>
  </r>
  <r>
    <s v="SALE99"/>
    <d v="2024-07-06T00:00:00"/>
    <x v="88"/>
    <s v="PROD54"/>
    <s v="STORE3"/>
    <n v="3"/>
    <n v="541.99"/>
    <n v="0.24"/>
    <x v="2"/>
    <n v="1235.7372"/>
    <n v="2073928.742400001"/>
    <n v="1090.9672500789063"/>
    <n v="661"/>
    <s v="High Value"/>
    <s v="Jul-2024"/>
    <s v="Sports Stopwatch Pro"/>
    <s v="Sports"/>
    <x v="87"/>
  </r>
  <r>
    <s v="SALE100"/>
    <d v="2025-01-20T00:00:00"/>
    <x v="89"/>
    <s v="PROD33"/>
    <s v="STORE5"/>
    <n v="2"/>
    <n v="401.5"/>
    <n v="0.18"/>
    <x v="0"/>
    <n v="658.46"/>
    <n v="2072693.0052000009"/>
    <n v="1090.8910553684216"/>
    <n v="661"/>
    <s v="Low Value"/>
    <s v="Jan-2025"/>
    <s v="Modern Wall Clock"/>
    <s v="Home"/>
    <x v="88"/>
  </r>
  <r>
    <s v="SALE101"/>
    <d v="2024-06-10T00:00:00"/>
    <x v="42"/>
    <s v="PROD25"/>
    <s v="STORE13"/>
    <n v="3"/>
    <n v="359.56"/>
    <n v="0.17"/>
    <x v="1"/>
    <n v="895.30439999999999"/>
    <n v="2072034.545200001"/>
    <n v="1091.1187705107957"/>
    <n v="661"/>
    <s v="Low Value"/>
    <s v="Jun-2024"/>
    <s v="Women's Scarf Set"/>
    <s v="Clothing"/>
    <x v="42"/>
  </r>
  <r>
    <s v="SALE102"/>
    <d v="2024-09-17T00:00:00"/>
    <x v="90"/>
    <s v="PROD80"/>
    <s v="STORE12"/>
    <n v="2"/>
    <n v="471.88"/>
    <n v="0.24"/>
    <x v="1"/>
    <n v="717.25760000000002"/>
    <n v="2071139.240800001"/>
    <n v="1091.2219393045316"/>
    <n v="660"/>
    <s v="Low Value"/>
    <s v="Sep-2024"/>
    <s v="Wall-Mounted Spice Rack"/>
    <s v="Home"/>
    <x v="89"/>
  </r>
  <r>
    <s v="SALE103"/>
    <d v="2025-09-07T00:00:00"/>
    <x v="91"/>
    <s v="PROD34"/>
    <s v="STORE4"/>
    <n v="4"/>
    <n v="925.19"/>
    <n v="0.19"/>
    <x v="1"/>
    <n v="2997.615600000001"/>
    <n v="2070421.9832000011"/>
    <n v="1091.4190739061683"/>
    <n v="659"/>
    <s v="High Value"/>
    <s v="Sep-2025"/>
    <s v="Gaming Mechanical Keyboard"/>
    <s v="Electronics"/>
    <x v="90"/>
  </r>
  <r>
    <s v="SALE104"/>
    <d v="2024-02-08T00:00:00"/>
    <x v="92"/>
    <s v="PROD86"/>
    <s v="STORE11"/>
    <n v="2"/>
    <n v="879.63"/>
    <n v="7.0000000000000007E-2"/>
    <x v="2"/>
    <n v="1636.1117999999999"/>
    <n v="2067424.3676000009"/>
    <n v="1090.4136959915618"/>
    <n v="658"/>
    <s v="High Value"/>
    <s v="Feb-2024"/>
    <s v="Kitchen Cutting Board"/>
    <s v="Home"/>
    <x v="91"/>
  </r>
  <r>
    <s v="SALE105"/>
    <d v="2023-10-15T00:00:00"/>
    <x v="93"/>
    <s v="PROD79"/>
    <s v="STORE17"/>
    <n v="2"/>
    <n v="418.23"/>
    <n v="0.28000000000000003"/>
    <x v="0"/>
    <n v="602.25120000000004"/>
    <n v="2065788.2558000009"/>
    <n v="1090.1257286543539"/>
    <n v="658"/>
    <s v="Low Value"/>
    <s v="Oct-2023"/>
    <s v="Decorative Lamp Shade"/>
    <s v="Home"/>
    <x v="92"/>
  </r>
  <r>
    <s v="SALE106"/>
    <d v="2025-08-22T00:00:00"/>
    <x v="59"/>
    <s v="PROD19"/>
    <s v="STORE18"/>
    <n v="3"/>
    <n v="551.72"/>
    <n v="0.03"/>
    <x v="2"/>
    <n v="1605.5052000000001"/>
    <n v="2065186.004600001"/>
    <n v="1090.3833181626194"/>
    <n v="658"/>
    <s v="High Value"/>
    <s v="Aug-2025"/>
    <s v="Knee Support Brace"/>
    <s v="Sports"/>
    <x v="59"/>
  </r>
  <r>
    <s v="SALE107"/>
    <d v="2024-02-01T00:00:00"/>
    <x v="94"/>
    <s v="PROD86"/>
    <s v="STORE7"/>
    <n v="4"/>
    <n v="525.61"/>
    <n v="0.02"/>
    <x v="1"/>
    <n v="2060.3912"/>
    <n v="2063580.4994000013"/>
    <n v="1090.1111988378243"/>
    <n v="658"/>
    <s v="High Value"/>
    <s v="Feb-2024"/>
    <s v="Kitchen Cutting Board"/>
    <s v="Home"/>
    <x v="93"/>
  </r>
  <r>
    <s v="SALE108"/>
    <d v="2025-05-08T00:00:00"/>
    <x v="95"/>
    <s v="PROD22"/>
    <s v="STORE13"/>
    <n v="3"/>
    <n v="815.3"/>
    <n v="0.03"/>
    <x v="0"/>
    <n v="2372.5230000000001"/>
    <n v="2061520.1082000011"/>
    <n v="1089.5983658562373"/>
    <n v="657"/>
    <s v="High Value"/>
    <s v="May-2025"/>
    <s v="Carbon Fiber Tennis Racket"/>
    <s v="Sports"/>
    <x v="94"/>
  </r>
  <r>
    <s v="SALE109"/>
    <d v="2025-03-22T00:00:00"/>
    <x v="96"/>
    <s v="PROD91"/>
    <s v="STORE0"/>
    <n v="3"/>
    <n v="376.46"/>
    <n v="0.09"/>
    <x v="2"/>
    <n v="1027.7357999999999"/>
    <n v="2059147.585200001"/>
    <n v="1088.9199287149661"/>
    <n v="657"/>
    <s v="High Value"/>
    <s v="Mar-2025"/>
    <s v="Women's High Heels"/>
    <s v="Clothing"/>
    <x v="95"/>
  </r>
  <r>
    <s v="SALE110"/>
    <d v="2025-07-13T00:00:00"/>
    <x v="69"/>
    <s v="PROD42"/>
    <s v="STORE8"/>
    <n v="4"/>
    <n v="239.83"/>
    <n v="0.08"/>
    <x v="0"/>
    <n v="882.57440000000008"/>
    <n v="2058119.8494000009"/>
    <n v="1088.9523012698417"/>
    <n v="657"/>
    <s v="Low Value"/>
    <s v="Jul-2025"/>
    <s v="Smart Home WiFi Camera"/>
    <s v="Electronics"/>
    <x v="68"/>
  </r>
  <r>
    <s v="SALE111"/>
    <d v="2025-05-21T00:00:00"/>
    <x v="97"/>
    <s v="PROD90"/>
    <s v="STORE3"/>
    <n v="2"/>
    <n v="845.71"/>
    <n v="0.01"/>
    <x v="1"/>
    <n v="1674.5057999999999"/>
    <n v="2057237.2750000011"/>
    <n v="1089.0615537321339"/>
    <n v="657"/>
    <s v="High Value"/>
    <s v="May-2025"/>
    <s v="Gaming Mouse Pad XL"/>
    <s v="Electronics"/>
    <x v="96"/>
  </r>
  <r>
    <s v="SALE112"/>
    <d v="2025-02-17T00:00:00"/>
    <x v="98"/>
    <s v="PROD76"/>
    <s v="STORE13"/>
    <n v="3"/>
    <n v="948.69"/>
    <n v="0.28999999999999998"/>
    <x v="0"/>
    <n v="2020.7097000000001"/>
    <n v="2055562.7692000009"/>
    <n v="1088.7514667372886"/>
    <n v="656"/>
    <s v="High Value"/>
    <s v="Feb-2025"/>
    <s v="Wireless Mouse"/>
    <s v="Electronics"/>
    <x v="97"/>
  </r>
  <r>
    <s v="SALE113"/>
    <d v="2024-05-01T00:00:00"/>
    <x v="1"/>
    <s v="PROD27"/>
    <s v="STORE10"/>
    <n v="1"/>
    <n v="281.97000000000003"/>
    <n v="0.2"/>
    <x v="1"/>
    <n v="225.57599999999999"/>
    <n v="2053542.0595000009"/>
    <n v="1088.2575832008483"/>
    <n v="656"/>
    <s v="Low Value"/>
    <s v="May-2024"/>
    <s v="Decorative Floor Vase"/>
    <s v="Home"/>
    <x v="1"/>
  </r>
  <r>
    <s v="SALE114"/>
    <d v="2024-07-09T00:00:00"/>
    <x v="7"/>
    <s v="PROD91"/>
    <s v="STORE4"/>
    <n v="2"/>
    <n v="731.01"/>
    <n v="0.05"/>
    <x v="1"/>
    <n v="1388.9190000000001"/>
    <n v="2053316.4835000008"/>
    <n v="1088.714996553553"/>
    <n v="655"/>
    <s v="High Value"/>
    <s v="Jul-2024"/>
    <s v="Women's High Heels"/>
    <s v="Clothing"/>
    <x v="7"/>
  </r>
  <r>
    <s v="SALE115"/>
    <d v="2025-09-25T00:00:00"/>
    <x v="99"/>
    <s v="PROD85"/>
    <s v="STORE7"/>
    <n v="4"/>
    <n v="930.85"/>
    <n v="0.13"/>
    <x v="1"/>
    <n v="3239.3580000000002"/>
    <n v="2051927.5645000008"/>
    <n v="1088.5557371352788"/>
    <n v="654"/>
    <s v="High Value"/>
    <s v="Sep-2025"/>
    <s v="Women's Beanie Hat"/>
    <s v="Clothing"/>
    <x v="98"/>
  </r>
  <r>
    <s v="SALE116"/>
    <d v="2024-05-08T00:00:00"/>
    <x v="100"/>
    <s v="PROD3"/>
    <s v="STORE8"/>
    <n v="4"/>
    <n v="770.77"/>
    <n v="0.22"/>
    <x v="0"/>
    <n v="2404.8024"/>
    <n v="2048688.2065000006"/>
    <n v="1087.4141223460724"/>
    <n v="653"/>
    <s v="High Value"/>
    <s v="May-2024"/>
    <s v="Men's Running Jacket"/>
    <s v="Clothing"/>
    <x v="99"/>
  </r>
  <r>
    <s v="SALE117"/>
    <d v="2024-09-19T00:00:00"/>
    <x v="101"/>
    <s v="PROD46"/>
    <s v="STORE4"/>
    <n v="3"/>
    <n v="479.63"/>
    <n v="0.3"/>
    <x v="1"/>
    <n v="1007.223"/>
    <n v="2046283.4041000006"/>
    <n v="1086.7145003186408"/>
    <n v="653"/>
    <s v="High Value"/>
    <s v="Sep-2024"/>
    <s v="Men's Winter Jacket"/>
    <s v="Clothing"/>
    <x v="100"/>
  </r>
  <r>
    <s v="SALE118"/>
    <d v="2024-04-23T00:00:00"/>
    <x v="102"/>
    <s v="PROD39"/>
    <s v="STORE11"/>
    <n v="1"/>
    <n v="165"/>
    <n v="0.3"/>
    <x v="2"/>
    <n v="115.5"/>
    <n v="2045276.1811000006"/>
    <n v="1086.7567380977687"/>
    <n v="652"/>
    <s v="Low Value"/>
    <s v="Apr-2024"/>
    <s v="Portable Power Bank"/>
    <s v="Electronics"/>
    <x v="101"/>
  </r>
  <r>
    <s v="SALE119"/>
    <d v="2024-07-30T00:00:00"/>
    <x v="103"/>
    <s v="PROD19"/>
    <s v="STORE8"/>
    <n v="2"/>
    <n v="151.51"/>
    <n v="0.28999999999999998"/>
    <x v="2"/>
    <n v="215.14420000000001"/>
    <n v="2045160.6811000006"/>
    <n v="1087.2730893673581"/>
    <n v="652"/>
    <s v="Low Value"/>
    <s v="Jul-2024"/>
    <s v="Knee Support Brace"/>
    <s v="Sports"/>
    <x v="102"/>
  </r>
  <r>
    <s v="SALE120"/>
    <d v="2023-12-14T00:00:00"/>
    <x v="104"/>
    <s v="PROD31"/>
    <s v="STORE17"/>
    <n v="2"/>
    <n v="872.93"/>
    <n v="0.28999999999999998"/>
    <x v="2"/>
    <n v="1239.5606"/>
    <n v="2044945.5369000006"/>
    <n v="1087.7369877127662"/>
    <n v="652"/>
    <s v="High Value"/>
    <s v="Dec-2023"/>
    <s v="Basketball"/>
    <s v="Sports"/>
    <x v="103"/>
  </r>
  <r>
    <s v="SALE121"/>
    <d v="2024-09-23T00:00:00"/>
    <x v="105"/>
    <s v="PROD22"/>
    <s v="STORE10"/>
    <n v="3"/>
    <n v="432.4"/>
    <n v="0.04"/>
    <x v="0"/>
    <n v="1245.3119999999999"/>
    <n v="2043705.9763000004"/>
    <n v="1087.6561874933477"/>
    <n v="652"/>
    <s v="High Value"/>
    <s v="Sep-2024"/>
    <s v="Carbon Fiber Tennis Racket"/>
    <s v="Sports"/>
    <x v="104"/>
  </r>
  <r>
    <s v="SALE122"/>
    <d v="2025-08-17T00:00:00"/>
    <x v="94"/>
    <s v="PROD50"/>
    <s v="STORE7"/>
    <n v="2"/>
    <n v="197.76"/>
    <n v="0.04"/>
    <x v="0"/>
    <n v="379.69920000000002"/>
    <n v="2042460.6643000005"/>
    <n v="1087.5722387113954"/>
    <n v="652"/>
    <s v="Low Value"/>
    <s v="Aug-2025"/>
    <s v="Boxing Hand Wraps"/>
    <s v="Sports"/>
    <x v="93"/>
  </r>
  <r>
    <s v="SALE123"/>
    <d v="2025-01-17T00:00:00"/>
    <x v="22"/>
    <s v="PROD40"/>
    <s v="STORE2"/>
    <n v="3"/>
    <n v="334.6"/>
    <n v="0.11"/>
    <x v="1"/>
    <n v="893.38200000000006"/>
    <n v="2042080.9651000004"/>
    <n v="1087.9493687266918"/>
    <n v="652"/>
    <s v="Low Value"/>
    <s v="Jan-2025"/>
    <s v="Noise-Canceling Headphones"/>
    <s v="Electronics"/>
    <x v="22"/>
  </r>
  <r>
    <s v="SALE124"/>
    <d v="2025-04-30T00:00:00"/>
    <x v="98"/>
    <s v="PROD14"/>
    <s v="STORE3"/>
    <n v="2"/>
    <n v="44.35"/>
    <n v="0.2"/>
    <x v="2"/>
    <n v="70.960000000000008"/>
    <n v="2041187.5831000009"/>
    <n v="1088.0530826759066"/>
    <n v="651"/>
    <s v="Low Value"/>
    <s v="Apr-2025"/>
    <s v="Decorative Wall Mirror"/>
    <s v="Home"/>
    <x v="97"/>
  </r>
  <r>
    <s v="SALE125"/>
    <d v="2024-11-02T00:00:00"/>
    <x v="106"/>
    <s v="PROD8"/>
    <s v="STORE6"/>
    <n v="1"/>
    <n v="846.31"/>
    <n v="0.05"/>
    <x v="1"/>
    <n v="803.9944999999999"/>
    <n v="2041116.6231000007"/>
    <n v="1088.5955323200003"/>
    <n v="651"/>
    <s v="Low Value"/>
    <s v="Nov-2024"/>
    <s v="Wireless Bluetooth Earbuds"/>
    <s v="Electronics"/>
    <x v="105"/>
  </r>
  <r>
    <s v="SALE126"/>
    <d v="2025-08-15T00:00:00"/>
    <x v="87"/>
    <s v="PROD35"/>
    <s v="STORE12"/>
    <n v="1"/>
    <n v="996.48"/>
    <n v="7.0000000000000007E-2"/>
    <x v="2"/>
    <n v="926.7263999999999"/>
    <n v="2040312.6286000009"/>
    <n v="1088.7474005336185"/>
    <n v="650"/>
    <s v="Low Value"/>
    <s v="Aug-2025"/>
    <s v="Bedroom Table Lamp"/>
    <s v="Home"/>
    <x v="86"/>
  </r>
  <r>
    <s v="SALE127"/>
    <d v="2025-09-16T00:00:00"/>
    <x v="107"/>
    <s v="PROD93"/>
    <s v="STORE6"/>
    <n v="3"/>
    <n v="949.19"/>
    <n v="0.03"/>
    <x v="2"/>
    <n v="2762.1428999999998"/>
    <n v="2039385.9022000008"/>
    <n v="1088.8339040042717"/>
    <n v="650"/>
    <s v="High Value"/>
    <s v="Sep-2025"/>
    <s v="USB-C Laptop Charger"/>
    <s v="Electronics"/>
    <x v="106"/>
  </r>
  <r>
    <s v="SALE128"/>
    <d v="2024-02-25T00:00:00"/>
    <x v="108"/>
    <s v="PROD94"/>
    <s v="STORE9"/>
    <n v="2"/>
    <n v="724.97"/>
    <n v="0.1"/>
    <x v="0"/>
    <n v="1304.9459999999999"/>
    <n v="2036623.759300001"/>
    <n v="1087.9400423611116"/>
    <n v="650"/>
    <s v="High Value"/>
    <s v="Feb-2024"/>
    <s v="Vitamin E Body Lotion"/>
    <s v="Beauty"/>
    <x v="107"/>
  </r>
  <r>
    <s v="SALE129"/>
    <d v="2025-03-07T00:00:00"/>
    <x v="109"/>
    <s v="PROD1"/>
    <s v="STORE16"/>
    <n v="1"/>
    <n v="783.25"/>
    <n v="0.3"/>
    <x v="0"/>
    <n v="548.27499999999998"/>
    <n v="2035318.813300001"/>
    <n v="1087.8240584179589"/>
    <n v="650"/>
    <s v="Low Value"/>
    <s v="Mar-2025"/>
    <s v="Men's Graphic T-Shirt"/>
    <s v="Clothing"/>
    <x v="108"/>
  </r>
  <r>
    <s v="SALE130"/>
    <d v="2024-07-22T00:00:00"/>
    <x v="110"/>
    <s v="PROD17"/>
    <s v="STORE3"/>
    <n v="1"/>
    <n v="942.38"/>
    <n v="0.17"/>
    <x v="0"/>
    <n v="782.17539999999997"/>
    <n v="2034770.5383000011"/>
    <n v="1088.1125873262038"/>
    <n v="650"/>
    <s v="Low Value"/>
    <s v="Jul-2024"/>
    <s v="Soccer Training Cone Set"/>
    <s v="Sports"/>
    <x v="109"/>
  </r>
  <r>
    <s v="SALE131"/>
    <d v="2024-06-01T00:00:00"/>
    <x v="111"/>
    <s v="PROD51"/>
    <s v="STORE11"/>
    <n v="3"/>
    <n v="298.35000000000002"/>
    <n v="0.05"/>
    <x v="2"/>
    <n v="850.29750000000001"/>
    <n v="2033988.362900001"/>
    <n v="1088.2762776350994"/>
    <n v="650"/>
    <s v="Low Value"/>
    <s v="Jun-2024"/>
    <s v="HDMI Cable – 2m"/>
    <s v="Electronics"/>
    <x v="110"/>
  </r>
  <r>
    <s v="SALE132"/>
    <d v="2025-01-05T00:00:00"/>
    <x v="112"/>
    <s v="PROD48"/>
    <s v="STORE12"/>
    <n v="4"/>
    <n v="950.04"/>
    <n v="0.13"/>
    <x v="1"/>
    <n v="3306.1392000000001"/>
    <n v="2033138.0654000009"/>
    <n v="1088.4036752676664"/>
    <n v="650"/>
    <s v="High Value"/>
    <s v="Jan-2025"/>
    <s v="Car Dashboard Phone Holder"/>
    <s v="Electronics"/>
    <x v="111"/>
  </r>
  <r>
    <s v="SALE133"/>
    <d v="2025-09-10T00:00:00"/>
    <x v="113"/>
    <s v="PROD57"/>
    <s v="STORE4"/>
    <n v="2"/>
    <n v="267.19"/>
    <n v="7.0000000000000007E-2"/>
    <x v="0"/>
    <n v="496.97340000000003"/>
    <n v="2029831.9262000006"/>
    <n v="1087.2158147830748"/>
    <n v="649"/>
    <s v="Low Value"/>
    <s v="Sep-2025"/>
    <s v="Foam Roller"/>
    <s v="Sports"/>
    <x v="112"/>
  </r>
  <r>
    <s v="SALE134"/>
    <d v="2025-06-19T00:00:00"/>
    <x v="114"/>
    <s v="PROD87"/>
    <s v="STORE15"/>
    <n v="4"/>
    <n v="72.63"/>
    <n v="0.06"/>
    <x v="1"/>
    <n v="273.08879999999999"/>
    <n v="2029334.9528000006"/>
    <n v="1087.5321290460881"/>
    <n v="649"/>
    <s v="Low Value"/>
    <s v="Jun-2025"/>
    <s v="LED Bedside Lamp"/>
    <s v="Home"/>
    <x v="113"/>
  </r>
  <r>
    <s v="SALE135"/>
    <d v="2024-09-09T00:00:00"/>
    <x v="115"/>
    <s v="PROD53"/>
    <s v="STORE5"/>
    <n v="3"/>
    <n v="576.52"/>
    <n v="0.22"/>
    <x v="2"/>
    <n v="1349.0568000000001"/>
    <n v="2029061.8640000005"/>
    <n v="1087.9688278820379"/>
    <n v="648"/>
    <s v="High Value"/>
    <s v="Sep-2024"/>
    <s v="Men's Track Pants"/>
    <s v="Clothing"/>
    <x v="114"/>
  </r>
  <r>
    <s v="SALE136"/>
    <d v="2025-04-04T00:00:00"/>
    <x v="116"/>
    <s v="PROD71"/>
    <s v="STORE9"/>
    <n v="3"/>
    <n v="849.36"/>
    <n v="0.03"/>
    <x v="0"/>
    <n v="2471.6376"/>
    <n v="2027712.8072000006"/>
    <n v="1087.8287592274683"/>
    <n v="648"/>
    <s v="High Value"/>
    <s v="Apr-2025"/>
    <s v="Hair Repair Oil Treatment"/>
    <s v="Beauty"/>
    <x v="115"/>
  </r>
  <r>
    <s v="SALE137"/>
    <d v="2024-04-10T00:00:00"/>
    <x v="117"/>
    <s v="PROD50"/>
    <s v="STORE6"/>
    <n v="1"/>
    <n v="245.85"/>
    <n v="0.18"/>
    <x v="2"/>
    <n v="201.59700000000001"/>
    <n v="2025241.1696000004"/>
    <n v="1087.0859740203973"/>
    <n v="648"/>
    <s v="Low Value"/>
    <s v="Apr-2024"/>
    <s v="Boxing Hand Wraps"/>
    <s v="Sports"/>
    <x v="116"/>
  </r>
  <r>
    <s v="SALE138"/>
    <d v="2024-10-24T00:00:00"/>
    <x v="118"/>
    <s v="PROD97"/>
    <s v="STORE10"/>
    <n v="3"/>
    <n v="237.68"/>
    <n v="0.1"/>
    <x v="2"/>
    <n v="641.73599999999999"/>
    <n v="2025039.5726000005"/>
    <n v="1087.5615320085933"/>
    <n v="648"/>
    <s v="Low Value"/>
    <s v="Oct-2024"/>
    <s v="Cricket Bat"/>
    <s v="Sports"/>
    <x v="117"/>
  </r>
  <r>
    <s v="SALE139"/>
    <d v="2025-04-09T00:00:00"/>
    <x v="119"/>
    <s v="PROD71"/>
    <s v="STORE14"/>
    <n v="4"/>
    <n v="715.85"/>
    <n v="0.25"/>
    <x v="1"/>
    <n v="2147.5500000000002"/>
    <n v="2024397.8366000005"/>
    <n v="1087.8010943578724"/>
    <n v="648"/>
    <s v="High Value"/>
    <s v="Apr-2025"/>
    <s v="Hair Repair Oil Treatment"/>
    <s v="Beauty"/>
    <x v="118"/>
  </r>
  <r>
    <s v="SALE140"/>
    <d v="2023-11-25T00:00:00"/>
    <x v="120"/>
    <s v="PROD90"/>
    <s v="STORE5"/>
    <n v="2"/>
    <n v="478.85"/>
    <n v="0.01"/>
    <x v="2"/>
    <n v="948.12300000000005"/>
    <n v="2022250.2866000007"/>
    <n v="1087.2313368817208"/>
    <n v="647"/>
    <s v="Low Value"/>
    <s v="Nov-2023"/>
    <s v="Gaming Mouse Pad XL"/>
    <s v="Electronics"/>
    <x v="119"/>
  </r>
  <r>
    <s v="SALE141"/>
    <d v="2025-03-02T00:00:00"/>
    <x v="121"/>
    <s v="PROD47"/>
    <s v="STORE0"/>
    <n v="1"/>
    <n v="503.95"/>
    <n v="0.26"/>
    <x v="2"/>
    <n v="372.923"/>
    <n v="2021302.1636000008"/>
    <n v="1087.3061665411515"/>
    <n v="647"/>
    <s v="Low Value"/>
    <s v="Mar-2025"/>
    <s v="Makeup Brush Set"/>
    <s v="Beauty"/>
    <x v="120"/>
  </r>
  <r>
    <s v="SALE142"/>
    <d v="2024-10-08T00:00:00"/>
    <x v="122"/>
    <s v="PROD66"/>
    <s v="STORE12"/>
    <n v="2"/>
    <n v="975.48"/>
    <n v="0.26"/>
    <x v="2"/>
    <n v="1443.7103999999999"/>
    <n v="2020929.2406000008"/>
    <n v="1087.6906569429498"/>
    <n v="647"/>
    <s v="High Value"/>
    <s v="Oct-2024"/>
    <s v="Women's Hair Dryer Brush"/>
    <s v="Beauty"/>
    <x v="121"/>
  </r>
  <r>
    <s v="SALE143"/>
    <d v="2025-08-15T00:00:00"/>
    <x v="123"/>
    <s v="PROD34"/>
    <s v="STORE16"/>
    <n v="4"/>
    <n v="450.12"/>
    <n v="0.28999999999999998"/>
    <x v="2"/>
    <n v="1278.3407999999999"/>
    <n v="2019485.5302000009"/>
    <n v="1087.4989392568664"/>
    <n v="647"/>
    <s v="High Value"/>
    <s v="Aug-2025"/>
    <s v="Gaming Mechanical Keyboard"/>
    <s v="Electronics"/>
    <x v="122"/>
  </r>
  <r>
    <s v="SALE144"/>
    <d v="2024-06-05T00:00:00"/>
    <x v="15"/>
    <s v="PROD36"/>
    <s v="STORE8"/>
    <n v="3"/>
    <n v="237.24"/>
    <n v="0.24"/>
    <x v="1"/>
    <n v="540.90719999999999"/>
    <n v="2018207.189400001"/>
    <n v="1087.3961149784488"/>
    <n v="647"/>
    <s v="Low Value"/>
    <s v="Jun-2024"/>
    <s v="Women's Summer Dress"/>
    <s v="Clothing"/>
    <x v="15"/>
  </r>
  <r>
    <s v="SALE145"/>
    <d v="2024-08-18T00:00:00"/>
    <x v="124"/>
    <s v="PROD54"/>
    <s v="STORE15"/>
    <n v="2"/>
    <n v="536.84"/>
    <n v="0.09"/>
    <x v="2"/>
    <n v="977.04880000000014"/>
    <n v="2017666.2822000012"/>
    <n v="1087.6907181671165"/>
    <n v="646"/>
    <s v="Low Value"/>
    <s v="Aug-2024"/>
    <s v="Sports Stopwatch Pro"/>
    <s v="Sports"/>
    <x v="123"/>
  </r>
  <r>
    <s v="SALE146"/>
    <d v="2024-11-30T00:00:00"/>
    <x v="13"/>
    <s v="PROD36"/>
    <s v="STORE19"/>
    <n v="3"/>
    <n v="584.41"/>
    <n v="0"/>
    <x v="2"/>
    <n v="1753.23"/>
    <n v="2016689.2334000012"/>
    <n v="1087.7503955771313"/>
    <n v="646"/>
    <s v="High Value"/>
    <s v="Nov-2024"/>
    <s v="Women's Summer Dress"/>
    <s v="Clothing"/>
    <x v="13"/>
  </r>
  <r>
    <s v="SALE147"/>
    <d v="2024-11-21T00:00:00"/>
    <x v="125"/>
    <s v="PROD82"/>
    <s v="STORE19"/>
    <n v="1"/>
    <n v="653.87"/>
    <n v="0.14000000000000001"/>
    <x v="1"/>
    <n v="562.32820000000004"/>
    <n v="2014936.0034000012"/>
    <n v="1087.3912592552624"/>
    <n v="646"/>
    <s v="Low Value"/>
    <s v="Nov-2024"/>
    <s v="Fitness Resistance Bands"/>
    <s v="Sports"/>
    <x v="124"/>
  </r>
  <r>
    <s v="SALE148"/>
    <d v="2025-08-09T00:00:00"/>
    <x v="4"/>
    <s v="PROD87"/>
    <s v="STORE0"/>
    <n v="1"/>
    <n v="652.03"/>
    <n v="0.27"/>
    <x v="0"/>
    <n v="475.9819"/>
    <n v="2014373.6752000013"/>
    <n v="1087.6747706263507"/>
    <n v="645"/>
    <s v="Low Value"/>
    <s v="Aug-2025"/>
    <s v="LED Bedside Lamp"/>
    <s v="Home"/>
    <x v="4"/>
  </r>
  <r>
    <s v="SALE149"/>
    <d v="2024-07-29T00:00:00"/>
    <x v="126"/>
    <s v="PROD5"/>
    <s v="STORE12"/>
    <n v="3"/>
    <n v="513.36"/>
    <n v="7.0000000000000007E-2"/>
    <x v="2"/>
    <n v="1432.2744"/>
    <n v="2013897.6933000011"/>
    <n v="1088.0052367909245"/>
    <n v="645"/>
    <s v="High Value"/>
    <s v="Jul-2024"/>
    <s v="Men's Leather Belt"/>
    <s v="Clothing"/>
    <x v="125"/>
  </r>
  <r>
    <s v="SALE150"/>
    <d v="2024-05-21T00:00:00"/>
    <x v="127"/>
    <s v="PROD52"/>
    <s v="STORE5"/>
    <n v="4"/>
    <n v="355.64"/>
    <n v="0.16"/>
    <x v="2"/>
    <n v="1194.9503999999999"/>
    <n v="2012465.4189000011"/>
    <n v="1087.8191453513518"/>
    <n v="645"/>
    <s v="High Value"/>
    <s v="May-2024"/>
    <s v="Rugby Ball"/>
    <s v="Sports"/>
    <x v="126"/>
  </r>
  <r>
    <s v="SALE151"/>
    <d v="2024-10-29T00:00:00"/>
    <x v="128"/>
    <s v="PROD13"/>
    <s v="STORE8"/>
    <n v="4"/>
    <n v="535.4"/>
    <n v="0.26"/>
    <x v="1"/>
    <n v="1584.7840000000001"/>
    <n v="2011270.4685000009"/>
    <n v="1087.7612052460795"/>
    <n v="645"/>
    <s v="High Value"/>
    <s v="Oct-2024"/>
    <s v="USB-C Fast Charger"/>
    <s v="Electronics"/>
    <x v="127"/>
  </r>
  <r>
    <s v="SALE152"/>
    <d v="2025-05-21T00:00:00"/>
    <x v="129"/>
    <s v="PROD69"/>
    <s v="STORE19"/>
    <n v="2"/>
    <n v="108.74"/>
    <n v="0.11"/>
    <x v="1"/>
    <n v="193.55719999999999"/>
    <n v="2009685.6845000011"/>
    <n v="1087.4922535173166"/>
    <n v="644"/>
    <s v="Low Value"/>
    <s v="May-2025"/>
    <s v="Men's Sports Shorts"/>
    <s v="Clothing"/>
    <x v="128"/>
  </r>
  <r>
    <s v="SALE153"/>
    <d v="2024-10-14T00:00:00"/>
    <x v="130"/>
    <s v="PROD11"/>
    <s v="STORE19"/>
    <n v="3"/>
    <n v="591.98"/>
    <n v="0.16"/>
    <x v="0"/>
    <n v="1491.7896000000001"/>
    <n v="2009492.1273000012"/>
    <n v="1087.9762465078513"/>
    <n v="643"/>
    <s v="High Value"/>
    <s v="Oct-2024"/>
    <s v="HD Smart TV Stick"/>
    <s v="Electronics"/>
    <x v="129"/>
  </r>
  <r>
    <s v="SALE154"/>
    <d v="2024-11-17T00:00:00"/>
    <x v="131"/>
    <s v="PROD48"/>
    <s v="STORE2"/>
    <n v="1"/>
    <n v="345.06"/>
    <n v="0.13"/>
    <x v="2"/>
    <n v="300.2022"/>
    <n v="2008000.337700001"/>
    <n v="1087.7574960455042"/>
    <n v="643"/>
    <s v="Low Value"/>
    <s v="Nov-2024"/>
    <s v="Car Dashboard Phone Holder"/>
    <s v="Electronics"/>
    <x v="130"/>
  </r>
  <r>
    <s v="SALE155"/>
    <d v="2025-03-29T00:00:00"/>
    <x v="132"/>
    <s v="PROD93"/>
    <s v="STORE12"/>
    <n v="4"/>
    <n v="986.41"/>
    <n v="0.22"/>
    <x v="0"/>
    <n v="3077.5992000000001"/>
    <n v="2007700.135500001"/>
    <n v="1088.1843552845535"/>
    <n v="643"/>
    <s v="High Value"/>
    <s v="Mar-2025"/>
    <s v="USB-C Laptop Charger"/>
    <s v="Electronics"/>
    <x v="131"/>
  </r>
  <r>
    <s v="SALE156"/>
    <d v="2024-07-21T00:00:00"/>
    <x v="133"/>
    <s v="PROD49"/>
    <s v="STORE0"/>
    <n v="2"/>
    <n v="921.52"/>
    <n v="0"/>
    <x v="1"/>
    <n v="1843.04"/>
    <n v="2004622.5363000012"/>
    <n v="1087.1054969088943"/>
    <n v="643"/>
    <s v="High Value"/>
    <s v="Jul-2024"/>
    <s v="Men's Roll-On Perfume"/>
    <s v="Beauty"/>
    <x v="132"/>
  </r>
  <r>
    <s v="SALE157"/>
    <d v="2025-08-14T00:00:00"/>
    <x v="90"/>
    <s v="PROD55"/>
    <s v="STORE5"/>
    <n v="1"/>
    <n v="83.1"/>
    <n v="0.04"/>
    <x v="1"/>
    <n v="79.775999999999996"/>
    <n v="2002779.4963000014"/>
    <n v="1086.6953316874669"/>
    <n v="642"/>
    <s v="Low Value"/>
    <s v="Aug-2025"/>
    <s v="Ceramic Plant Pot"/>
    <s v="Home"/>
    <x v="89"/>
  </r>
  <r>
    <s v="SALE158"/>
    <d v="2024-11-05T00:00:00"/>
    <x v="89"/>
    <s v="PROD28"/>
    <s v="STORE11"/>
    <n v="2"/>
    <n v="60.98"/>
    <n v="0.23"/>
    <x v="1"/>
    <n v="93.909199999999998"/>
    <n v="2002699.7203000013"/>
    <n v="1087.2419762757879"/>
    <n v="641"/>
    <s v="Low Value"/>
    <s v="Nov-2024"/>
    <s v="Sports Stopwatch Timer"/>
    <s v="Sports"/>
    <x v="88"/>
  </r>
  <r>
    <s v="SALE159"/>
    <d v="2024-06-11T00:00:00"/>
    <x v="134"/>
    <s v="PROD89"/>
    <s v="STORE16"/>
    <n v="2"/>
    <n v="122.23"/>
    <n v="0.21"/>
    <x v="2"/>
    <n v="193.1234"/>
    <n v="2002605.8111000014"/>
    <n v="1087.7815378055413"/>
    <n v="640"/>
    <s v="Low Value"/>
    <s v="Jun-2024"/>
    <s v="Face Foundation Kit"/>
    <s v="Beauty"/>
    <x v="133"/>
  </r>
  <r>
    <s v="SALE160"/>
    <d v="2025-09-18T00:00:00"/>
    <x v="135"/>
    <s v="PROD70"/>
    <s v="STORE18"/>
    <n v="2"/>
    <n v="623.38"/>
    <n v="0.13"/>
    <x v="0"/>
    <n v="1084.6812"/>
    <n v="2002412.6877000013"/>
    <n v="1088.2677650543485"/>
    <n v="640"/>
    <s v="High Value"/>
    <s v="Sep-2025"/>
    <s v="Kitchen Storage Rack"/>
    <s v="Home"/>
    <x v="134"/>
  </r>
  <r>
    <s v="SALE161"/>
    <d v="2025-03-13T00:00:00"/>
    <x v="63"/>
    <s v="PROD70"/>
    <s v="STORE0"/>
    <n v="1"/>
    <n v="479.58"/>
    <n v="0.05"/>
    <x v="1"/>
    <n v="455.60099999999989"/>
    <n v="2001328.0065000013"/>
    <n v="1088.2697153344216"/>
    <n v="640"/>
    <s v="Low Value"/>
    <s v="Mar-2025"/>
    <s v="Kitchen Storage Rack"/>
    <s v="Home"/>
    <x v="62"/>
  </r>
  <r>
    <s v="SALE162"/>
    <d v="2023-12-16T00:00:00"/>
    <x v="83"/>
    <s v="PROD73"/>
    <s v="STORE6"/>
    <n v="3"/>
    <n v="369.32"/>
    <n v="0.14000000000000001"/>
    <x v="1"/>
    <n v="952.84559999999999"/>
    <n v="2000872.4055000013"/>
    <n v="1088.6139311751911"/>
    <n v="639"/>
    <s v="Low Value"/>
    <s v="Dec-2023"/>
    <s v="Shin Guards – Adult"/>
    <s v="Sports"/>
    <x v="82"/>
  </r>
  <r>
    <s v="SALE163"/>
    <d v="2025-07-13T00:00:00"/>
    <x v="136"/>
    <s v="PROD32"/>
    <s v="STORE1"/>
    <n v="1"/>
    <n v="488.31"/>
    <n v="0.03"/>
    <x v="1"/>
    <n v="473.66070000000002"/>
    <n v="1999919.5599000014"/>
    <n v="1088.6878388132832"/>
    <n v="638"/>
    <s v="Low Value"/>
    <s v="Jul-2025"/>
    <s v="Vitamin C Face Serum"/>
    <s v="Beauty"/>
    <x v="135"/>
  </r>
  <r>
    <s v="SALE164"/>
    <d v="2024-05-06T00:00:00"/>
    <x v="16"/>
    <s v="PROD54"/>
    <s v="STORE12"/>
    <n v="4"/>
    <n v="164.04"/>
    <n v="0.26"/>
    <x v="0"/>
    <n v="485.55839999999989"/>
    <n v="1999445.8992000013"/>
    <n v="1089.0228209150334"/>
    <n v="637"/>
    <s v="Low Value"/>
    <s v="May-2024"/>
    <s v="Sports Stopwatch Pro"/>
    <s v="Sports"/>
    <x v="16"/>
  </r>
  <r>
    <s v="SALE165"/>
    <d v="2024-08-04T00:00:00"/>
    <x v="137"/>
    <s v="PROD10"/>
    <s v="STORE17"/>
    <n v="3"/>
    <n v="707.95"/>
    <n v="0.18"/>
    <x v="1"/>
    <n v="1741.557"/>
    <n v="1998960.3408000015"/>
    <n v="1089.3516843596738"/>
    <n v="637"/>
    <s v="High Value"/>
    <s v="Aug-2024"/>
    <s v="Ceramic Kitchen Bowl Set"/>
    <s v="Home"/>
    <x v="136"/>
  </r>
  <r>
    <s v="SALE166"/>
    <d v="2023-12-09T00:00:00"/>
    <x v="138"/>
    <s v="PROD69"/>
    <s v="STORE8"/>
    <n v="4"/>
    <n v="714.47"/>
    <n v="0.18"/>
    <x v="2"/>
    <n v="2343.4616000000001"/>
    <n v="1997218.7838000013"/>
    <n v="1088.996065321702"/>
    <n v="636"/>
    <s v="High Value"/>
    <s v="Dec-2023"/>
    <s v="Men's Sports Shorts"/>
    <s v="Clothing"/>
    <x v="137"/>
  </r>
  <r>
    <s v="SALE167"/>
    <d v="2025-07-28T00:00:00"/>
    <x v="139"/>
    <s v="PROD79"/>
    <s v="STORE7"/>
    <n v="4"/>
    <n v="422.09"/>
    <n v="0.04"/>
    <x v="0"/>
    <n v="1620.8255999999999"/>
    <n v="1994875.322200001"/>
    <n v="1088.3116869612663"/>
    <n v="636"/>
    <s v="High Value"/>
    <s v="Jul-2025"/>
    <s v="Decorative Lamp Shade"/>
    <s v="Home"/>
    <x v="138"/>
  </r>
  <r>
    <s v="SALE168"/>
    <d v="2024-06-19T00:00:00"/>
    <x v="140"/>
    <s v="PROD30"/>
    <s v="STORE9"/>
    <n v="1"/>
    <n v="998.19"/>
    <n v="0.2"/>
    <x v="0"/>
    <n v="798.55200000000013"/>
    <n v="1993254.4966000009"/>
    <n v="1088.021013427948"/>
    <n v="636"/>
    <s v="Low Value"/>
    <s v="Jun-2024"/>
    <s v="Stainless Steel Cutlery Set"/>
    <s v="Home"/>
    <x v="139"/>
  </r>
  <r>
    <s v="SALE169"/>
    <d v="2024-01-22T00:00:00"/>
    <x v="141"/>
    <s v="PROD72"/>
    <s v="STORE7"/>
    <n v="2"/>
    <n v="343.42"/>
    <n v="0.12"/>
    <x v="2"/>
    <n v="604.41920000000005"/>
    <n v="1992455.944600001"/>
    <n v="1088.179106826871"/>
    <n v="636"/>
    <s v="Low Value"/>
    <s v="Jan-2024"/>
    <s v="Professional Jump Rope"/>
    <s v="Sports"/>
    <x v="140"/>
  </r>
  <r>
    <s v="SALE170"/>
    <d v="2024-04-08T00:00:00"/>
    <x v="142"/>
    <s v="PROD34"/>
    <s v="STORE6"/>
    <n v="1"/>
    <n v="152.16999999999999"/>
    <n v="0.28000000000000003"/>
    <x v="2"/>
    <n v="109.5624"/>
    <n v="1991851.5254000009"/>
    <n v="1088.4434565027327"/>
    <n v="636"/>
    <s v="Low Value"/>
    <s v="Apr-2024"/>
    <s v="Gaming Mechanical Keyboard"/>
    <s v="Electronics"/>
    <x v="141"/>
  </r>
  <r>
    <s v="SALE171"/>
    <d v="2025-05-18T00:00:00"/>
    <x v="143"/>
    <s v="PROD49"/>
    <s v="STORE11"/>
    <n v="1"/>
    <n v="325.08"/>
    <n v="0.26"/>
    <x v="1"/>
    <n v="240.5592"/>
    <n v="1991741.9630000009"/>
    <n v="1088.9786566429748"/>
    <n v="636"/>
    <s v="Low Value"/>
    <s v="May-2025"/>
    <s v="Men's Roll-On Perfume"/>
    <s v="Beauty"/>
    <x v="142"/>
  </r>
  <r>
    <s v="SALE172"/>
    <d v="2023-12-07T00:00:00"/>
    <x v="33"/>
    <s v="PROD89"/>
    <s v="STORE10"/>
    <n v="2"/>
    <n v="827.92"/>
    <n v="0.25"/>
    <x v="2"/>
    <n v="1241.8800000000001"/>
    <n v="1991501.4038000009"/>
    <n v="1089.4427810722107"/>
    <n v="635"/>
    <s v="High Value"/>
    <s v="Dec-2023"/>
    <s v="Face Foundation Kit"/>
    <s v="Beauty"/>
    <x v="33"/>
  </r>
  <r>
    <s v="SALE173"/>
    <d v="2024-01-23T00:00:00"/>
    <x v="144"/>
    <s v="PROD26"/>
    <s v="STORE2"/>
    <n v="2"/>
    <n v="593.47"/>
    <n v="0.1"/>
    <x v="2"/>
    <n v="1068.2460000000001"/>
    <n v="1990259.5238000008"/>
    <n v="1089.3593452654629"/>
    <n v="635"/>
    <s v="High Value"/>
    <s v="Jan-2024"/>
    <s v="Wireless Bluetooth Speaker"/>
    <s v="Electronics"/>
    <x v="143"/>
  </r>
  <r>
    <s v="SALE174"/>
    <d v="2023-12-07T00:00:00"/>
    <x v="145"/>
    <s v="PROD20"/>
    <s v="STORE7"/>
    <n v="4"/>
    <n v="756.28"/>
    <n v="0.05"/>
    <x v="2"/>
    <n v="2873.864"/>
    <n v="1989191.277800001"/>
    <n v="1089.3709078860904"/>
    <n v="635"/>
    <s v="High Value"/>
    <s v="Dec-2023"/>
    <s v="Outdoor Sports Water Bottle"/>
    <s v="Sports"/>
    <x v="144"/>
  </r>
  <r>
    <s v="SALE175"/>
    <d v="2024-12-15T00:00:00"/>
    <x v="146"/>
    <s v="PROD92"/>
    <s v="STORE1"/>
    <n v="2"/>
    <n v="707.65"/>
    <n v="0.14000000000000001"/>
    <x v="0"/>
    <n v="1217.1579999999999"/>
    <n v="1986317.4138000007"/>
    <n v="1088.3931034520551"/>
    <n v="635"/>
    <s v="High Value"/>
    <s v="Dec-2024"/>
    <s v="Microwave Oven"/>
    <s v="Home"/>
    <x v="145"/>
  </r>
  <r>
    <s v="SALE176"/>
    <d v="2024-03-20T00:00:00"/>
    <x v="147"/>
    <s v="PROD25"/>
    <s v="STORE15"/>
    <n v="1"/>
    <n v="857.35"/>
    <n v="0.28000000000000003"/>
    <x v="1"/>
    <n v="617.29200000000003"/>
    <n v="1985100.2558000009"/>
    <n v="1088.3225086622813"/>
    <n v="635"/>
    <s v="Low Value"/>
    <s v="Mar-2024"/>
    <s v="Women's Scarf Set"/>
    <s v="Clothing"/>
    <x v="146"/>
  </r>
  <r>
    <s v="SALE177"/>
    <d v="2025-01-13T00:00:00"/>
    <x v="148"/>
    <s v="PROD55"/>
    <s v="STORE8"/>
    <n v="1"/>
    <n v="79"/>
    <n v="0.04"/>
    <x v="1"/>
    <n v="75.84"/>
    <n v="1984482.963800001"/>
    <n v="1088.5808907295673"/>
    <n v="634"/>
    <s v="Low Value"/>
    <s v="Jan-2025"/>
    <s v="Ceramic Plant Pot"/>
    <s v="Home"/>
    <x v="147"/>
  </r>
  <r>
    <s v="SALE178"/>
    <d v="2025-08-16T00:00:00"/>
    <x v="149"/>
    <s v="PROD94"/>
    <s v="STORE5"/>
    <n v="4"/>
    <n v="638.91"/>
    <n v="0"/>
    <x v="2"/>
    <n v="2555.64"/>
    <n v="1984407.1238000009"/>
    <n v="1089.1367309549951"/>
    <n v="633"/>
    <s v="High Value"/>
    <s v="Aug-2025"/>
    <s v="Vitamin E Body Lotion"/>
    <s v="Beauty"/>
    <x v="148"/>
  </r>
  <r>
    <s v="SALE179"/>
    <d v="2025-06-04T00:00:00"/>
    <x v="150"/>
    <s v="PROD45"/>
    <s v="STORE0"/>
    <n v="2"/>
    <n v="522.16999999999996"/>
    <n v="0.27"/>
    <x v="0"/>
    <n v="762.36819999999989"/>
    <n v="1981851.4838000012"/>
    <n v="1088.3314024162555"/>
    <n v="633"/>
    <s v="Low Value"/>
    <s v="Jun-2025"/>
    <s v="High-Grip Football"/>
    <s v="Sports"/>
    <x v="149"/>
  </r>
  <r>
    <s v="SALE180"/>
    <d v="2023-11-05T00:00:00"/>
    <x v="151"/>
    <s v="PROD39"/>
    <s v="STORE12"/>
    <n v="3"/>
    <n v="954.29"/>
    <n v="0.27"/>
    <x v="0"/>
    <n v="2089.8951000000002"/>
    <n v="1981089.1156000011"/>
    <n v="1088.5105030769237"/>
    <n v="633"/>
    <s v="High Value"/>
    <s v="Nov-2023"/>
    <s v="Portable Power Bank"/>
    <s v="Electronics"/>
    <x v="150"/>
  </r>
  <r>
    <s v="SALE181"/>
    <d v="2025-02-22T00:00:00"/>
    <x v="152"/>
    <s v="PROD33"/>
    <s v="STORE13"/>
    <n v="3"/>
    <n v="53.92"/>
    <n v="0.15"/>
    <x v="1"/>
    <n v="137.49600000000001"/>
    <n v="1978999.220500001"/>
    <n v="1087.9599892798246"/>
    <n v="633"/>
    <s v="Low Value"/>
    <s v="Feb-2025"/>
    <s v="Modern Wall Clock"/>
    <s v="Home"/>
    <x v="151"/>
  </r>
  <r>
    <s v="SALE182"/>
    <d v="2025-04-06T00:00:00"/>
    <x v="21"/>
    <s v="PROD34"/>
    <s v="STORE0"/>
    <n v="4"/>
    <n v="741.88"/>
    <n v="0.02"/>
    <x v="2"/>
    <n v="2908.1696000000002"/>
    <n v="1978861.7245000009"/>
    <n v="1088.482796754676"/>
    <n v="632"/>
    <s v="High Value"/>
    <s v="Apr-2025"/>
    <s v="Gaming Mechanical Keyboard"/>
    <s v="Electronics"/>
    <x v="21"/>
  </r>
  <r>
    <s v="SALE183"/>
    <d v="2024-10-29T00:00:00"/>
    <x v="153"/>
    <s v="PROD46"/>
    <s v="STORE3"/>
    <n v="1"/>
    <n v="547.09"/>
    <n v="0.01"/>
    <x v="1"/>
    <n v="541.6191"/>
    <n v="1975953.5549000013"/>
    <n v="1087.4813180517344"/>
    <n v="632"/>
    <s v="Low Value"/>
    <s v="Oct-2024"/>
    <s v="Men's Winter Jacket"/>
    <s v="Clothing"/>
    <x v="152"/>
  </r>
  <r>
    <s v="SALE184"/>
    <d v="2025-01-29T00:00:00"/>
    <x v="154"/>
    <s v="PROD89"/>
    <s v="STORE3"/>
    <n v="1"/>
    <n v="789.35"/>
    <n v="0.14000000000000001"/>
    <x v="1"/>
    <n v="678.84100000000001"/>
    <n v="1975411.9358000013"/>
    <n v="1087.781902973569"/>
    <n v="631"/>
    <s v="Low Value"/>
    <s v="Jan-2025"/>
    <s v="Face Foundation Kit"/>
    <s v="Beauty"/>
    <x v="153"/>
  </r>
  <r>
    <s v="SALE185"/>
    <d v="2024-03-03T00:00:00"/>
    <x v="155"/>
    <s v="PROD63"/>
    <s v="STORE3"/>
    <n v="3"/>
    <n v="476.78"/>
    <n v="0.09"/>
    <x v="2"/>
    <n v="1301.6094000000001"/>
    <n v="1974733.0948000015"/>
    <n v="1088.0072147658411"/>
    <n v="630"/>
    <s v="High Value"/>
    <s v="Mar-2024"/>
    <s v="Organic Sunscreen Lotion"/>
    <s v="Beauty"/>
    <x v="154"/>
  </r>
  <r>
    <s v="SALE186"/>
    <d v="2024-11-04T00:00:00"/>
    <x v="32"/>
    <s v="PROD79"/>
    <s v="STORE18"/>
    <n v="2"/>
    <n v="504.26"/>
    <n v="0.04"/>
    <x v="1"/>
    <n v="968.17919999999992"/>
    <n v="1973431.4854000015"/>
    <n v="1087.8894627342897"/>
    <n v="630"/>
    <s v="Low Value"/>
    <s v="Nov-2024"/>
    <s v="Decorative Lamp Shade"/>
    <s v="Home"/>
    <x v="32"/>
  </r>
  <r>
    <s v="SALE187"/>
    <d v="2024-09-03T00:00:00"/>
    <x v="156"/>
    <s v="PROD81"/>
    <s v="STORE6"/>
    <n v="2"/>
    <n v="549.33000000000004"/>
    <n v="0.01"/>
    <x v="2"/>
    <n v="1087.6733999999999"/>
    <n v="1972463.3062000016"/>
    <n v="1087.9554915609497"/>
    <n v="629"/>
    <s v="High Value"/>
    <s v="Sep-2024"/>
    <s v="Badminton Racket Set"/>
    <s v="Sports"/>
    <x v="155"/>
  </r>
  <r>
    <s v="SALE188"/>
    <d v="2024-04-29T00:00:00"/>
    <x v="157"/>
    <s v="PROD4"/>
    <s v="STORE3"/>
    <n v="3"/>
    <n v="620.22"/>
    <n v="0.04"/>
    <x v="0"/>
    <n v="1786.2336"/>
    <n v="1971375.6328000017"/>
    <n v="1087.9556472406191"/>
    <n v="629"/>
    <s v="High Value"/>
    <s v="Apr-2024"/>
    <s v="Women's Yoga Pants"/>
    <s v="Clothing"/>
    <x v="156"/>
  </r>
  <r>
    <s v="SALE189"/>
    <d v="2024-04-29T00:00:00"/>
    <x v="158"/>
    <s v="PROD46"/>
    <s v="STORE3"/>
    <n v="1"/>
    <n v="580.76"/>
    <n v="0.1"/>
    <x v="2"/>
    <n v="522.68399999999997"/>
    <n v="1969589.3992000017"/>
    <n v="1087.5700713418012"/>
    <n v="629"/>
    <s v="Low Value"/>
    <s v="Apr-2024"/>
    <s v="Men's Winter Jacket"/>
    <s v="Clothing"/>
    <x v="157"/>
  </r>
  <r>
    <s v="SALE190"/>
    <d v="2025-04-28T00:00:00"/>
    <x v="159"/>
    <s v="PROD71"/>
    <s v="STORE9"/>
    <n v="3"/>
    <n v="444.55"/>
    <n v="0.14000000000000001"/>
    <x v="1"/>
    <n v="1146.9390000000001"/>
    <n v="1969066.7152000018"/>
    <n v="1087.8821630939237"/>
    <n v="629"/>
    <s v="High Value"/>
    <s v="Apr-2025"/>
    <s v="Hair Repair Oil Treatment"/>
    <s v="Beauty"/>
    <x v="158"/>
  </r>
  <r>
    <s v="SALE191"/>
    <d v="2024-06-16T00:00:00"/>
    <x v="160"/>
    <s v="PROD46"/>
    <s v="STORE18"/>
    <n v="1"/>
    <n v="804.9"/>
    <n v="0.03"/>
    <x v="1"/>
    <n v="780.75299999999993"/>
    <n v="1967919.7762000018"/>
    <n v="1087.849516970703"/>
    <n v="628"/>
    <s v="Low Value"/>
    <s v="Jun-2024"/>
    <s v="Men's Winter Jacket"/>
    <s v="Clothing"/>
    <x v="159"/>
  </r>
  <r>
    <s v="SALE192"/>
    <d v="2024-11-21T00:00:00"/>
    <x v="161"/>
    <s v="PROD92"/>
    <s v="STORE14"/>
    <n v="3"/>
    <n v="361.65"/>
    <n v="0.15"/>
    <x v="2"/>
    <n v="922.20749999999987"/>
    <n v="1967139.0232000018"/>
    <n v="1088.0193712389391"/>
    <n v="627"/>
    <s v="Low Value"/>
    <s v="Nov-2024"/>
    <s v="Microwave Oven"/>
    <s v="Home"/>
    <x v="160"/>
  </r>
  <r>
    <s v="SALE193"/>
    <d v="2025-04-16T00:00:00"/>
    <x v="58"/>
    <s v="PROD7"/>
    <s v="STORE4"/>
    <n v="1"/>
    <n v="271.76"/>
    <n v="0.03"/>
    <x v="0"/>
    <n v="263.60719999999998"/>
    <n v="1966216.8157000018"/>
    <n v="1088.1111320974001"/>
    <n v="627"/>
    <s v="Low Value"/>
    <s v="Apr-2025"/>
    <s v="LED Table Lamp"/>
    <s v="Home"/>
    <x v="58"/>
  </r>
  <r>
    <s v="SALE194"/>
    <d v="2024-11-22T00:00:00"/>
    <x v="162"/>
    <s v="PROD49"/>
    <s v="STORE10"/>
    <n v="3"/>
    <n v="958.15"/>
    <n v="0.24"/>
    <x v="2"/>
    <n v="2184.5819999999999"/>
    <n v="1965953.2085000018"/>
    <n v="1088.5676680509423"/>
    <n v="627"/>
    <s v="High Value"/>
    <s v="Nov-2024"/>
    <s v="Men's Roll-On Perfume"/>
    <s v="Beauty"/>
    <x v="161"/>
  </r>
  <r>
    <s v="SALE195"/>
    <d v="2023-12-30T00:00:00"/>
    <x v="115"/>
    <s v="PROD60"/>
    <s v="STORE17"/>
    <n v="1"/>
    <n v="889.19"/>
    <n v="0.03"/>
    <x v="0"/>
    <n v="862.51430000000005"/>
    <n v="1963768.6265000019"/>
    <n v="1087.9604578947378"/>
    <n v="627"/>
    <s v="Low Value"/>
    <s v="Dec-2023"/>
    <s v="Luxury Perfume Spray"/>
    <s v="Beauty"/>
    <x v="114"/>
  </r>
  <r>
    <s v="SALE196"/>
    <d v="2025-09-04T00:00:00"/>
    <x v="9"/>
    <s v="PROD57"/>
    <s v="STORE16"/>
    <n v="4"/>
    <n v="689.67"/>
    <n v="0.05"/>
    <x v="2"/>
    <n v="2620.7460000000001"/>
    <n v="1962906.112200002"/>
    <n v="1088.0854280487815"/>
    <n v="627"/>
    <s v="High Value"/>
    <s v="Sep-2025"/>
    <s v="Foam Roller"/>
    <s v="Sports"/>
    <x v="9"/>
  </r>
  <r>
    <s v="SALE197"/>
    <d v="2023-10-28T00:00:00"/>
    <x v="163"/>
    <s v="PROD44"/>
    <s v="STORE11"/>
    <n v="1"/>
    <n v="541.24"/>
    <n v="0.03"/>
    <x v="1"/>
    <n v="525.00279999999998"/>
    <n v="1960285.3662000021"/>
    <n v="1087.2353667221309"/>
    <n v="627"/>
    <s v="Low Value"/>
    <s v="Oct-2023"/>
    <s v="Adjustable Jump Rope"/>
    <s v="Sports"/>
    <x v="162"/>
  </r>
  <r>
    <s v="SALE198"/>
    <d v="2024-11-04T00:00:00"/>
    <x v="164"/>
    <s v="PROD81"/>
    <s v="STORE6"/>
    <n v="1"/>
    <n v="454.71"/>
    <n v="0.16"/>
    <x v="1"/>
    <n v="381.95639999999997"/>
    <n v="1959760.363400002"/>
    <n v="1087.5473714761388"/>
    <n v="626"/>
    <s v="Low Value"/>
    <s v="Nov-2024"/>
    <s v="Badminton Racket Set"/>
    <s v="Sports"/>
    <x v="163"/>
  </r>
  <r>
    <s v="SALE199"/>
    <d v="2024-12-20T00:00:00"/>
    <x v="165"/>
    <s v="PROD66"/>
    <s v="STORE5"/>
    <n v="2"/>
    <n v="397.63"/>
    <n v="0.26"/>
    <x v="0"/>
    <n v="588.49239999999998"/>
    <n v="1959378.407000002"/>
    <n v="1087.9391488062199"/>
    <n v="625"/>
    <s v="Low Value"/>
    <s v="Dec-2024"/>
    <s v="Women's Hair Dryer Brush"/>
    <s v="Beauty"/>
    <x v="164"/>
  </r>
  <r>
    <s v="SALE200"/>
    <d v="2025-03-09T00:00:00"/>
    <x v="166"/>
    <s v="PROD83"/>
    <s v="STORE6"/>
    <n v="3"/>
    <n v="748.56"/>
    <n v="0.26"/>
    <x v="1"/>
    <n v="1661.8032000000001"/>
    <n v="1958789.9146000021"/>
    <n v="1088.2166192222235"/>
    <n v="625"/>
    <s v="High Value"/>
    <s v="Mar-2025"/>
    <s v="Hydrating Face Cleanser"/>
    <s v="Beauty"/>
    <x v="165"/>
  </r>
  <r>
    <s v="SALE201"/>
    <d v="2025-03-26T00:00:00"/>
    <x v="20"/>
    <s v="PROD33"/>
    <s v="STORE4"/>
    <n v="1"/>
    <n v="885.72"/>
    <n v="0.15"/>
    <x v="0"/>
    <n v="752.86199999999997"/>
    <n v="1957128.1114000021"/>
    <n v="1087.8977828793786"/>
    <n v="624"/>
    <s v="Low Value"/>
    <s v="Mar-2025"/>
    <s v="Modern Wall Clock"/>
    <s v="Home"/>
    <x v="20"/>
  </r>
  <r>
    <s v="SALE202"/>
    <d v="2025-04-03T00:00:00"/>
    <x v="140"/>
    <s v="PROD62"/>
    <s v="STORE1"/>
    <n v="4"/>
    <n v="408.07"/>
    <n v="0.28000000000000003"/>
    <x v="2"/>
    <n v="1175.2416000000001"/>
    <n v="1956375.2494000024"/>
    <n v="1088.0841209121259"/>
    <n v="624"/>
    <s v="High Value"/>
    <s v="Apr-2025"/>
    <s v="Laptop Cooling Pad"/>
    <s v="Electronics"/>
    <x v="139"/>
  </r>
  <r>
    <s v="SALE203"/>
    <d v="2024-02-05T00:00:00"/>
    <x v="167"/>
    <s v="PROD34"/>
    <s v="STORE9"/>
    <n v="2"/>
    <n v="597.07000000000005"/>
    <n v="0.28000000000000003"/>
    <x v="1"/>
    <n v="859.7808"/>
    <n v="1955200.0078000023"/>
    <n v="1088.035619254314"/>
    <n v="624"/>
    <s v="Low Value"/>
    <s v="Feb-2024"/>
    <s v="Gaming Mechanical Keyboard"/>
    <s v="Electronics"/>
    <x v="166"/>
  </r>
  <r>
    <s v="SALE204"/>
    <d v="2024-06-22T00:00:00"/>
    <x v="128"/>
    <s v="PROD67"/>
    <s v="STORE9"/>
    <n v="3"/>
    <n v="723.47"/>
    <n v="0.12"/>
    <x v="2"/>
    <n v="1909.9608000000001"/>
    <n v="1954340.2270000023"/>
    <n v="1088.1627099109144"/>
    <n v="623"/>
    <s v="High Value"/>
    <s v="Jun-2024"/>
    <s v="Smart LED Light Strip"/>
    <s v="Electronics"/>
    <x v="127"/>
  </r>
  <r>
    <s v="SALE205"/>
    <d v="2025-08-14T00:00:00"/>
    <x v="168"/>
    <s v="PROD88"/>
    <s v="STORE5"/>
    <n v="1"/>
    <n v="479.93"/>
    <n v="0.22"/>
    <x v="0"/>
    <n v="374.34539999999998"/>
    <n v="1952430.2662000025"/>
    <n v="1087.7048836768815"/>
    <n v="623"/>
    <s v="Low Value"/>
    <s v="Aug-2025"/>
    <s v="Sports Wrist Sweatbands"/>
    <s v="Sports"/>
    <x v="167"/>
  </r>
  <r>
    <s v="SALE206"/>
    <d v="2024-06-02T00:00:00"/>
    <x v="129"/>
    <s v="PROD34"/>
    <s v="STORE16"/>
    <n v="4"/>
    <n v="362.81"/>
    <n v="0.21"/>
    <x v="2"/>
    <n v="1146.4795999999999"/>
    <n v="1952055.9208000025"/>
    <n v="1088.1025199554083"/>
    <n v="623"/>
    <s v="High Value"/>
    <s v="Jun-2024"/>
    <s v="Gaming Mechanical Keyboard"/>
    <s v="Electronics"/>
    <x v="128"/>
  </r>
  <r>
    <s v="SALE207"/>
    <d v="2024-12-14T00:00:00"/>
    <x v="169"/>
    <s v="PROD79"/>
    <s v="STORE3"/>
    <n v="1"/>
    <n v="127.11"/>
    <n v="0.01"/>
    <x v="1"/>
    <n v="125.8389"/>
    <n v="1950909.4412000026"/>
    <n v="1088.0699616285569"/>
    <n v="623"/>
    <s v="Low Value"/>
    <s v="Dec-2024"/>
    <s v="Decorative Lamp Shade"/>
    <s v="Home"/>
    <x v="168"/>
  </r>
  <r>
    <s v="SALE208"/>
    <d v="2024-04-29T00:00:00"/>
    <x v="170"/>
    <s v="PROD34"/>
    <s v="STORE17"/>
    <n v="4"/>
    <n v="931.26"/>
    <n v="0.04"/>
    <x v="0"/>
    <n v="3576.0383999999999"/>
    <n v="1950783.6023000027"/>
    <n v="1088.6069209263408"/>
    <n v="622"/>
    <s v="High Value"/>
    <s v="Apr-2024"/>
    <s v="Gaming Mechanical Keyboard"/>
    <s v="Electronics"/>
    <x v="169"/>
  </r>
  <r>
    <s v="SALE209"/>
    <d v="2023-10-25T00:00:00"/>
    <x v="171"/>
    <s v="PROD67"/>
    <s v="STORE8"/>
    <n v="1"/>
    <n v="620.80999999999995"/>
    <n v="0.04"/>
    <x v="1"/>
    <n v="595.97759999999994"/>
    <n v="1947207.5639000025"/>
    <n v="1087.2180702959254"/>
    <n v="622"/>
    <s v="Low Value"/>
    <s v="Oct-2023"/>
    <s v="Smart LED Light Strip"/>
    <s v="Electronics"/>
    <x v="170"/>
  </r>
  <r>
    <s v="SALE210"/>
    <d v="2024-07-24T00:00:00"/>
    <x v="18"/>
    <s v="PROD50"/>
    <s v="STORE2"/>
    <n v="1"/>
    <n v="823.26"/>
    <n v="0.27"/>
    <x v="2"/>
    <n v="600.97979999999995"/>
    <n v="1946611.5863000024"/>
    <n v="1087.4925063128505"/>
    <n v="621"/>
    <s v="Low Value"/>
    <s v="Jul-2024"/>
    <s v="Boxing Hand Wraps"/>
    <s v="Sports"/>
    <x v="18"/>
  </r>
  <r>
    <s v="SALE211"/>
    <d v="2025-05-30T00:00:00"/>
    <x v="172"/>
    <s v="PROD27"/>
    <s v="STORE8"/>
    <n v="3"/>
    <n v="681.01"/>
    <n v="0.27"/>
    <x v="2"/>
    <n v="1491.4119000000001"/>
    <n v="1946010.6065000023"/>
    <n v="1087.7644530463958"/>
    <n v="621"/>
    <s v="High Value"/>
    <s v="May-2025"/>
    <s v="Decorative Floor Vase"/>
    <s v="Home"/>
    <x v="171"/>
  </r>
  <r>
    <s v="SALE212"/>
    <d v="2025-10-12T00:00:00"/>
    <x v="173"/>
    <s v="PROD56"/>
    <s v="STORE19"/>
    <n v="4"/>
    <n v="119.83"/>
    <n v="0.13"/>
    <x v="0"/>
    <n v="417.00839999999999"/>
    <n v="1944519.1946000021"/>
    <n v="1087.538699440717"/>
    <n v="621"/>
    <s v="Low Value"/>
    <s v="Oct-2025"/>
    <s v="Premium Blanket Throw"/>
    <s v="Home"/>
    <x v="172"/>
  </r>
  <r>
    <s v="SALE213"/>
    <d v="2024-01-23T00:00:00"/>
    <x v="132"/>
    <s v="PROD78"/>
    <s v="STORE2"/>
    <n v="1"/>
    <n v="575.66"/>
    <n v="0.03"/>
    <x v="1"/>
    <n v="558.39019999999994"/>
    <n v="1944102.1862000022"/>
    <n v="1087.9139262451047"/>
    <n v="621"/>
    <s v="Low Value"/>
    <s v="Jan-2024"/>
    <s v="Essential Oil Diffuser"/>
    <s v="Home"/>
    <x v="131"/>
  </r>
  <r>
    <s v="SALE214"/>
    <d v="2025-10-13T00:00:00"/>
    <x v="174"/>
    <s v="PROD48"/>
    <s v="STORE16"/>
    <n v="1"/>
    <n v="775.84"/>
    <n v="0.26"/>
    <x v="0"/>
    <n v="574.12160000000006"/>
    <n v="1943543.7960000022"/>
    <n v="1088.2104120940662"/>
    <n v="620"/>
    <s v="Low Value"/>
    <s v="Oct-2025"/>
    <s v="Car Dashboard Phone Holder"/>
    <s v="Electronics"/>
    <x v="173"/>
  </r>
  <r>
    <s v="SALE215"/>
    <d v="2024-03-05T00:00:00"/>
    <x v="13"/>
    <s v="PROD14"/>
    <s v="STORE9"/>
    <n v="3"/>
    <n v="318.43"/>
    <n v="0.05"/>
    <x v="0"/>
    <n v="907.52549999999997"/>
    <n v="1942969.6744000022"/>
    <n v="1088.4984170308135"/>
    <n v="620"/>
    <s v="Low Value"/>
    <s v="Mar-2024"/>
    <s v="Decorative Wall Mirror"/>
    <s v="Home"/>
    <x v="13"/>
  </r>
  <r>
    <s v="SALE216"/>
    <d v="2025-07-16T00:00:00"/>
    <x v="175"/>
    <s v="PROD72"/>
    <s v="STORE8"/>
    <n v="3"/>
    <n v="141.6"/>
    <n v="0.08"/>
    <x v="2"/>
    <n v="390.81599999999997"/>
    <n v="1942062.148900002"/>
    <n v="1088.59985924888"/>
    <n v="620"/>
    <s v="Low Value"/>
    <s v="Jul-2025"/>
    <s v="Professional Jump Rope"/>
    <s v="Sports"/>
    <x v="174"/>
  </r>
  <r>
    <s v="SALE217"/>
    <d v="2023-10-20T00:00:00"/>
    <x v="176"/>
    <s v="PROD15"/>
    <s v="STORE19"/>
    <n v="1"/>
    <n v="332.82"/>
    <n v="0.14000000000000001"/>
    <x v="1"/>
    <n v="286.22519999999997"/>
    <n v="1941671.3329000021"/>
    <n v="1088.9912130678642"/>
    <n v="620"/>
    <s v="Low Value"/>
    <s v="Oct-2023"/>
    <s v="4K Home Projector"/>
    <s v="Electronics"/>
    <x v="175"/>
  </r>
  <r>
    <s v="SALE218"/>
    <d v="2024-06-04T00:00:00"/>
    <x v="177"/>
    <s v="PROD72"/>
    <s v="STORE1"/>
    <n v="4"/>
    <n v="640.97"/>
    <n v="0.11"/>
    <x v="2"/>
    <n v="2281.8532"/>
    <n v="1941385.1077000021"/>
    <n v="1089.441699046017"/>
    <n v="619"/>
    <s v="High Value"/>
    <s v="Jun-2024"/>
    <s v="Professional Jump Rope"/>
    <s v="Sports"/>
    <x v="176"/>
  </r>
  <r>
    <s v="SALE219"/>
    <d v="2023-10-26T00:00:00"/>
    <x v="43"/>
    <s v="PROD90"/>
    <s v="STORE15"/>
    <n v="4"/>
    <n v="75.37"/>
    <n v="0.02"/>
    <x v="2"/>
    <n v="295.4504"/>
    <n v="1939103.2545000021"/>
    <n v="1088.7721810780472"/>
    <n v="619"/>
    <s v="Low Value"/>
    <s v="Oct-2023"/>
    <s v="Gaming Mouse Pad XL"/>
    <s v="Electronics"/>
    <x v="43"/>
  </r>
  <r>
    <s v="SALE220"/>
    <d v="2025-04-07T00:00:00"/>
    <x v="178"/>
    <s v="PROD16"/>
    <s v="STORE18"/>
    <n v="3"/>
    <n v="434.55"/>
    <n v="0.08"/>
    <x v="2"/>
    <n v="1199.3579999999999"/>
    <n v="1938807.8041000022"/>
    <n v="1089.2178674719114"/>
    <n v="619"/>
    <s v="High Value"/>
    <s v="Apr-2025"/>
    <s v="Beard Grooming Kit"/>
    <s v="Beauty"/>
    <x v="177"/>
  </r>
  <r>
    <s v="SALE221"/>
    <d v="2025-03-13T00:00:00"/>
    <x v="179"/>
    <s v="PROD26"/>
    <s v="STORE14"/>
    <n v="4"/>
    <n v="652.28"/>
    <n v="0.15"/>
    <x v="0"/>
    <n v="2217.752"/>
    <n v="1937608.4461000019"/>
    <n v="1089.1559562113557"/>
    <n v="619"/>
    <s v="High Value"/>
    <s v="Mar-2025"/>
    <s v="Wireless Bluetooth Speaker"/>
    <s v="Electronics"/>
    <x v="178"/>
  </r>
  <r>
    <s v="SALE222"/>
    <d v="2024-07-07T00:00:00"/>
    <x v="59"/>
    <s v="PROD76"/>
    <s v="STORE17"/>
    <n v="3"/>
    <n v="207.8"/>
    <n v="0.15"/>
    <x v="0"/>
    <n v="529.8900000000001"/>
    <n v="1935390.6941000018"/>
    <n v="1088.5212002812159"/>
    <n v="619"/>
    <s v="Low Value"/>
    <s v="Jul-2024"/>
    <s v="Wireless Mouse"/>
    <s v="Electronics"/>
    <x v="59"/>
  </r>
  <r>
    <s v="SALE223"/>
    <d v="2024-03-10T00:00:00"/>
    <x v="180"/>
    <s v="PROD61"/>
    <s v="STORE15"/>
    <n v="4"/>
    <n v="385.5"/>
    <n v="0.03"/>
    <x v="1"/>
    <n v="1495.74"/>
    <n v="1934860.8041000019"/>
    <n v="1088.835567867193"/>
    <n v="619"/>
    <s v="High Value"/>
    <s v="Mar-2024"/>
    <s v="Tennis Ball 3-Pack"/>
    <s v="Sports"/>
    <x v="179"/>
  </r>
  <r>
    <s v="SALE224"/>
    <d v="2025-09-15T00:00:00"/>
    <x v="181"/>
    <s v="PROD65"/>
    <s v="STORE6"/>
    <n v="3"/>
    <n v="548.19000000000005"/>
    <n v="0.12"/>
    <x v="0"/>
    <n v="1447.2216000000001"/>
    <n v="1933365.0641000019"/>
    <n v="1088.6064550112624"/>
    <n v="618"/>
    <s v="High Value"/>
    <s v="Sep-2025"/>
    <s v="Adjustable Dumbbells 20kg"/>
    <s v="Sports"/>
    <x v="180"/>
  </r>
  <r>
    <s v="SALE225"/>
    <d v="2024-11-11T00:00:00"/>
    <x v="182"/>
    <s v="PROD73"/>
    <s v="STORE9"/>
    <n v="3"/>
    <n v="927.6"/>
    <n v="0.09"/>
    <x v="0"/>
    <n v="2532.348"/>
    <n v="1931917.8425000019"/>
    <n v="1088.4044183098601"/>
    <n v="618"/>
    <s v="High Value"/>
    <s v="Nov-2024"/>
    <s v="Shin Guards – Adult"/>
    <s v="Sports"/>
    <x v="181"/>
  </r>
  <r>
    <s v="SALE226"/>
    <d v="2025-01-09T00:00:00"/>
    <x v="176"/>
    <s v="PROD61"/>
    <s v="STORE3"/>
    <n v="4"/>
    <n v="585.04"/>
    <n v="0.22"/>
    <x v="1"/>
    <n v="1825.3248000000001"/>
    <n v="1929385.4945000019"/>
    <n v="1087.5904704058635"/>
    <n v="618"/>
    <s v="High Value"/>
    <s v="Jan-2025"/>
    <s v="Tennis Ball 3-Pack"/>
    <s v="Sports"/>
    <x v="175"/>
  </r>
  <r>
    <s v="SALE227"/>
    <d v="2024-04-24T00:00:00"/>
    <x v="148"/>
    <s v="PROD39"/>
    <s v="STORE2"/>
    <n v="2"/>
    <n v="999.89"/>
    <n v="0.09"/>
    <x v="0"/>
    <n v="1819.7998"/>
    <n v="1927560.1697000018"/>
    <n v="1087.1743765933456"/>
    <n v="617"/>
    <s v="High Value"/>
    <s v="Apr-2024"/>
    <s v="Portable Power Bank"/>
    <s v="Electronics"/>
    <x v="147"/>
  </r>
  <r>
    <s v="SALE228"/>
    <d v="2023-12-24T00:00:00"/>
    <x v="183"/>
    <s v="PROD75"/>
    <s v="STORE3"/>
    <n v="2"/>
    <n v="848.98"/>
    <n v="0.04"/>
    <x v="1"/>
    <n v="1630.0416"/>
    <n v="1925740.3699000017"/>
    <n v="1086.7609310948092"/>
    <n v="617"/>
    <s v="High Value"/>
    <s v="Dec-2023"/>
    <s v="Women's Ankle Boots"/>
    <s v="Clothing"/>
    <x v="182"/>
  </r>
  <r>
    <s v="SALE229"/>
    <d v="2024-02-26T00:00:00"/>
    <x v="48"/>
    <s v="PROD60"/>
    <s v="STORE14"/>
    <n v="3"/>
    <n v="769.56"/>
    <n v="0.08"/>
    <x v="0"/>
    <n v="2123.9856"/>
    <n v="1924110.3283000018"/>
    <n v="1086.4541661773019"/>
    <n v="616"/>
    <s v="High Value"/>
    <s v="Feb-2024"/>
    <s v="Luxury Perfume Spray"/>
    <s v="Beauty"/>
    <x v="48"/>
  </r>
  <r>
    <s v="SALE230"/>
    <d v="2025-01-19T00:00:00"/>
    <x v="184"/>
    <s v="PROD48"/>
    <s v="STORE13"/>
    <n v="3"/>
    <n v="449.88"/>
    <n v="0.1"/>
    <x v="1"/>
    <n v="1214.6759999999999"/>
    <n v="1921986.342700002"/>
    <n v="1085.8679902259898"/>
    <n v="616"/>
    <s v="High Value"/>
    <s v="Jan-2025"/>
    <s v="Car Dashboard Phone Holder"/>
    <s v="Electronics"/>
    <x v="183"/>
  </r>
  <r>
    <s v="SALE231"/>
    <d v="2025-07-25T00:00:00"/>
    <x v="185"/>
    <s v="PROD69"/>
    <s v="STORE12"/>
    <n v="4"/>
    <n v="383.74"/>
    <n v="0.01"/>
    <x v="0"/>
    <n v="1519.6104"/>
    <n v="1920771.666700002"/>
    <n v="1085.7951762012449"/>
    <n v="615"/>
    <s v="High Value"/>
    <s v="Jul-2025"/>
    <s v="Men's Sports Shorts"/>
    <s v="Clothing"/>
    <x v="184"/>
  </r>
  <r>
    <s v="SALE232"/>
    <d v="2024-04-27T00:00:00"/>
    <x v="28"/>
    <s v="PROD58"/>
    <s v="STORE10"/>
    <n v="4"/>
    <n v="794.97"/>
    <n v="0.24"/>
    <x v="1"/>
    <n v="2416.7087999999999"/>
    <n v="1919252.0563000019"/>
    <n v="1085.5498055995486"/>
    <n v="615"/>
    <s v="High Value"/>
    <s v="Apr-2024"/>
    <s v="Womens Cotton Scarf"/>
    <s v="Clothing"/>
    <x v="28"/>
  </r>
  <r>
    <s v="SALE233"/>
    <d v="2025-08-11T00:00:00"/>
    <x v="81"/>
    <s v="PROD79"/>
    <s v="STORE5"/>
    <n v="1"/>
    <n v="989.63"/>
    <n v="0.05"/>
    <x v="1"/>
    <n v="940.1484999999999"/>
    <n v="1916835.3475000018"/>
    <n v="1084.7964615166959"/>
    <n v="614"/>
    <s v="Low Value"/>
    <s v="Aug-2025"/>
    <s v="Decorative Lamp Shade"/>
    <s v="Home"/>
    <x v="80"/>
  </r>
  <r>
    <s v="SALE234"/>
    <d v="2025-03-15T00:00:00"/>
    <x v="41"/>
    <s v="PROD54"/>
    <s v="STORE0"/>
    <n v="1"/>
    <n v="447.16"/>
    <n v="0.22"/>
    <x v="2"/>
    <n v="348.78480000000002"/>
    <n v="1915895.1990000019"/>
    <n v="1084.8783686296727"/>
    <n v="613"/>
    <s v="Low Value"/>
    <s v="Mar-2025"/>
    <s v="Sports Stopwatch Pro"/>
    <s v="Sports"/>
    <x v="41"/>
  </r>
  <r>
    <s v="SALE235"/>
    <d v="2025-01-14T00:00:00"/>
    <x v="46"/>
    <s v="PROD94"/>
    <s v="STORE6"/>
    <n v="1"/>
    <n v="946.9"/>
    <n v="0.28999999999999998"/>
    <x v="2"/>
    <n v="672.29899999999998"/>
    <n v="1915546.4142000019"/>
    <n v="1085.2954188101994"/>
    <n v="613"/>
    <s v="Low Value"/>
    <s v="Jan-2025"/>
    <s v="Vitamin E Body Lotion"/>
    <s v="Beauty"/>
    <x v="46"/>
  </r>
  <r>
    <s v="SALE236"/>
    <d v="2025-06-01T00:00:00"/>
    <x v="186"/>
    <s v="PROD17"/>
    <s v="STORE0"/>
    <n v="4"/>
    <n v="469.68"/>
    <n v="0.19"/>
    <x v="0"/>
    <n v="1521.7632000000001"/>
    <n v="1914874.1152000017"/>
    <n v="1085.5295437641732"/>
    <n v="613"/>
    <s v="High Value"/>
    <s v="Jun-2025"/>
    <s v="Soccer Training Cone Set"/>
    <s v="Sports"/>
    <x v="185"/>
  </r>
  <r>
    <s v="SALE237"/>
    <d v="2024-09-24T00:00:00"/>
    <x v="187"/>
    <s v="PROD28"/>
    <s v="STORE17"/>
    <n v="4"/>
    <n v="320.64"/>
    <n v="0.2"/>
    <x v="2"/>
    <n v="1026.048"/>
    <n v="1913352.3520000016"/>
    <n v="1085.2821055019861"/>
    <n v="613"/>
    <s v="High Value"/>
    <s v="Sep-2024"/>
    <s v="Sports Stopwatch Timer"/>
    <s v="Sports"/>
    <x v="186"/>
  </r>
  <r>
    <s v="SALE238"/>
    <d v="2023-11-23T00:00:00"/>
    <x v="163"/>
    <s v="PROD15"/>
    <s v="STORE5"/>
    <n v="1"/>
    <n v="594.44000000000005"/>
    <n v="0.21"/>
    <x v="0"/>
    <n v="469.60759999999999"/>
    <n v="1912326.3040000016"/>
    <n v="1085.3157230419986"/>
    <n v="613"/>
    <s v="Low Value"/>
    <s v="Nov-2023"/>
    <s v="4K Home Projector"/>
    <s v="Electronics"/>
    <x v="162"/>
  </r>
  <r>
    <s v="SALE239"/>
    <d v="2025-07-23T00:00:00"/>
    <x v="188"/>
    <s v="PROD86"/>
    <s v="STORE8"/>
    <n v="3"/>
    <n v="91.7"/>
    <n v="0.08"/>
    <x v="2"/>
    <n v="253.09200000000001"/>
    <n v="1911856.6964000016"/>
    <n v="1085.6653585462814"/>
    <n v="613"/>
    <s v="Low Value"/>
    <s v="Jul-2025"/>
    <s v="Kitchen Cutting Board"/>
    <s v="Home"/>
    <x v="187"/>
  </r>
  <r>
    <s v="SALE240"/>
    <d v="2025-09-17T00:00:00"/>
    <x v="189"/>
    <s v="PROD62"/>
    <s v="STORE12"/>
    <n v="3"/>
    <n v="741.33"/>
    <n v="0.03"/>
    <x v="0"/>
    <n v="2157.2703000000001"/>
    <n v="1911603.6044000017"/>
    <n v="1086.13841159091"/>
    <n v="613"/>
    <s v="High Value"/>
    <s v="Sep-2025"/>
    <s v="Laptop Cooling Pad"/>
    <s v="Electronics"/>
    <x v="188"/>
  </r>
  <r>
    <s v="SALE241"/>
    <d v="2025-04-07T00:00:00"/>
    <x v="22"/>
    <s v="PROD16"/>
    <s v="STORE19"/>
    <n v="1"/>
    <n v="922.78"/>
    <n v="0.28999999999999998"/>
    <x v="2"/>
    <n v="655.17379999999991"/>
    <n v="1909446.3341000017"/>
    <n v="1085.5294679363285"/>
    <n v="613"/>
    <s v="Low Value"/>
    <s v="Apr-2025"/>
    <s v="Beard Grooming Kit"/>
    <s v="Beauty"/>
    <x v="22"/>
  </r>
  <r>
    <s v="SALE242"/>
    <d v="2024-01-21T00:00:00"/>
    <x v="88"/>
    <s v="PROD8"/>
    <s v="STORE16"/>
    <n v="1"/>
    <n v="394.35"/>
    <n v="0.09"/>
    <x v="1"/>
    <n v="358.85849999999999"/>
    <n v="1908791.1603000017"/>
    <n v="1085.7742663822535"/>
    <n v="613"/>
    <s v="Low Value"/>
    <s v="Jan-2024"/>
    <s v="Wireless Bluetooth Earbuds"/>
    <s v="Electronics"/>
    <x v="87"/>
  </r>
  <r>
    <s v="SALE243"/>
    <d v="2024-07-07T00:00:00"/>
    <x v="190"/>
    <s v="PROD65"/>
    <s v="STORE11"/>
    <n v="2"/>
    <n v="703.95"/>
    <n v="0.03"/>
    <x v="0"/>
    <n v="1365.663"/>
    <n v="1908432.3018000016"/>
    <n v="1086.1879919180431"/>
    <n v="612"/>
    <s v="High Value"/>
    <s v="Jul-2024"/>
    <s v="Adjustable Dumbbells 20kg"/>
    <s v="Sports"/>
    <x v="189"/>
  </r>
  <r>
    <s v="SALE244"/>
    <d v="2025-05-03T00:00:00"/>
    <x v="27"/>
    <s v="PROD14"/>
    <s v="STORE0"/>
    <n v="4"/>
    <n v="452.67"/>
    <n v="0.28000000000000003"/>
    <x v="1"/>
    <n v="1303.6895999999999"/>
    <n v="1907066.6388000015"/>
    <n v="1086.0288375854223"/>
    <n v="612"/>
    <s v="High Value"/>
    <s v="May-2025"/>
    <s v="Decorative Wall Mirror"/>
    <s v="Home"/>
    <x v="27"/>
  </r>
  <r>
    <s v="SALE245"/>
    <d v="2024-02-27T00:00:00"/>
    <x v="191"/>
    <s v="PROD8"/>
    <s v="STORE7"/>
    <n v="2"/>
    <n v="377.3"/>
    <n v="0.15"/>
    <x v="1"/>
    <n v="641.41"/>
    <n v="1905762.9492000018"/>
    <n v="1085.9048143589753"/>
    <n v="611"/>
    <s v="Low Value"/>
    <s v="Feb-2024"/>
    <s v="Wireless Bluetooth Earbuds"/>
    <s v="Electronics"/>
    <x v="190"/>
  </r>
  <r>
    <s v="SALE246"/>
    <d v="2025-07-08T00:00:00"/>
    <x v="33"/>
    <s v="PROD74"/>
    <s v="STORE7"/>
    <n v="2"/>
    <n v="130.47999999999999"/>
    <n v="0.23"/>
    <x v="1"/>
    <n v="200.9392"/>
    <n v="1905121.5392000016"/>
    <n v="1086.158232155075"/>
    <n v="610"/>
    <s v="Low Value"/>
    <s v="Jul-2025"/>
    <s v="Bluetooth Car Audio System"/>
    <s v="Electronics"/>
    <x v="33"/>
  </r>
  <r>
    <s v="SALE247"/>
    <d v="2025-03-13T00:00:00"/>
    <x v="15"/>
    <s v="PROD94"/>
    <s v="STORE12"/>
    <n v="1"/>
    <n v="809.45"/>
    <n v="0.09"/>
    <x v="2"/>
    <n v="736.59950000000003"/>
    <n v="1904920.6000000017"/>
    <n v="1086.6632059326878"/>
    <n v="609"/>
    <s v="Low Value"/>
    <s v="Mar-2025"/>
    <s v="Vitamin E Body Lotion"/>
    <s v="Beauty"/>
    <x v="15"/>
  </r>
  <r>
    <s v="SALE248"/>
    <d v="2025-04-21T00:00:00"/>
    <x v="192"/>
    <s v="PROD45"/>
    <s v="STORE9"/>
    <n v="3"/>
    <n v="499.12"/>
    <n v="0.05"/>
    <x v="1"/>
    <n v="1422.492"/>
    <n v="1904184.0005000017"/>
    <n v="1086.8630139840193"/>
    <n v="609"/>
    <s v="High Value"/>
    <s v="Apr-2025"/>
    <s v="High-Grip Football"/>
    <s v="Sports"/>
    <x v="191"/>
  </r>
  <r>
    <s v="SALE249"/>
    <d v="2024-11-10T00:00:00"/>
    <x v="193"/>
    <s v="PROD68"/>
    <s v="STORE3"/>
    <n v="2"/>
    <n v="894.58"/>
    <n v="0.25"/>
    <x v="0"/>
    <n v="1341.87"/>
    <n v="1902761.5085000019"/>
    <n v="1086.6713355225595"/>
    <n v="608"/>
    <s v="High Value"/>
    <s v="Nov-2024"/>
    <s v="Wooden Nightstand"/>
    <s v="Home"/>
    <x v="192"/>
  </r>
  <r>
    <s v="SALE250"/>
    <d v="2024-08-09T00:00:00"/>
    <x v="87"/>
    <s v="PROD75"/>
    <s v="STORE9"/>
    <n v="4"/>
    <n v="578.39"/>
    <n v="0.01"/>
    <x v="0"/>
    <n v="2290.4243999999999"/>
    <n v="1901419.638500002"/>
    <n v="1086.5255077142867"/>
    <n v="608"/>
    <s v="High Value"/>
    <s v="Aug-2024"/>
    <s v="Women's Ankle Boots"/>
    <s v="Clothing"/>
    <x v="86"/>
  </r>
  <r>
    <s v="SALE251"/>
    <d v="2024-03-05T00:00:00"/>
    <x v="144"/>
    <s v="PROD41"/>
    <s v="STORE17"/>
    <n v="4"/>
    <n v="982.45"/>
    <n v="0.2"/>
    <x v="1"/>
    <n v="3143.84"/>
    <n v="1899129.2141000021"/>
    <n v="1085.8371721555186"/>
    <n v="608"/>
    <s v="High Value"/>
    <s v="Mar-2024"/>
    <s v="Yoga Exercise Mat"/>
    <s v="Sports"/>
    <x v="143"/>
  </r>
  <r>
    <s v="SALE252"/>
    <d v="2025-09-25T00:00:00"/>
    <x v="194"/>
    <s v="PROD98"/>
    <s v="STORE19"/>
    <n v="1"/>
    <n v="549.52"/>
    <n v="0.1"/>
    <x v="1"/>
    <n v="494.56799999999998"/>
    <n v="1895985.3741000022"/>
    <n v="1084.6598250000013"/>
    <n v="607"/>
    <s v="Low Value"/>
    <s v="Sep-2025"/>
    <s v="Portable Bluetooth Speaker"/>
    <s v="Electronics"/>
    <x v="193"/>
  </r>
  <r>
    <s v="SALE253"/>
    <d v="2025-08-07T00:00:00"/>
    <x v="195"/>
    <s v="PROD92"/>
    <s v="STORE18"/>
    <n v="2"/>
    <n v="239.92"/>
    <n v="0.16"/>
    <x v="0"/>
    <n v="403.06560000000002"/>
    <n v="1895490.8061000023"/>
    <n v="1084.9975993703504"/>
    <n v="606"/>
    <s v="Low Value"/>
    <s v="Aug-2025"/>
    <s v="Microwave Oven"/>
    <s v="Home"/>
    <x v="194"/>
  </r>
  <r>
    <s v="SALE254"/>
    <d v="2024-02-16T00:00:00"/>
    <x v="196"/>
    <s v="PROD92"/>
    <s v="STORE6"/>
    <n v="2"/>
    <n v="878.05"/>
    <n v="0.11"/>
    <x v="1"/>
    <n v="1562.9290000000001"/>
    <n v="1895087.7405000022"/>
    <n v="1085.3881675257744"/>
    <n v="606"/>
    <s v="High Value"/>
    <s v="Feb-2024"/>
    <s v="Microwave Oven"/>
    <s v="Home"/>
    <x v="195"/>
  </r>
  <r>
    <s v="SALE255"/>
    <d v="2025-03-30T00:00:00"/>
    <x v="197"/>
    <s v="PROD1"/>
    <s v="STORE9"/>
    <n v="3"/>
    <n v="546.96"/>
    <n v="0.19"/>
    <x v="0"/>
    <n v="1329.1128000000001"/>
    <n v="1893524.8115000022"/>
    <n v="1085.1145051575943"/>
    <n v="605"/>
    <s v="High Value"/>
    <s v="Mar-2025"/>
    <s v="Men's Graphic T-Shirt"/>
    <s v="Clothing"/>
    <x v="196"/>
  </r>
  <r>
    <s v="SALE256"/>
    <d v="2025-02-18T00:00:00"/>
    <x v="198"/>
    <s v="PROD17"/>
    <s v="STORE10"/>
    <n v="2"/>
    <n v="71.77"/>
    <n v="0.22"/>
    <x v="0"/>
    <n v="111.96120000000001"/>
    <n v="1892195.6987000019"/>
    <n v="1084.9745978784415"/>
    <n v="605"/>
    <s v="Low Value"/>
    <s v="Feb-2025"/>
    <s v="Soccer Training Cone Set"/>
    <s v="Sports"/>
    <x v="197"/>
  </r>
  <r>
    <s v="SALE257"/>
    <d v="2025-03-01T00:00:00"/>
    <x v="199"/>
    <s v="PROD24"/>
    <s v="STORE1"/>
    <n v="2"/>
    <n v="679.86"/>
    <n v="0.22"/>
    <x v="2"/>
    <n v="1060.5816"/>
    <n v="1892083.7375000021"/>
    <n v="1085.5328384968457"/>
    <n v="605"/>
    <s v="High Value"/>
    <s v="Mar-2025"/>
    <s v="Foldable Camping Chair"/>
    <s v="Sports"/>
    <x v="198"/>
  </r>
  <r>
    <s v="SALE258"/>
    <d v="2024-01-09T00:00:00"/>
    <x v="200"/>
    <s v="PROD35"/>
    <s v="STORE17"/>
    <n v="1"/>
    <n v="222.94"/>
    <n v="0.19"/>
    <x v="0"/>
    <n v="180.5814"/>
    <n v="1891023.155900002"/>
    <n v="1085.5471618254892"/>
    <n v="605"/>
    <s v="Low Value"/>
    <s v="Jan-2024"/>
    <s v="Bedroom Table Lamp"/>
    <s v="Home"/>
    <x v="199"/>
  </r>
  <r>
    <s v="SALE259"/>
    <d v="2025-04-26T00:00:00"/>
    <x v="201"/>
    <s v="PROD35"/>
    <s v="STORE2"/>
    <n v="2"/>
    <n v="355.3"/>
    <n v="0.17"/>
    <x v="1"/>
    <n v="589.798"/>
    <n v="1890842.574500002"/>
    <n v="1086.0669583572671"/>
    <n v="605"/>
    <s v="Low Value"/>
    <s v="Apr-2025"/>
    <s v="Bedroom Table Lamp"/>
    <s v="Home"/>
    <x v="200"/>
  </r>
  <r>
    <s v="SALE260"/>
    <d v="2024-07-24T00:00:00"/>
    <x v="202"/>
    <s v="PROD89"/>
    <s v="STORE19"/>
    <n v="4"/>
    <n v="611.29999999999995"/>
    <n v="0.11"/>
    <x v="1"/>
    <n v="2176.2280000000001"/>
    <n v="1890252.776500002"/>
    <n v="1086.3521704023001"/>
    <n v="604"/>
    <s v="High Value"/>
    <s v="Jul-2024"/>
    <s v="Face Foundation Kit"/>
    <s v="Beauty"/>
    <x v="201"/>
  </r>
  <r>
    <s v="SALE261"/>
    <d v="2025-03-26T00:00:00"/>
    <x v="203"/>
    <s v="PROD0"/>
    <s v="STORE8"/>
    <n v="4"/>
    <n v="849.21"/>
    <n v="7.0000000000000007E-2"/>
    <x v="0"/>
    <n v="3159.0612000000001"/>
    <n v="1888076.5485000019"/>
    <n v="1085.7254447958608"/>
    <n v="603"/>
    <s v="High Value"/>
    <s v="Mar-2025"/>
    <s v="Brother Laser Printer"/>
    <s v="Electronics"/>
    <x v="202"/>
  </r>
  <r>
    <s v="SALE262"/>
    <d v="2025-02-25T00:00:00"/>
    <x v="204"/>
    <s v="PROD42"/>
    <s v="STORE7"/>
    <n v="3"/>
    <n v="553.12"/>
    <n v="0.28000000000000003"/>
    <x v="2"/>
    <n v="1194.7392"/>
    <n v="1884917.4873000022"/>
    <n v="1084.5325013233614"/>
    <n v="603"/>
    <s v="High Value"/>
    <s v="Feb-2025"/>
    <s v="Smart Home WiFi Camera"/>
    <s v="Electronics"/>
    <x v="203"/>
  </r>
  <r>
    <s v="SALE263"/>
    <d v="2025-06-18T00:00:00"/>
    <x v="205"/>
    <s v="PROD91"/>
    <s v="STORE9"/>
    <n v="2"/>
    <n v="903.08"/>
    <n v="0.18"/>
    <x v="2"/>
    <n v="1481.0512000000001"/>
    <n v="1883722.7481000021"/>
    <n v="1084.4690547495693"/>
    <n v="603"/>
    <s v="High Value"/>
    <s v="Jun-2025"/>
    <s v="Women's High Heels"/>
    <s v="Clothing"/>
    <x v="204"/>
  </r>
  <r>
    <s v="SALE264"/>
    <d v="2024-12-22T00:00:00"/>
    <x v="151"/>
    <s v="PROD16"/>
    <s v="STORE11"/>
    <n v="4"/>
    <n v="640.23"/>
    <n v="0.06"/>
    <x v="2"/>
    <n v="2407.2647999999999"/>
    <n v="1882241.696900002"/>
    <n v="1084.2406088133653"/>
    <n v="603"/>
    <s v="High Value"/>
    <s v="Dec-2024"/>
    <s v="Beard Grooming Kit"/>
    <s v="Beauty"/>
    <x v="150"/>
  </r>
  <r>
    <s v="SALE265"/>
    <d v="2025-06-28T00:00:00"/>
    <x v="206"/>
    <s v="PROD21"/>
    <s v="STORE6"/>
    <n v="1"/>
    <n v="518"/>
    <n v="0.25"/>
    <x v="0"/>
    <n v="388.5"/>
    <n v="1879834.432100002"/>
    <n v="1083.4780588472634"/>
    <n v="603"/>
    <s v="Low Value"/>
    <s v="Jun-2025"/>
    <s v="Multi-Purpose Storage Box"/>
    <s v="Home"/>
    <x v="205"/>
  </r>
  <r>
    <s v="SALE266"/>
    <d v="2024-05-25T00:00:00"/>
    <x v="207"/>
    <s v="PROD64"/>
    <s v="STORE4"/>
    <n v="4"/>
    <n v="779.25"/>
    <n v="0.25"/>
    <x v="0"/>
    <n v="2337.75"/>
    <n v="1879445.932100002"/>
    <n v="1083.8788535755491"/>
    <n v="603"/>
    <s v="High Value"/>
    <s v="May-2024"/>
    <s v="Matte Lipstick Set"/>
    <s v="Beauty"/>
    <x v="206"/>
  </r>
  <r>
    <s v="SALE267"/>
    <d v="2025-05-30T00:00:00"/>
    <x v="208"/>
    <s v="PROD83"/>
    <s v="STORE7"/>
    <n v="2"/>
    <n v="467.75"/>
    <n v="0.26"/>
    <x v="0"/>
    <n v="692.27"/>
    <n v="1877108.1821000015"/>
    <n v="1083.1553272360077"/>
    <n v="603"/>
    <s v="Low Value"/>
    <s v="May-2025"/>
    <s v="Hydrating Face Cleanser"/>
    <s v="Beauty"/>
    <x v="207"/>
  </r>
  <r>
    <s v="SALE268"/>
    <d v="2024-09-20T00:00:00"/>
    <x v="82"/>
    <s v="PROD90"/>
    <s v="STORE18"/>
    <n v="3"/>
    <n v="111.79"/>
    <n v="0.06"/>
    <x v="0"/>
    <n v="315.24779999999998"/>
    <n v="1876415.9121000017"/>
    <n v="1083.3810116050818"/>
    <n v="603"/>
    <s v="Low Value"/>
    <s v="Sep-2024"/>
    <s v="Gaming Mouse Pad XL"/>
    <s v="Electronics"/>
    <x v="81"/>
  </r>
  <r>
    <s v="SALE269"/>
    <d v="2025-05-26T00:00:00"/>
    <x v="209"/>
    <s v="PROD37"/>
    <s v="STORE0"/>
    <n v="4"/>
    <n v="747.01"/>
    <n v="0.13"/>
    <x v="1"/>
    <n v="2599.5947999999999"/>
    <n v="1876100.6643000017"/>
    <n v="1083.8247627383025"/>
    <n v="603"/>
    <s v="High Value"/>
    <s v="May-2025"/>
    <s v="Men's Casual Sneakers"/>
    <s v="Clothing"/>
    <x v="208"/>
  </r>
  <r>
    <s v="SALE270"/>
    <d v="2025-03-19T00:00:00"/>
    <x v="210"/>
    <s v="PROD89"/>
    <s v="STORE12"/>
    <n v="4"/>
    <n v="461.83"/>
    <n v="0.28000000000000003"/>
    <x v="1"/>
    <n v="1330.0704000000001"/>
    <n v="1873501.0695000018"/>
    <n v="1082.9485950867063"/>
    <n v="602"/>
    <s v="High Value"/>
    <s v="Mar-2025"/>
    <s v="Face Foundation Kit"/>
    <s v="Beauty"/>
    <x v="209"/>
  </r>
  <r>
    <s v="SALE271"/>
    <d v="2025-04-03T00:00:00"/>
    <x v="211"/>
    <s v="PROD70"/>
    <s v="STORE8"/>
    <n v="2"/>
    <n v="105.15"/>
    <n v="0.06"/>
    <x v="0"/>
    <n v="197.68199999999999"/>
    <n v="1872170.999100002"/>
    <n v="1082.8056674956633"/>
    <n v="601"/>
    <s v="Low Value"/>
    <s v="Apr-2025"/>
    <s v="Kitchen Storage Rack"/>
    <s v="Home"/>
    <x v="210"/>
  </r>
  <r>
    <s v="SALE272"/>
    <d v="2025-02-05T00:00:00"/>
    <x v="153"/>
    <s v="PROD23"/>
    <s v="STORE3"/>
    <n v="3"/>
    <n v="610.24"/>
    <n v="0.17"/>
    <x v="2"/>
    <n v="1519.4975999999999"/>
    <n v="1871973.317100002"/>
    <n v="1083.3178918402789"/>
    <n v="601"/>
    <s v="High Value"/>
    <s v="Feb-2025"/>
    <s v="Men's Formal Shirt"/>
    <s v="Clothing"/>
    <x v="152"/>
  </r>
  <r>
    <s v="SALE273"/>
    <d v="2025-01-10T00:00:00"/>
    <x v="212"/>
    <s v="PROD74"/>
    <s v="STORE8"/>
    <n v="1"/>
    <n v="872.12"/>
    <n v="7.0000000000000007E-2"/>
    <x v="1"/>
    <n v="811.07159999999999"/>
    <n v="1870453.8195000021"/>
    <n v="1083.0653268674014"/>
    <n v="601"/>
    <s v="Low Value"/>
    <s v="Jan-2025"/>
    <s v="Bluetooth Car Audio System"/>
    <s v="Electronics"/>
    <x v="211"/>
  </r>
  <r>
    <s v="SALE274"/>
    <d v="2024-01-25T00:00:00"/>
    <x v="207"/>
    <s v="PROD10"/>
    <s v="STORE1"/>
    <n v="1"/>
    <n v="406.79"/>
    <n v="0.03"/>
    <x v="2"/>
    <n v="394.58629999999999"/>
    <n v="1869642.7479000019"/>
    <n v="1083.2229130359224"/>
    <n v="600"/>
    <s v="Low Value"/>
    <s v="Jan-2024"/>
    <s v="Ceramic Kitchen Bowl Set"/>
    <s v="Home"/>
    <x v="206"/>
  </r>
  <r>
    <s v="SALE275"/>
    <d v="2025-10-02T00:00:00"/>
    <x v="61"/>
    <s v="PROD54"/>
    <s v="STORE14"/>
    <n v="1"/>
    <n v="606.01"/>
    <n v="0.04"/>
    <x v="1"/>
    <n v="581.76959999999997"/>
    <n v="1869248.1616000019"/>
    <n v="1083.6221226666678"/>
    <n v="600"/>
    <s v="Low Value"/>
    <s v="Oct-2025"/>
    <s v="Sports Stopwatch Pro"/>
    <s v="Sports"/>
    <x v="60"/>
  </r>
  <r>
    <s v="SALE276"/>
    <d v="2024-07-10T00:00:00"/>
    <x v="116"/>
    <s v="PROD17"/>
    <s v="STORE5"/>
    <n v="4"/>
    <n v="322.58"/>
    <n v="0.06"/>
    <x v="0"/>
    <n v="1212.9007999999999"/>
    <n v="1868666.3920000019"/>
    <n v="1083.9132204176344"/>
    <n v="599"/>
    <s v="High Value"/>
    <s v="Jul-2024"/>
    <s v="Soccer Training Cone Set"/>
    <s v="Sports"/>
    <x v="115"/>
  </r>
  <r>
    <s v="SALE277"/>
    <d v="2025-01-04T00:00:00"/>
    <x v="213"/>
    <s v="PROD77"/>
    <s v="STORE18"/>
    <n v="4"/>
    <n v="463.17"/>
    <n v="0.06"/>
    <x v="1"/>
    <n v="1741.5192"/>
    <n v="1867453.4912000019"/>
    <n v="1083.8383582124213"/>
    <n v="599"/>
    <s v="High Value"/>
    <s v="Jan-2025"/>
    <s v="WiFi Mesh Router"/>
    <s v="Electronics"/>
    <x v="212"/>
  </r>
  <r>
    <s v="SALE278"/>
    <d v="2025-05-21T00:00:00"/>
    <x v="214"/>
    <s v="PROD25"/>
    <s v="STORE7"/>
    <n v="4"/>
    <n v="285.82"/>
    <n v="0.18"/>
    <x v="1"/>
    <n v="937.4896"/>
    <n v="1865711.9720000017"/>
    <n v="1083.4564297328698"/>
    <n v="598"/>
    <s v="Low Value"/>
    <s v="May-2025"/>
    <s v="Women's Scarf Set"/>
    <s v="Clothing"/>
    <x v="213"/>
  </r>
  <r>
    <s v="SALE279"/>
    <d v="2025-07-30T00:00:00"/>
    <x v="215"/>
    <s v="PROD37"/>
    <s v="STORE11"/>
    <n v="3"/>
    <n v="995.38"/>
    <n v="0.1"/>
    <x v="1"/>
    <n v="2687.5259999999998"/>
    <n v="1864774.482400002"/>
    <n v="1083.5412448576421"/>
    <n v="597"/>
    <s v="High Value"/>
    <s v="Jul-2025"/>
    <s v="Men's Casual Sneakers"/>
    <s v="Clothing"/>
    <x v="214"/>
  </r>
  <r>
    <s v="SALE280"/>
    <d v="2025-04-10T00:00:00"/>
    <x v="97"/>
    <s v="PROD62"/>
    <s v="STORE8"/>
    <n v="1"/>
    <n v="329.31"/>
    <n v="0.09"/>
    <x v="0"/>
    <n v="299.6721"/>
    <n v="1862086.9564000021"/>
    <n v="1082.6086955813967"/>
    <n v="596"/>
    <s v="Low Value"/>
    <s v="Apr-2025"/>
    <s v="Laptop Cooling Pad"/>
    <s v="Electronics"/>
    <x v="96"/>
  </r>
  <r>
    <s v="SALE281"/>
    <d v="2024-07-02T00:00:00"/>
    <x v="216"/>
    <s v="PROD47"/>
    <s v="STORE16"/>
    <n v="3"/>
    <n v="64.2"/>
    <n v="0.08"/>
    <x v="2"/>
    <n v="177.19200000000001"/>
    <n v="1861787.284300002"/>
    <n v="1083.0641560791169"/>
    <n v="596"/>
    <s v="Low Value"/>
    <s v="Jul-2024"/>
    <s v="Makeup Brush Set"/>
    <s v="Beauty"/>
    <x v="215"/>
  </r>
  <r>
    <s v="SALE282"/>
    <d v="2025-06-21T00:00:00"/>
    <x v="217"/>
    <s v="PROD11"/>
    <s v="STORE13"/>
    <n v="3"/>
    <n v="697.13"/>
    <n v="0.25"/>
    <x v="2"/>
    <n v="1568.5425"/>
    <n v="1861610.0923000022"/>
    <n v="1083.5914390570445"/>
    <n v="596"/>
    <s v="High Value"/>
    <s v="Jun-2025"/>
    <s v="HD Smart TV Stick"/>
    <s v="Electronics"/>
    <x v="216"/>
  </r>
  <r>
    <s v="SALE283"/>
    <d v="2024-12-13T00:00:00"/>
    <x v="128"/>
    <s v="PROD9"/>
    <s v="STORE5"/>
    <n v="3"/>
    <n v="134.30000000000001"/>
    <n v="0.14000000000000001"/>
    <x v="0"/>
    <n v="346.49400000000003"/>
    <n v="1860041.549800002"/>
    <n v="1083.3089981362855"/>
    <n v="596"/>
    <s v="Low Value"/>
    <s v="Dec-2024"/>
    <s v="Adjustable Dumbbell Set"/>
    <s v="Sports"/>
    <x v="127"/>
  </r>
  <r>
    <s v="SALE284"/>
    <d v="2024-08-14T00:00:00"/>
    <x v="218"/>
    <s v="PROD84"/>
    <s v="STORE13"/>
    <n v="1"/>
    <n v="520.92999999999995"/>
    <n v="0.15"/>
    <x v="0"/>
    <n v="442.79050000000001"/>
    <n v="1859695.0558000021"/>
    <n v="1083.7383775058288"/>
    <n v="596"/>
    <s v="Low Value"/>
    <s v="Aug-2024"/>
    <s v="Wooden Bookshelf"/>
    <s v="Home"/>
    <x v="217"/>
  </r>
  <r>
    <s v="SALE285"/>
    <d v="2025-03-05T00:00:00"/>
    <x v="219"/>
    <s v="PROD19"/>
    <s v="STORE7"/>
    <n v="2"/>
    <n v="350.12"/>
    <n v="0.21"/>
    <x v="2"/>
    <n v="553.18960000000004"/>
    <n v="1859252.2653000022"/>
    <n v="1084.1121080466485"/>
    <n v="596"/>
    <s v="Low Value"/>
    <s v="Mar-2025"/>
    <s v="Knee Support Brace"/>
    <s v="Sports"/>
    <x v="218"/>
  </r>
  <r>
    <s v="SALE286"/>
    <d v="2024-01-17T00:00:00"/>
    <x v="220"/>
    <s v="PROD48"/>
    <s v="STORE19"/>
    <n v="3"/>
    <n v="807.95"/>
    <n v="0.1"/>
    <x v="1"/>
    <n v="2181.4650000000011"/>
    <n v="1858699.075700002"/>
    <n v="1084.4218644690793"/>
    <n v="596"/>
    <s v="High Value"/>
    <s v="Jan-2024"/>
    <s v="Car Dashboard Phone Holder"/>
    <s v="Electronics"/>
    <x v="219"/>
  </r>
  <r>
    <s v="SALE287"/>
    <d v="2025-08-20T00:00:00"/>
    <x v="41"/>
    <s v="PROD38"/>
    <s v="STORE6"/>
    <n v="4"/>
    <n v="766.03"/>
    <n v="0.28999999999999998"/>
    <x v="1"/>
    <n v="2175.5252"/>
    <n v="1856517.6107000019"/>
    <n v="1083.7814423234104"/>
    <n v="595"/>
    <s v="High Value"/>
    <s v="Aug-2025"/>
    <s v="Sports Water Hydration Pack"/>
    <s v="Sports"/>
    <x v="41"/>
  </r>
  <r>
    <s v="SALE288"/>
    <d v="2024-04-04T00:00:00"/>
    <x v="91"/>
    <s v="PROD57"/>
    <s v="STORE8"/>
    <n v="3"/>
    <n v="545.1"/>
    <n v="0.08"/>
    <x v="2"/>
    <n v="1504.4760000000001"/>
    <n v="1854342.0855000021"/>
    <n v="1083.1437415303751"/>
    <n v="594"/>
    <s v="High Value"/>
    <s v="Apr-2024"/>
    <s v="Foam Roller"/>
    <s v="Sports"/>
    <x v="90"/>
  </r>
  <r>
    <s v="SALE289"/>
    <d v="2024-05-26T00:00:00"/>
    <x v="221"/>
    <s v="PROD65"/>
    <s v="STORE7"/>
    <n v="1"/>
    <n v="203.61"/>
    <n v="0.24"/>
    <x v="2"/>
    <n v="154.74359999999999"/>
    <n v="1852837.6095000021"/>
    <n v="1082.8974924021052"/>
    <n v="594"/>
    <s v="Low Value"/>
    <s v="May-2024"/>
    <s v="Adjustable Dumbbells 20kg"/>
    <s v="Sports"/>
    <x v="220"/>
  </r>
  <r>
    <s v="SALE290"/>
    <d v="2025-07-18T00:00:00"/>
    <x v="222"/>
    <s v="PROD97"/>
    <s v="STORE15"/>
    <n v="4"/>
    <n v="493.8"/>
    <n v="0.24"/>
    <x v="2"/>
    <n v="1501.152"/>
    <n v="1852682.865900002"/>
    <n v="1083.4402724561414"/>
    <n v="594"/>
    <s v="High Value"/>
    <s v="Jul-2025"/>
    <s v="Cricket Bat"/>
    <s v="Sports"/>
    <x v="221"/>
  </r>
  <r>
    <s v="SALE291"/>
    <d v="2024-07-12T00:00:00"/>
    <x v="223"/>
    <s v="PROD41"/>
    <s v="STORE17"/>
    <n v="1"/>
    <n v="640.54999999999995"/>
    <n v="0.25"/>
    <x v="0"/>
    <n v="480.41250000000002"/>
    <n v="1851181.7139000022"/>
    <n v="1083.1958536571108"/>
    <n v="594"/>
    <s v="Low Value"/>
    <s v="Jul-2024"/>
    <s v="Yoga Exercise Mat"/>
    <s v="Sports"/>
    <x v="222"/>
  </r>
  <r>
    <s v="SALE292"/>
    <d v="2024-09-10T00:00:00"/>
    <x v="97"/>
    <s v="PROD74"/>
    <s v="STORE4"/>
    <n v="1"/>
    <n v="702.53"/>
    <n v="0.3"/>
    <x v="0"/>
    <n v="491.77100000000002"/>
    <n v="1850701.3014000021"/>
    <n v="1083.5487713114767"/>
    <n v="594"/>
    <s v="Low Value"/>
    <s v="Sep-2024"/>
    <s v="Bluetooth Car Audio System"/>
    <s v="Electronics"/>
    <x v="96"/>
  </r>
  <r>
    <s v="SALE293"/>
    <d v="2025-06-18T00:00:00"/>
    <x v="224"/>
    <s v="PROD39"/>
    <s v="STORE8"/>
    <n v="4"/>
    <n v="139.94"/>
    <n v="0.24"/>
    <x v="0"/>
    <n v="425.41759999999999"/>
    <n v="1850209.5304000019"/>
    <n v="1083.8954483889877"/>
    <n v="594"/>
    <s v="Low Value"/>
    <s v="Jun-2025"/>
    <s v="Portable Power Bank"/>
    <s v="Electronics"/>
    <x v="223"/>
  </r>
  <r>
    <s v="SALE294"/>
    <d v="2024-12-28T00:00:00"/>
    <x v="107"/>
    <s v="PROD19"/>
    <s v="STORE8"/>
    <n v="2"/>
    <n v="230.85"/>
    <n v="0.18"/>
    <x v="0"/>
    <n v="378.59399999999999"/>
    <n v="1849784.1128000021"/>
    <n v="1084.2814260257926"/>
    <n v="594"/>
    <s v="Low Value"/>
    <s v="Dec-2024"/>
    <s v="Knee Support Brace"/>
    <s v="Sports"/>
    <x v="106"/>
  </r>
  <r>
    <s v="SALE295"/>
    <d v="2024-09-21T00:00:00"/>
    <x v="225"/>
    <s v="PROD85"/>
    <s v="STORE17"/>
    <n v="4"/>
    <n v="626.35"/>
    <n v="0.25"/>
    <x v="2"/>
    <n v="1879.05"/>
    <n v="1849405.5188000023"/>
    <n v="1084.6953189442829"/>
    <n v="594"/>
    <s v="High Value"/>
    <s v="Sep-2024"/>
    <s v="Women's Beanie Hat"/>
    <s v="Clothing"/>
    <x v="224"/>
  </r>
  <r>
    <s v="SALE296"/>
    <d v="2024-05-22T00:00:00"/>
    <x v="196"/>
    <s v="PROD41"/>
    <s v="STORE14"/>
    <n v="4"/>
    <n v="108.55"/>
    <n v="0.18"/>
    <x v="1"/>
    <n v="356.04399999999998"/>
    <n v="1847526.4688000022"/>
    <n v="1084.2291483568088"/>
    <n v="594"/>
    <s v="Low Value"/>
    <s v="May-2024"/>
    <s v="Yoga Exercise Mat"/>
    <s v="Sports"/>
    <x v="195"/>
  </r>
  <r>
    <s v="SALE297"/>
    <d v="2025-08-02T00:00:00"/>
    <x v="226"/>
    <s v="PROD17"/>
    <s v="STORE1"/>
    <n v="4"/>
    <n v="353.67"/>
    <n v="0.03"/>
    <x v="2"/>
    <n v="1372.2396000000001"/>
    <n v="1847170.4248000022"/>
    <n v="1084.6567379917806"/>
    <n v="593"/>
    <s v="High Value"/>
    <s v="Aug-2025"/>
    <s v="Soccer Training Cone Set"/>
    <s v="Sports"/>
    <x v="225"/>
  </r>
  <r>
    <s v="SALE298"/>
    <d v="2024-10-18T00:00:00"/>
    <x v="10"/>
    <s v="PROD90"/>
    <s v="STORE1"/>
    <n v="4"/>
    <n v="61.98"/>
    <n v="0.16"/>
    <x v="0"/>
    <n v="208.25280000000001"/>
    <n v="1845798.1852000025"/>
    <n v="1084.4877703877805"/>
    <n v="593"/>
    <s v="Low Value"/>
    <s v="Oct-2024"/>
    <s v="Gaming Mouse Pad XL"/>
    <s v="Electronics"/>
    <x v="10"/>
  </r>
  <r>
    <s v="SALE299"/>
    <d v="2024-02-26T00:00:00"/>
    <x v="188"/>
    <s v="PROD22"/>
    <s v="STORE19"/>
    <n v="2"/>
    <n v="873.1"/>
    <n v="0.12"/>
    <x v="1"/>
    <n v="1536.6559999999999"/>
    <n v="1845589.9324000024"/>
    <n v="1085.0028997060567"/>
    <n v="593"/>
    <s v="High Value"/>
    <s v="Feb-2024"/>
    <s v="Carbon Fiber Tennis Racket"/>
    <s v="Sports"/>
    <x v="187"/>
  </r>
  <r>
    <s v="SALE300"/>
    <d v="2023-12-08T00:00:00"/>
    <x v="227"/>
    <s v="PROD12"/>
    <s v="STORE15"/>
    <n v="4"/>
    <n v="889.47"/>
    <n v="0.24"/>
    <x v="0"/>
    <n v="2703.9888000000001"/>
    <n v="1844053.2764000022"/>
    <n v="1084.7372214117661"/>
    <n v="592"/>
    <s v="High Value"/>
    <s v="Dec-2023"/>
    <s v="Hair Strengthening Shampoo"/>
    <s v="Beauty"/>
    <x v="226"/>
  </r>
  <r>
    <s v="SALE301"/>
    <d v="2024-10-31T00:00:00"/>
    <x v="29"/>
    <s v="PROD74"/>
    <s v="STORE11"/>
    <n v="3"/>
    <n v="803.76"/>
    <n v="0.19"/>
    <x v="2"/>
    <n v="1953.1368"/>
    <n v="1841349.2876000025"/>
    <n v="1083.784159858742"/>
    <n v="592"/>
    <s v="High Value"/>
    <s v="Oct-2024"/>
    <s v="Bluetooth Car Audio System"/>
    <s v="Electronics"/>
    <x v="29"/>
  </r>
  <r>
    <s v="SALE302"/>
    <d v="2024-11-28T00:00:00"/>
    <x v="228"/>
    <s v="PROD75"/>
    <s v="STORE5"/>
    <n v="2"/>
    <n v="865.14"/>
    <n v="0.2"/>
    <x v="1"/>
    <n v="1384.2239999999999"/>
    <n v="1839396.1508000025"/>
    <n v="1083.2721736160204"/>
    <n v="592"/>
    <s v="High Value"/>
    <s v="Nov-2024"/>
    <s v="Women's Ankle Boots"/>
    <s v="Clothing"/>
    <x v="227"/>
  </r>
  <r>
    <s v="SALE303"/>
    <d v="2025-06-05T00:00:00"/>
    <x v="90"/>
    <s v="PROD31"/>
    <s v="STORE9"/>
    <n v="2"/>
    <n v="916.49"/>
    <n v="0.3"/>
    <x v="2"/>
    <n v="1283.086"/>
    <n v="1838011.9268000023"/>
    <n v="1083.0948301708911"/>
    <n v="591"/>
    <s v="High Value"/>
    <s v="Jun-2025"/>
    <s v="Basketball"/>
    <s v="Sports"/>
    <x v="89"/>
  </r>
  <r>
    <s v="SALE304"/>
    <d v="2024-11-19T00:00:00"/>
    <x v="229"/>
    <s v="PROD51"/>
    <s v="STORE12"/>
    <n v="3"/>
    <n v="781.39"/>
    <n v="0.12"/>
    <x v="0"/>
    <n v="2062.8696"/>
    <n v="1836728.8408000025"/>
    <n v="1082.976910849058"/>
    <n v="591"/>
    <s v="High Value"/>
    <s v="Nov-2024"/>
    <s v="HDMI Cable – 2m"/>
    <s v="Electronics"/>
    <x v="228"/>
  </r>
  <r>
    <s v="SALE305"/>
    <d v="2024-05-19T00:00:00"/>
    <x v="225"/>
    <s v="PROD38"/>
    <s v="STORE12"/>
    <n v="4"/>
    <n v="619.74"/>
    <n v="0.13"/>
    <x v="2"/>
    <n v="2156.6952000000001"/>
    <n v="1834665.9712000024"/>
    <n v="1082.3988030678479"/>
    <n v="591"/>
    <s v="High Value"/>
    <s v="May-2024"/>
    <s v="Sports Water Hydration Pack"/>
    <s v="Sports"/>
    <x v="224"/>
  </r>
  <r>
    <s v="SALE306"/>
    <d v="2025-01-22T00:00:00"/>
    <x v="230"/>
    <s v="PROD62"/>
    <s v="STORE14"/>
    <n v="2"/>
    <n v="837.76"/>
    <n v="0.03"/>
    <x v="2"/>
    <n v="1625.2544"/>
    <n v="1832509.2760000024"/>
    <n v="1081.7646257378999"/>
    <n v="591"/>
    <s v="High Value"/>
    <s v="Jan-2025"/>
    <s v="Laptop Cooling Pad"/>
    <s v="Electronics"/>
    <x v="229"/>
  </r>
  <r>
    <s v="SALE307"/>
    <d v="2025-07-04T00:00:00"/>
    <x v="231"/>
    <s v="PROD90"/>
    <s v="STORE1"/>
    <n v="3"/>
    <n v="135.94"/>
    <n v="0.2"/>
    <x v="0"/>
    <n v="326.25599999999997"/>
    <n v="1830884.0216000024"/>
    <n v="1081.4436040165401"/>
    <n v="591"/>
    <s v="Low Value"/>
    <s v="Jul-2025"/>
    <s v="Gaming Mouse Pad XL"/>
    <s v="Electronics"/>
    <x v="230"/>
  </r>
  <r>
    <s v="SALE308"/>
    <d v="2025-05-19T00:00:00"/>
    <x v="232"/>
    <s v="PROD74"/>
    <s v="STORE1"/>
    <n v="4"/>
    <n v="396.53"/>
    <n v="7.0000000000000007E-2"/>
    <x v="1"/>
    <n v="1475.0916"/>
    <n v="1830557.7656000024"/>
    <n v="1081.8899323877083"/>
    <n v="591"/>
    <s v="High Value"/>
    <s v="May-2025"/>
    <s v="Bluetooth Car Audio System"/>
    <s v="Electronics"/>
    <x v="231"/>
  </r>
  <r>
    <s v="SALE309"/>
    <d v="2023-12-04T00:00:00"/>
    <x v="233"/>
    <s v="PROD29"/>
    <s v="STORE14"/>
    <n v="2"/>
    <n v="722.45"/>
    <n v="0.22"/>
    <x v="1"/>
    <n v="1127.0219999999999"/>
    <n v="1829082.6740000027"/>
    <n v="1081.6574062684817"/>
    <n v="590"/>
    <s v="High Value"/>
    <s v="Dec-2023"/>
    <s v="Fabric Sofa Throw Blanket"/>
    <s v="Home"/>
    <x v="232"/>
  </r>
  <r>
    <s v="SALE310"/>
    <d v="2024-07-31T00:00:00"/>
    <x v="234"/>
    <s v="PROD64"/>
    <s v="STORE2"/>
    <n v="2"/>
    <n v="138.41"/>
    <n v="0.02"/>
    <x v="0"/>
    <n v="271.28359999999998"/>
    <n v="1827955.6520000028"/>
    <n v="1081.6305633136112"/>
    <n v="589"/>
    <s v="Low Value"/>
    <s v="Jul-2024"/>
    <s v="Matte Lipstick Set"/>
    <s v="Beauty"/>
    <x v="233"/>
  </r>
  <r>
    <s v="SALE311"/>
    <d v="2025-01-22T00:00:00"/>
    <x v="56"/>
    <s v="PROD80"/>
    <s v="STORE2"/>
    <n v="4"/>
    <n v="741.51"/>
    <n v="0.09"/>
    <x v="2"/>
    <n v="2699.0963999999999"/>
    <n v="1827684.3684000028"/>
    <n v="1082.1103424511562"/>
    <n v="589"/>
    <s v="High Value"/>
    <s v="Jan-2025"/>
    <s v="Wall-Mounted Spice Rack"/>
    <s v="Home"/>
    <x v="56"/>
  </r>
  <r>
    <s v="SALE312"/>
    <d v="2024-11-15T00:00:00"/>
    <x v="193"/>
    <s v="PROD80"/>
    <s v="STORE17"/>
    <n v="2"/>
    <n v="588.9"/>
    <n v="0.19"/>
    <x v="1"/>
    <n v="954.01800000000003"/>
    <n v="1824985.2720000027"/>
    <n v="1081.1524123222764"/>
    <n v="589"/>
    <s v="Low Value"/>
    <s v="Nov-2024"/>
    <s v="Wall-Mounted Spice Rack"/>
    <s v="Home"/>
    <x v="192"/>
  </r>
  <r>
    <s v="SALE313"/>
    <d v="2024-04-07T00:00:00"/>
    <x v="235"/>
    <s v="PROD50"/>
    <s v="STORE2"/>
    <n v="1"/>
    <n v="88.92"/>
    <n v="0.19"/>
    <x v="1"/>
    <n v="72.025200000000012"/>
    <n v="1824031.2540000025"/>
    <n v="1081.2277735625385"/>
    <n v="588"/>
    <s v="Low Value"/>
    <s v="Apr-2024"/>
    <s v="Boxing Hand Wraps"/>
    <s v="Sports"/>
    <x v="234"/>
  </r>
  <r>
    <s v="SALE314"/>
    <d v="2024-02-17T00:00:00"/>
    <x v="208"/>
    <s v="PROD61"/>
    <s v="STORE16"/>
    <n v="1"/>
    <n v="299.13"/>
    <n v="0.1"/>
    <x v="2"/>
    <n v="269.21699999999998"/>
    <n v="1823959.2288000027"/>
    <n v="1081.8263516014251"/>
    <n v="587"/>
    <s v="Low Value"/>
    <s v="Feb-2024"/>
    <s v="Tennis Ball 3-Pack"/>
    <s v="Sports"/>
    <x v="207"/>
  </r>
  <r>
    <s v="SALE315"/>
    <d v="2024-05-21T00:00:00"/>
    <x v="5"/>
    <s v="PROD77"/>
    <s v="STORE3"/>
    <n v="2"/>
    <n v="548.29999999999995"/>
    <n v="0.23"/>
    <x v="0"/>
    <n v="844.38199999999995"/>
    <n v="1823690.0118000025"/>
    <n v="1082.3086123442151"/>
    <n v="587"/>
    <s v="Low Value"/>
    <s v="May-2024"/>
    <s v="WiFi Mesh Router"/>
    <s v="Electronics"/>
    <x v="5"/>
  </r>
  <r>
    <s v="SALE316"/>
    <d v="2024-05-23T00:00:00"/>
    <x v="217"/>
    <s v="PROD54"/>
    <s v="STORE10"/>
    <n v="3"/>
    <n v="977.55"/>
    <n v="0.02"/>
    <x v="1"/>
    <n v="2873.9969999999989"/>
    <n v="1822845.6298000026"/>
    <n v="1082.449898931118"/>
    <n v="587"/>
    <s v="High Value"/>
    <s v="May-2024"/>
    <s v="Sports Stopwatch Pro"/>
    <s v="Sports"/>
    <x v="216"/>
  </r>
  <r>
    <s v="SALE317"/>
    <d v="2025-06-15T00:00:00"/>
    <x v="3"/>
    <s v="PROD44"/>
    <s v="STORE18"/>
    <n v="1"/>
    <n v="459.42"/>
    <n v="0.28000000000000003"/>
    <x v="2"/>
    <n v="330.7824"/>
    <n v="1819971.6328000023"/>
    <n v="1081.3854027332159"/>
    <n v="586"/>
    <s v="Low Value"/>
    <s v="Jun-2025"/>
    <s v="Adjustable Jump Rope"/>
    <s v="Sports"/>
    <x v="3"/>
  </r>
  <r>
    <s v="SALE318"/>
    <d v="2025-01-06T00:00:00"/>
    <x v="236"/>
    <s v="PROD2"/>
    <s v="STORE4"/>
    <n v="2"/>
    <n v="123.19"/>
    <n v="0.19"/>
    <x v="0"/>
    <n v="199.56780000000001"/>
    <n v="1819640.8504000022"/>
    <n v="1081.8316589774092"/>
    <n v="586"/>
    <s v="Low Value"/>
    <s v="Jan-2025"/>
    <s v="Women's Casual Hoodie"/>
    <s v="Clothing"/>
    <x v="235"/>
  </r>
  <r>
    <s v="SALE319"/>
    <d v="2025-08-10T00:00:00"/>
    <x v="237"/>
    <s v="PROD55"/>
    <s v="STORE19"/>
    <n v="1"/>
    <n v="222.95"/>
    <n v="0.02"/>
    <x v="1"/>
    <n v="218.49100000000001"/>
    <n v="1819441.2826000024"/>
    <n v="1082.3565036287937"/>
    <n v="586"/>
    <s v="Low Value"/>
    <s v="Aug-2025"/>
    <s v="Ceramic Plant Pot"/>
    <s v="Home"/>
    <x v="236"/>
  </r>
  <r>
    <s v="SALE320"/>
    <d v="2025-07-02T00:00:00"/>
    <x v="238"/>
    <s v="PROD32"/>
    <s v="STORE4"/>
    <n v="3"/>
    <n v="601.92999999999995"/>
    <n v="0.14000000000000001"/>
    <x v="0"/>
    <n v="1552.9793999999999"/>
    <n v="1819222.7916000022"/>
    <n v="1082.8707092857155"/>
    <n v="585"/>
    <s v="High Value"/>
    <s v="Jul-2025"/>
    <s v="Vitamin C Face Serum"/>
    <s v="Beauty"/>
    <x v="237"/>
  </r>
  <r>
    <s v="SALE321"/>
    <d v="2024-03-29T00:00:00"/>
    <x v="239"/>
    <s v="PROD69"/>
    <s v="STORE2"/>
    <n v="1"/>
    <n v="564.1"/>
    <n v="0.03"/>
    <x v="0"/>
    <n v="547.17700000000002"/>
    <n v="1817669.8122000021"/>
    <n v="1082.5907160214426"/>
    <n v="585"/>
    <s v="Low Value"/>
    <s v="Mar-2024"/>
    <s v="Men's Sports Shorts"/>
    <s v="Clothing"/>
    <x v="238"/>
  </r>
  <r>
    <s v="SALE322"/>
    <d v="2025-01-15T00:00:00"/>
    <x v="50"/>
    <s v="PROD80"/>
    <s v="STORE5"/>
    <n v="1"/>
    <n v="516.62"/>
    <n v="0.18"/>
    <x v="0"/>
    <n v="423.62840000000011"/>
    <n v="1817122.6352000022"/>
    <n v="1082.9097945172839"/>
    <n v="585"/>
    <s v="Low Value"/>
    <s v="Jan-2025"/>
    <s v="Wall-Mounted Spice Rack"/>
    <s v="Home"/>
    <x v="50"/>
  </r>
  <r>
    <s v="SALE323"/>
    <d v="2024-07-24T00:00:00"/>
    <x v="240"/>
    <s v="PROD63"/>
    <s v="STORE12"/>
    <n v="1"/>
    <n v="934.75"/>
    <n v="0.11"/>
    <x v="1"/>
    <n v="831.92750000000001"/>
    <n v="1816699.0068000022"/>
    <n v="1083.3029259391783"/>
    <n v="585"/>
    <s v="Low Value"/>
    <s v="Jul-2024"/>
    <s v="Organic Sunscreen Lotion"/>
    <s v="Beauty"/>
    <x v="239"/>
  </r>
  <r>
    <s v="SALE324"/>
    <d v="2024-04-25T00:00:00"/>
    <x v="241"/>
    <s v="PROD98"/>
    <s v="STORE7"/>
    <n v="4"/>
    <n v="548.44000000000005"/>
    <n v="0.05"/>
    <x v="1"/>
    <n v="2084.0720000000001"/>
    <n v="1815867.079300002"/>
    <n v="1083.4529112768507"/>
    <n v="584"/>
    <s v="High Value"/>
    <s v="Apr-2024"/>
    <s v="Portable Bluetooth Speaker"/>
    <s v="Electronics"/>
    <x v="240"/>
  </r>
  <r>
    <s v="SALE325"/>
    <d v="2025-04-17T00:00:00"/>
    <x v="199"/>
    <s v="PROD37"/>
    <s v="STORE3"/>
    <n v="3"/>
    <n v="361.11"/>
    <n v="0.06"/>
    <x v="0"/>
    <n v="1018.3302"/>
    <n v="1813783.007300002"/>
    <n v="1082.8555267462698"/>
    <n v="583"/>
    <s v="High Value"/>
    <s v="Apr-2025"/>
    <s v="Men's Casual Sneakers"/>
    <s v="Clothing"/>
    <x v="198"/>
  </r>
  <r>
    <s v="SALE326"/>
    <d v="2025-09-24T00:00:00"/>
    <x v="8"/>
    <s v="PROD13"/>
    <s v="STORE1"/>
    <n v="2"/>
    <n v="610.37"/>
    <n v="0.1"/>
    <x v="1"/>
    <n v="1098.6659999999999"/>
    <n v="1812764.6771000018"/>
    <n v="1082.8940723416977"/>
    <n v="583"/>
    <s v="High Value"/>
    <s v="Sep-2025"/>
    <s v="USB-C Fast Charger"/>
    <s v="Electronics"/>
    <x v="8"/>
  </r>
  <r>
    <s v="SALE327"/>
    <d v="2023-11-10T00:00:00"/>
    <x v="159"/>
    <s v="PROD51"/>
    <s v="STORE16"/>
    <n v="1"/>
    <n v="272.2"/>
    <n v="0.3"/>
    <x v="0"/>
    <n v="190.54"/>
    <n v="1811666.0111000019"/>
    <n v="1082.884645008967"/>
    <n v="582"/>
    <s v="Low Value"/>
    <s v="Nov-2023"/>
    <s v="HDMI Cable – 2m"/>
    <s v="Electronics"/>
    <x v="158"/>
  </r>
  <r>
    <s v="SALE328"/>
    <d v="2024-02-27T00:00:00"/>
    <x v="240"/>
    <s v="PROD77"/>
    <s v="STORE6"/>
    <n v="3"/>
    <n v="573.1"/>
    <n v="0.16"/>
    <x v="2"/>
    <n v="1444.212"/>
    <n v="1811475.4711000018"/>
    <n v="1083.4183439593312"/>
    <n v="582"/>
    <s v="High Value"/>
    <s v="Feb-2024"/>
    <s v="WiFi Mesh Router"/>
    <s v="Electronics"/>
    <x v="239"/>
  </r>
  <r>
    <s v="SALE329"/>
    <d v="2025-04-09T00:00:00"/>
    <x v="242"/>
    <s v="PROD6"/>
    <s v="STORE0"/>
    <n v="4"/>
    <n v="24.72"/>
    <n v="0.28000000000000003"/>
    <x v="0"/>
    <n v="71.193599999999989"/>
    <n v="1810031.2591000018"/>
    <n v="1083.202429144226"/>
    <n v="582"/>
    <s v="Low Value"/>
    <s v="Apr-2025"/>
    <s v="Herbal Face Moisturizer"/>
    <s v="Beauty"/>
    <x v="241"/>
  </r>
  <r>
    <s v="SALE330"/>
    <d v="2024-07-05T00:00:00"/>
    <x v="243"/>
    <s v="PROD9"/>
    <s v="STORE9"/>
    <n v="3"/>
    <n v="268.89"/>
    <n v="7.0000000000000007E-2"/>
    <x v="2"/>
    <n v="750.20309999999995"/>
    <n v="1809960.0655000017"/>
    <n v="1083.8084224550907"/>
    <n v="582"/>
    <s v="Low Value"/>
    <s v="Jul-2024"/>
    <s v="Adjustable Dumbbell Set"/>
    <s v="Sports"/>
    <x v="242"/>
  </r>
  <r>
    <s v="SALE331"/>
    <d v="2025-08-21T00:00:00"/>
    <x v="99"/>
    <s v="PROD68"/>
    <s v="STORE9"/>
    <n v="1"/>
    <n v="78.5"/>
    <n v="0.17"/>
    <x v="2"/>
    <n v="65.155000000000001"/>
    <n v="1809209.8624000016"/>
    <n v="1084.0083058118644"/>
    <n v="582"/>
    <s v="Low Value"/>
    <s v="Aug-2025"/>
    <s v="Wooden Nightstand"/>
    <s v="Home"/>
    <x v="98"/>
  </r>
  <r>
    <s v="SALE332"/>
    <d v="2025-06-07T00:00:00"/>
    <x v="244"/>
    <s v="PROD36"/>
    <s v="STORE4"/>
    <n v="3"/>
    <n v="399.42"/>
    <n v="0.02"/>
    <x v="0"/>
    <n v="1174.2947999999999"/>
    <n v="1809144.7074000016"/>
    <n v="1084.6191291366915"/>
    <n v="582"/>
    <s v="High Value"/>
    <s v="Jun-2025"/>
    <s v="Women's Summer Dress"/>
    <s v="Clothing"/>
    <x v="243"/>
  </r>
  <r>
    <s v="SALE333"/>
    <d v="2025-08-22T00:00:00"/>
    <x v="245"/>
    <s v="PROD31"/>
    <s v="STORE19"/>
    <n v="3"/>
    <n v="455.82"/>
    <n v="0.01"/>
    <x v="1"/>
    <n v="1353.7854"/>
    <n v="1807970.4126000013"/>
    <n v="1084.5653344931022"/>
    <n v="582"/>
    <s v="High Value"/>
    <s v="Aug-2025"/>
    <s v="Basketball"/>
    <s v="Sports"/>
    <x v="244"/>
  </r>
  <r>
    <s v="SALE334"/>
    <d v="2024-11-13T00:00:00"/>
    <x v="116"/>
    <s v="PROD50"/>
    <s v="STORE5"/>
    <n v="2"/>
    <n v="613.23"/>
    <n v="0.15"/>
    <x v="1"/>
    <n v="1042.491"/>
    <n v="1806616.6272000014"/>
    <n v="1084.403737815127"/>
    <n v="581"/>
    <s v="High Value"/>
    <s v="Nov-2024"/>
    <s v="Boxing Hand Wraps"/>
    <s v="Sports"/>
    <x v="115"/>
  </r>
  <r>
    <s v="SALE335"/>
    <d v="2024-01-18T00:00:00"/>
    <x v="246"/>
    <s v="PROD2"/>
    <s v="STORE14"/>
    <n v="4"/>
    <n v="971.9"/>
    <n v="0.28000000000000003"/>
    <x v="1"/>
    <n v="2799.0720000000001"/>
    <n v="1805574.1362000015"/>
    <n v="1084.4289106306314"/>
    <n v="580"/>
    <s v="High Value"/>
    <s v="Jan-2024"/>
    <s v="Women's Casual Hoodie"/>
    <s v="Clothing"/>
    <x v="245"/>
  </r>
  <r>
    <s v="SALE336"/>
    <d v="2024-08-15T00:00:00"/>
    <x v="247"/>
    <s v="PROD28"/>
    <s v="STORE7"/>
    <n v="3"/>
    <n v="884.92"/>
    <n v="0.06"/>
    <x v="1"/>
    <n v="2495.4744000000001"/>
    <n v="1802775.0642000013"/>
    <n v="1083.3984760817316"/>
    <n v="579"/>
    <s v="High Value"/>
    <s v="Aug-2024"/>
    <s v="Sports Stopwatch Timer"/>
    <s v="Sports"/>
    <x v="246"/>
  </r>
  <r>
    <s v="SALE337"/>
    <d v="2025-09-21T00:00:00"/>
    <x v="98"/>
    <s v="PROD8"/>
    <s v="STORE9"/>
    <n v="1"/>
    <n v="125"/>
    <n v="0.23"/>
    <x v="0"/>
    <n v="96.25"/>
    <n v="1800279.5898000011"/>
    <n v="1082.549362477451"/>
    <n v="578"/>
    <s v="Low Value"/>
    <s v="Sep-2025"/>
    <s v="Wireless Bluetooth Earbuds"/>
    <s v="Electronics"/>
    <x v="97"/>
  </r>
  <r>
    <s v="SALE338"/>
    <d v="2024-06-22T00:00:00"/>
    <x v="147"/>
    <s v="PROD10"/>
    <s v="STORE15"/>
    <n v="2"/>
    <n v="188.25"/>
    <n v="0.08"/>
    <x v="1"/>
    <n v="346.38"/>
    <n v="1800183.3398000011"/>
    <n v="1083.1428037304458"/>
    <n v="578"/>
    <s v="Low Value"/>
    <s v="Jun-2024"/>
    <s v="Ceramic Kitchen Bowl Set"/>
    <s v="Home"/>
    <x v="146"/>
  </r>
  <r>
    <s v="SALE339"/>
    <d v="2024-01-12T00:00:00"/>
    <x v="248"/>
    <s v="PROD46"/>
    <s v="STORE6"/>
    <n v="4"/>
    <n v="344.12"/>
    <n v="0.25"/>
    <x v="1"/>
    <n v="1032.3599999999999"/>
    <n v="1799836.9598000012"/>
    <n v="1083.5863695364246"/>
    <n v="577"/>
    <s v="High Value"/>
    <s v="Jan-2024"/>
    <s v="Men's Winter Jacket"/>
    <s v="Clothing"/>
    <x v="247"/>
  </r>
  <r>
    <s v="SALE340"/>
    <d v="2023-10-19T00:00:00"/>
    <x v="234"/>
    <s v="PROD17"/>
    <s v="STORE19"/>
    <n v="3"/>
    <n v="997.95"/>
    <n v="0.09"/>
    <x v="2"/>
    <n v="2724.4034999999999"/>
    <n v="1798804.5998000014"/>
    <n v="1083.6172287951815"/>
    <n v="576"/>
    <s v="High Value"/>
    <s v="Oct-2023"/>
    <s v="Soccer Training Cone Set"/>
    <s v="Sports"/>
    <x v="233"/>
  </r>
  <r>
    <s v="SALE341"/>
    <d v="2025-03-11T00:00:00"/>
    <x v="249"/>
    <s v="PROD11"/>
    <s v="STORE15"/>
    <n v="3"/>
    <n v="121.64"/>
    <n v="7.0000000000000007E-2"/>
    <x v="1"/>
    <n v="339.37560000000002"/>
    <n v="1796080.1963000013"/>
    <n v="1082.6282075346603"/>
    <n v="576"/>
    <s v="Low Value"/>
    <s v="Mar-2025"/>
    <s v="HD Smart TV Stick"/>
    <s v="Electronics"/>
    <x v="248"/>
  </r>
  <r>
    <s v="SALE342"/>
    <d v="2024-09-22T00:00:00"/>
    <x v="70"/>
    <s v="PROD68"/>
    <s v="STORE10"/>
    <n v="2"/>
    <n v="692.72"/>
    <n v="0.13"/>
    <x v="1"/>
    <n v="1205.3327999999999"/>
    <n v="1795740.8207000012"/>
    <n v="1083.076490168879"/>
    <n v="575"/>
    <s v="High Value"/>
    <s v="Sep-2024"/>
    <s v="Wooden Nightstand"/>
    <s v="Home"/>
    <x v="69"/>
  </r>
  <r>
    <s v="SALE343"/>
    <d v="2024-11-27T00:00:00"/>
    <x v="250"/>
    <s v="PROD24"/>
    <s v="STORE19"/>
    <n v="3"/>
    <n v="794.59"/>
    <n v="0.03"/>
    <x v="1"/>
    <n v="2312.2568999999999"/>
    <n v="1794535.4879000015"/>
    <n v="1083.002708449005"/>
    <n v="574"/>
    <s v="High Value"/>
    <s v="Nov-2024"/>
    <s v="Foldable Camping Chair"/>
    <s v="Sports"/>
    <x v="249"/>
  </r>
  <r>
    <s v="SALE344"/>
    <d v="2023-10-25T00:00:00"/>
    <x v="251"/>
    <s v="PROD26"/>
    <s v="STORE9"/>
    <n v="1"/>
    <n v="907.95"/>
    <n v="0.1"/>
    <x v="1"/>
    <n v="817.15500000000009"/>
    <n v="1792223.2310000013"/>
    <n v="1082.2604051932376"/>
    <n v="573"/>
    <s v="Low Value"/>
    <s v="Oct-2023"/>
    <s v="Wireless Bluetooth Speaker"/>
    <s v="Electronics"/>
    <x v="250"/>
  </r>
  <r>
    <s v="SALE345"/>
    <d v="2025-10-10T00:00:00"/>
    <x v="86"/>
    <s v="PROD50"/>
    <s v="STORE0"/>
    <n v="2"/>
    <n v="660.81"/>
    <n v="0.18"/>
    <x v="0"/>
    <n v="1083.7284"/>
    <n v="1791406.0760000015"/>
    <n v="1082.4205897280976"/>
    <n v="572"/>
    <s v="High Value"/>
    <s v="Oct-2025"/>
    <s v="Boxing Hand Wraps"/>
    <s v="Sports"/>
    <x v="85"/>
  </r>
  <r>
    <s v="SALE346"/>
    <d v="2025-09-15T00:00:00"/>
    <x v="252"/>
    <s v="PROD51"/>
    <s v="STORE8"/>
    <n v="3"/>
    <n v="564.94000000000005"/>
    <n v="0.22"/>
    <x v="2"/>
    <n v="1321.9595999999999"/>
    <n v="1790322.3476000014"/>
    <n v="1082.4197990326491"/>
    <n v="572"/>
    <s v="High Value"/>
    <s v="Sep-2025"/>
    <s v="HDMI Cable – 2m"/>
    <s v="Electronics"/>
    <x v="251"/>
  </r>
  <r>
    <s v="SALE347"/>
    <d v="2024-09-06T00:00:00"/>
    <x v="76"/>
    <s v="PROD15"/>
    <s v="STORE15"/>
    <n v="2"/>
    <n v="280.37"/>
    <n v="0.22"/>
    <x v="2"/>
    <n v="437.37720000000002"/>
    <n v="1789000.3880000012"/>
    <n v="1082.274886872354"/>
    <n v="572"/>
    <s v="Low Value"/>
    <s v="Sep-2024"/>
    <s v="4K Home Projector"/>
    <s v="Electronics"/>
    <x v="75"/>
  </r>
  <r>
    <s v="SALE348"/>
    <d v="2024-07-16T00:00:00"/>
    <x v="61"/>
    <s v="PROD50"/>
    <s v="STORE3"/>
    <n v="2"/>
    <n v="85.23"/>
    <n v="0.13"/>
    <x v="0"/>
    <n v="148.30019999999999"/>
    <n v="1788563.0108000012"/>
    <n v="1082.6652607748192"/>
    <n v="572"/>
    <s v="Low Value"/>
    <s v="Jul-2024"/>
    <s v="Boxing Hand Wraps"/>
    <s v="Sports"/>
    <x v="60"/>
  </r>
  <r>
    <s v="SALE349"/>
    <d v="2025-04-01T00:00:00"/>
    <x v="212"/>
    <s v="PROD27"/>
    <s v="STORE13"/>
    <n v="2"/>
    <n v="563.29999999999995"/>
    <n v="0.26"/>
    <x v="0"/>
    <n v="833.68399999999997"/>
    <n v="1788414.710600001"/>
    <n v="1083.2311996365845"/>
    <n v="572"/>
    <s v="Low Value"/>
    <s v="Apr-2025"/>
    <s v="Decorative Floor Vase"/>
    <s v="Home"/>
    <x v="211"/>
  </r>
  <r>
    <s v="SALE350"/>
    <d v="2024-01-18T00:00:00"/>
    <x v="153"/>
    <s v="PROD80"/>
    <s v="STORE18"/>
    <n v="2"/>
    <n v="827.81"/>
    <n v="0.04"/>
    <x v="1"/>
    <n v="1589.3951999999999"/>
    <n v="1787581.0266000011"/>
    <n v="1083.382440363637"/>
    <n v="572"/>
    <s v="High Value"/>
    <s v="Jan-2024"/>
    <s v="Wall-Mounted Spice Rack"/>
    <s v="Home"/>
    <x v="152"/>
  </r>
  <r>
    <s v="SALE351"/>
    <d v="2024-11-25T00:00:00"/>
    <x v="96"/>
    <s v="PROD12"/>
    <s v="STORE18"/>
    <n v="3"/>
    <n v="877.71"/>
    <n v="0.12"/>
    <x v="1"/>
    <n v="2317.1543999999999"/>
    <n v="1785991.631400001"/>
    <n v="1083.0755799878721"/>
    <n v="571"/>
    <s v="High Value"/>
    <s v="Nov-2024"/>
    <s v="Hair Strengthening Shampoo"/>
    <s v="Beauty"/>
    <x v="95"/>
  </r>
  <r>
    <s v="SALE352"/>
    <d v="2024-11-07T00:00:00"/>
    <x v="99"/>
    <s v="PROD57"/>
    <s v="STORE9"/>
    <n v="4"/>
    <n v="488.56"/>
    <n v="0.26"/>
    <x v="2"/>
    <n v="1446.1376"/>
    <n v="1783674.4770000011"/>
    <n v="1082.3267457524278"/>
    <n v="570"/>
    <s v="High Value"/>
    <s v="Nov-2024"/>
    <s v="Foam Roller"/>
    <s v="Sports"/>
    <x v="98"/>
  </r>
  <r>
    <s v="SALE353"/>
    <d v="2024-07-28T00:00:00"/>
    <x v="253"/>
    <s v="PROD25"/>
    <s v="STORE12"/>
    <n v="4"/>
    <n v="175.91"/>
    <n v="0.13"/>
    <x v="1"/>
    <n v="612.16679999999997"/>
    <n v="1782228.3394000011"/>
    <n v="1082.1058527018829"/>
    <n v="570"/>
    <s v="Low Value"/>
    <s v="Jul-2024"/>
    <s v="Women's Scarf Set"/>
    <s v="Clothing"/>
    <x v="252"/>
  </r>
  <r>
    <s v="SALE354"/>
    <d v="2024-04-16T00:00:00"/>
    <x v="201"/>
    <s v="PROD87"/>
    <s v="STORE8"/>
    <n v="4"/>
    <n v="289.66000000000003"/>
    <n v="0.25"/>
    <x v="2"/>
    <n v="868.98"/>
    <n v="1781616.1726000011"/>
    <n v="1082.3913563791016"/>
    <n v="569"/>
    <s v="Low Value"/>
    <s v="Apr-2024"/>
    <s v="LED Bedside Lamp"/>
    <s v="Home"/>
    <x v="200"/>
  </r>
  <r>
    <s v="SALE355"/>
    <d v="2024-01-13T00:00:00"/>
    <x v="254"/>
    <s v="PROD15"/>
    <s v="STORE15"/>
    <n v="2"/>
    <n v="899.27"/>
    <n v="0.17"/>
    <x v="0"/>
    <n v="1492.7882"/>
    <n v="1780747.1926000011"/>
    <n v="1082.5210897264444"/>
    <n v="569"/>
    <s v="High Value"/>
    <s v="Jan-2024"/>
    <s v="4K Home Projector"/>
    <s v="Electronics"/>
    <x v="253"/>
  </r>
  <r>
    <s v="SALE356"/>
    <d v="2024-01-08T00:00:00"/>
    <x v="10"/>
    <s v="PROD18"/>
    <s v="STORE1"/>
    <n v="1"/>
    <n v="691.38"/>
    <n v="0.11"/>
    <x v="2"/>
    <n v="615.32820000000004"/>
    <n v="1779254.4044000013"/>
    <n v="1082.2715355231151"/>
    <n v="569"/>
    <s v="Low Value"/>
    <s v="Jan-2024"/>
    <s v="Women's Denim Jeans"/>
    <s v="Clothing"/>
    <x v="10"/>
  </r>
  <r>
    <s v="SALE357"/>
    <d v="2024-09-29T00:00:00"/>
    <x v="255"/>
    <s v="PROD27"/>
    <s v="STORE0"/>
    <n v="3"/>
    <n v="158.72"/>
    <n v="0.13"/>
    <x v="0"/>
    <n v="414.25920000000002"/>
    <n v="1778639.0762000012"/>
    <n v="1082.5557371880714"/>
    <n v="569"/>
    <s v="Low Value"/>
    <s v="Sep-2024"/>
    <s v="Decorative Floor Vase"/>
    <s v="Home"/>
    <x v="254"/>
  </r>
  <r>
    <s v="SALE358"/>
    <d v="2024-05-01T00:00:00"/>
    <x v="256"/>
    <s v="PROD60"/>
    <s v="STORE16"/>
    <n v="4"/>
    <n v="537.15"/>
    <n v="0.06"/>
    <x v="2"/>
    <n v="2019.684"/>
    <n v="1778224.8170000012"/>
    <n v="1082.9627387332528"/>
    <n v="569"/>
    <s v="High Value"/>
    <s v="May-2024"/>
    <s v="Luxury Perfume Spray"/>
    <s v="Beauty"/>
    <x v="255"/>
  </r>
  <r>
    <s v="SALE359"/>
    <d v="2024-07-07T00:00:00"/>
    <x v="222"/>
    <s v="PROD41"/>
    <s v="STORE9"/>
    <n v="3"/>
    <n v="771.7"/>
    <n v="0.05"/>
    <x v="2"/>
    <n v="2199.3449999999998"/>
    <n v="1776205.1330000015"/>
    <n v="1082.3919152955525"/>
    <n v="569"/>
    <s v="High Value"/>
    <s v="Jul-2024"/>
    <s v="Yoga Exercise Mat"/>
    <s v="Sports"/>
    <x v="221"/>
  </r>
  <r>
    <s v="SALE360"/>
    <d v="2024-11-14T00:00:00"/>
    <x v="140"/>
    <s v="PROD88"/>
    <s v="STORE1"/>
    <n v="4"/>
    <n v="677.25"/>
    <n v="0.14000000000000001"/>
    <x v="1"/>
    <n v="2329.7399999999998"/>
    <n v="1774005.7880000016"/>
    <n v="1081.7108463414643"/>
    <n v="569"/>
    <s v="High Value"/>
    <s v="Nov-2024"/>
    <s v="Sports Wrist Sweatbands"/>
    <s v="Sports"/>
    <x v="139"/>
  </r>
  <r>
    <s v="SALE361"/>
    <d v="2025-04-16T00:00:00"/>
    <x v="257"/>
    <s v="PROD98"/>
    <s v="STORE11"/>
    <n v="1"/>
    <n v="645.48"/>
    <n v="0.26"/>
    <x v="2"/>
    <n v="477.65519999999998"/>
    <n v="1771676.0480000013"/>
    <n v="1080.9493886516177"/>
    <n v="568"/>
    <s v="Low Value"/>
    <s v="Apr-2025"/>
    <s v="Portable Bluetooth Speaker"/>
    <s v="Electronics"/>
    <x v="256"/>
  </r>
  <r>
    <s v="SALE362"/>
    <d v="2025-07-18T00:00:00"/>
    <x v="258"/>
    <s v="PROD73"/>
    <s v="STORE2"/>
    <n v="2"/>
    <n v="934"/>
    <n v="0.3"/>
    <x v="2"/>
    <n v="1307.5999999999999"/>
    <n v="1771198.3928000014"/>
    <n v="1081.3177001221011"/>
    <n v="568"/>
    <s v="High Value"/>
    <s v="Jul-2025"/>
    <s v="Shin Guards – Adult"/>
    <s v="Sports"/>
    <x v="257"/>
  </r>
  <r>
    <s v="SALE363"/>
    <d v="2025-02-24T00:00:00"/>
    <x v="159"/>
    <s v="PROD46"/>
    <s v="STORE2"/>
    <n v="1"/>
    <n v="669.53"/>
    <n v="0.2"/>
    <x v="0"/>
    <n v="535.62400000000002"/>
    <n v="1769890.7928000016"/>
    <n v="1081.1794702504592"/>
    <n v="568"/>
    <s v="Low Value"/>
    <s v="Feb-2025"/>
    <s v="Men's Winter Jacket"/>
    <s v="Clothing"/>
    <x v="158"/>
  </r>
  <r>
    <s v="SALE364"/>
    <d v="2025-03-07T00:00:00"/>
    <x v="188"/>
    <s v="PROD35"/>
    <s v="STORE18"/>
    <n v="1"/>
    <n v="213.69"/>
    <n v="0.28000000000000003"/>
    <x v="2"/>
    <n v="153.85679999999999"/>
    <n v="1769355.1688000015"/>
    <n v="1081.5129393643042"/>
    <n v="568"/>
    <s v="Low Value"/>
    <s v="Mar-2025"/>
    <s v="Bedroom Table Lamp"/>
    <s v="Home"/>
    <x v="187"/>
  </r>
  <r>
    <s v="SALE365"/>
    <d v="2025-02-18T00:00:00"/>
    <x v="259"/>
    <s v="PROD21"/>
    <s v="STORE19"/>
    <n v="2"/>
    <n v="99.1"/>
    <n v="0.2"/>
    <x v="1"/>
    <n v="158.56"/>
    <n v="1769201.3120000015"/>
    <n v="1082.0803131498481"/>
    <n v="568"/>
    <s v="Low Value"/>
    <s v="Feb-2025"/>
    <s v="Multi-Purpose Storage Box"/>
    <s v="Home"/>
    <x v="258"/>
  </r>
  <r>
    <s v="SALE366"/>
    <d v="2024-06-26T00:00:00"/>
    <x v="260"/>
    <s v="PROD37"/>
    <s v="STORE16"/>
    <n v="1"/>
    <n v="628.98"/>
    <n v="0.03"/>
    <x v="2"/>
    <n v="610.11059999999998"/>
    <n v="1769042.7520000015"/>
    <n v="1082.6455030599764"/>
    <n v="567"/>
    <s v="Low Value"/>
    <s v="Jun-2024"/>
    <s v="Men's Casual Sneakers"/>
    <s v="Clothing"/>
    <x v="259"/>
  </r>
  <r>
    <s v="SALE367"/>
    <d v="2025-02-23T00:00:00"/>
    <x v="245"/>
    <s v="PROD84"/>
    <s v="STORE4"/>
    <n v="3"/>
    <n v="944.64"/>
    <n v="0.26"/>
    <x v="0"/>
    <n v="2097.1008000000002"/>
    <n v="1768432.6414000015"/>
    <n v="1082.9348691977964"/>
    <n v="567"/>
    <s v="High Value"/>
    <s v="Feb-2025"/>
    <s v="Wooden Bookshelf"/>
    <s v="Home"/>
    <x v="244"/>
  </r>
  <r>
    <s v="SALE368"/>
    <d v="2025-06-15T00:00:00"/>
    <x v="198"/>
    <s v="PROD93"/>
    <s v="STORE12"/>
    <n v="2"/>
    <n v="121.7"/>
    <n v="0.06"/>
    <x v="2"/>
    <n v="228.79599999999999"/>
    <n v="1766335.5406000013"/>
    <n v="1082.3134439950989"/>
    <n v="567"/>
    <s v="Low Value"/>
    <s v="Jun-2025"/>
    <s v="USB-C Laptop Charger"/>
    <s v="Electronics"/>
    <x v="197"/>
  </r>
  <r>
    <s v="SALE369"/>
    <d v="2023-10-18T00:00:00"/>
    <x v="164"/>
    <s v="PROD65"/>
    <s v="STORE3"/>
    <n v="4"/>
    <n v="269.49"/>
    <n v="7.0000000000000007E-2"/>
    <x v="1"/>
    <n v="1002.5028"/>
    <n v="1766106.7446000015"/>
    <n v="1082.8367532801972"/>
    <n v="567"/>
    <s v="High Value"/>
    <s v="Oct-2023"/>
    <s v="Adjustable Dumbbells 20kg"/>
    <s v="Sports"/>
    <x v="163"/>
  </r>
  <r>
    <s v="SALE370"/>
    <d v="2025-03-17T00:00:00"/>
    <x v="179"/>
    <s v="PROD22"/>
    <s v="STORE18"/>
    <n v="1"/>
    <n v="678.2"/>
    <n v="0.14000000000000001"/>
    <x v="0"/>
    <n v="583.25200000000007"/>
    <n v="1765104.2418000016"/>
    <n v="1082.8860379141115"/>
    <n v="566"/>
    <s v="Low Value"/>
    <s v="Mar-2025"/>
    <s v="Carbon Fiber Tennis Racket"/>
    <s v="Sports"/>
    <x v="178"/>
  </r>
  <r>
    <s v="SALE371"/>
    <d v="2024-08-16T00:00:00"/>
    <x v="104"/>
    <s v="PROD90"/>
    <s v="STORE13"/>
    <n v="1"/>
    <n v="752.45"/>
    <n v="0.21"/>
    <x v="2"/>
    <n v="594.43550000000005"/>
    <n v="1764520.9898000015"/>
    <n v="1083.1927500306947"/>
    <n v="566"/>
    <s v="Low Value"/>
    <s v="Aug-2024"/>
    <s v="Gaming Mouse Pad XL"/>
    <s v="Electronics"/>
    <x v="103"/>
  </r>
  <r>
    <s v="SALE372"/>
    <d v="2024-03-22T00:00:00"/>
    <x v="65"/>
    <s v="PROD94"/>
    <s v="STORE13"/>
    <n v="2"/>
    <n v="209.66"/>
    <n v="0.21"/>
    <x v="0"/>
    <n v="331.26280000000003"/>
    <n v="1763926.5543000014"/>
    <n v="1083.4929694717453"/>
    <n v="566"/>
    <s v="Low Value"/>
    <s v="Mar-2024"/>
    <s v="Vitamin E Body Lotion"/>
    <s v="Beauty"/>
    <x v="64"/>
  </r>
  <r>
    <s v="SALE373"/>
    <d v="2025-01-31T00:00:00"/>
    <x v="261"/>
    <s v="PROD97"/>
    <s v="STORE19"/>
    <n v="2"/>
    <n v="739.95"/>
    <n v="0.1"/>
    <x v="2"/>
    <n v="1331.91"/>
    <n v="1763595.2915000012"/>
    <n v="1083.9553113091588"/>
    <n v="566"/>
    <s v="High Value"/>
    <s v="Jan-2025"/>
    <s v="Cricket Bat"/>
    <s v="Sports"/>
    <x v="260"/>
  </r>
  <r>
    <s v="SALE374"/>
    <d v="2023-12-16T00:00:00"/>
    <x v="262"/>
    <s v="PROD45"/>
    <s v="STORE15"/>
    <n v="1"/>
    <n v="496.19"/>
    <n v="0.08"/>
    <x v="2"/>
    <n v="456.4948"/>
    <n v="1762263.3815000013"/>
    <n v="1083.8028176506773"/>
    <n v="566"/>
    <s v="Low Value"/>
    <s v="Dec-2023"/>
    <s v="High-Grip Football"/>
    <s v="Sports"/>
    <x v="261"/>
  </r>
  <r>
    <s v="SALE375"/>
    <d v="2025-04-09T00:00:00"/>
    <x v="197"/>
    <s v="PROD9"/>
    <s v="STORE12"/>
    <n v="1"/>
    <n v="306.36"/>
    <n v="0.01"/>
    <x v="1"/>
    <n v="303.29640000000001"/>
    <n v="1761806.8867000013"/>
    <n v="1084.188853353847"/>
    <n v="566"/>
    <s v="Low Value"/>
    <s v="Apr-2025"/>
    <s v="Adjustable Dumbbell Set"/>
    <s v="Sports"/>
    <x v="196"/>
  </r>
  <r>
    <s v="SALE376"/>
    <d v="2024-01-18T00:00:00"/>
    <x v="263"/>
    <s v="PROD73"/>
    <s v="STORE4"/>
    <n v="4"/>
    <n v="693.16"/>
    <n v="0.05"/>
    <x v="1"/>
    <n v="2634.0079999999998"/>
    <n v="1761503.5903000012"/>
    <n v="1084.6696984605919"/>
    <n v="565"/>
    <s v="High Value"/>
    <s v="Jan-2024"/>
    <s v="Shin Guards – Adult"/>
    <s v="Sports"/>
    <x v="262"/>
  </r>
  <r>
    <s v="SALE377"/>
    <d v="2025-03-28T00:00:00"/>
    <x v="264"/>
    <s v="PROD83"/>
    <s v="STORE10"/>
    <n v="1"/>
    <n v="995.52"/>
    <n v="0.22"/>
    <x v="1"/>
    <n v="776.50559999999996"/>
    <n v="1758869.5823000011"/>
    <n v="1083.715084596427"/>
    <n v="564"/>
    <s v="Low Value"/>
    <s v="Mar-2025"/>
    <s v="Hydrating Face Cleanser"/>
    <s v="Beauty"/>
    <x v="263"/>
  </r>
  <r>
    <s v="SALE378"/>
    <d v="2024-08-31T00:00:00"/>
    <x v="265"/>
    <s v="PROD7"/>
    <s v="STORE18"/>
    <n v="4"/>
    <n v="241.32"/>
    <n v="0.28999999999999998"/>
    <x v="2"/>
    <n v="685.34879999999998"/>
    <n v="1758093.076700001"/>
    <n v="1083.904486251542"/>
    <n v="563"/>
    <s v="Low Value"/>
    <s v="Aug-2024"/>
    <s v="LED Table Lamp"/>
    <s v="Home"/>
    <x v="264"/>
  </r>
  <r>
    <s v="SALE379"/>
    <d v="2023-11-10T00:00:00"/>
    <x v="19"/>
    <s v="PROD78"/>
    <s v="STORE1"/>
    <n v="3"/>
    <n v="636.03"/>
    <n v="0.06"/>
    <x v="2"/>
    <n v="1793.6045999999999"/>
    <n v="1757407.727900001"/>
    <n v="1084.1503565083287"/>
    <n v="563"/>
    <s v="High Value"/>
    <s v="Nov-2023"/>
    <s v="Essential Oil Diffuser"/>
    <s v="Home"/>
    <x v="19"/>
  </r>
  <r>
    <s v="SALE380"/>
    <d v="2023-12-15T00:00:00"/>
    <x v="181"/>
    <s v="PROD4"/>
    <s v="STORE19"/>
    <n v="4"/>
    <n v="603.30999999999995"/>
    <n v="0.15"/>
    <x v="0"/>
    <n v="2051.2539999999999"/>
    <n v="1755614.123300001"/>
    <n v="1083.7124217901242"/>
    <n v="563"/>
    <s v="High Value"/>
    <s v="Dec-2023"/>
    <s v="Women's Yoga Pants"/>
    <s v="Clothing"/>
    <x v="180"/>
  </r>
  <r>
    <s v="SALE381"/>
    <d v="2024-05-15T00:00:00"/>
    <x v="178"/>
    <s v="PROD89"/>
    <s v="STORE10"/>
    <n v="3"/>
    <n v="437.96"/>
    <n v="0.27"/>
    <x v="2"/>
    <n v="959.13239999999985"/>
    <n v="1753562.8693000011"/>
    <n v="1083.114805003089"/>
    <n v="563"/>
    <s v="Low Value"/>
    <s v="May-2024"/>
    <s v="Face Foundation Kit"/>
    <s v="Beauty"/>
    <x v="177"/>
  </r>
  <r>
    <s v="SALE382"/>
    <d v="2024-01-31T00:00:00"/>
    <x v="266"/>
    <s v="PROD34"/>
    <s v="STORE4"/>
    <n v="2"/>
    <n v="56.91"/>
    <n v="0.08"/>
    <x v="2"/>
    <n v="104.7144"/>
    <n v="1752603.7369000011"/>
    <n v="1083.191431953029"/>
    <n v="563"/>
    <s v="Low Value"/>
    <s v="Jan-2024"/>
    <s v="Gaming Mechanical Keyboard"/>
    <s v="Electronics"/>
    <x v="123"/>
  </r>
  <r>
    <s v="SALE383"/>
    <d v="2023-12-06T00:00:00"/>
    <x v="159"/>
    <s v="PROD76"/>
    <s v="STORE6"/>
    <n v="1"/>
    <n v="141.79"/>
    <n v="0.1"/>
    <x v="0"/>
    <n v="127.611"/>
    <n v="1752499.0225000011"/>
    <n v="1083.7965507111942"/>
    <n v="563"/>
    <s v="Low Value"/>
    <s v="Dec-2023"/>
    <s v="Wireless Mouse"/>
    <s v="Electronics"/>
    <x v="158"/>
  </r>
  <r>
    <s v="SALE384"/>
    <d v="2024-01-11T00:00:00"/>
    <x v="60"/>
    <s v="PROD9"/>
    <s v="STORE15"/>
    <n v="4"/>
    <n v="355.14"/>
    <n v="0.16"/>
    <x v="2"/>
    <n v="1193.2704000000001"/>
    <n v="1752371.4115000011"/>
    <n v="1084.3882496905946"/>
    <n v="563"/>
    <s v="High Value"/>
    <s v="Jan-2024"/>
    <s v="Adjustable Dumbbell Set"/>
    <s v="Sports"/>
    <x v="0"/>
  </r>
  <r>
    <s v="SALE385"/>
    <d v="2025-09-07T00:00:00"/>
    <x v="225"/>
    <s v="PROD38"/>
    <s v="STORE6"/>
    <n v="4"/>
    <n v="960.38"/>
    <n v="0.15"/>
    <x v="2"/>
    <n v="3265.2919999999999"/>
    <n v="1751178.1411000011"/>
    <n v="1084.3208304024774"/>
    <n v="563"/>
    <s v="High Value"/>
    <s v="Sep-2025"/>
    <s v="Sports Water Hydration Pack"/>
    <s v="Sports"/>
    <x v="224"/>
  </r>
  <r>
    <s v="SALE386"/>
    <d v="2024-05-21T00:00:00"/>
    <x v="47"/>
    <s v="PROD69"/>
    <s v="STORE16"/>
    <n v="3"/>
    <n v="847.21"/>
    <n v="0.06"/>
    <x v="1"/>
    <n v="2389.1322"/>
    <n v="1747912.8491000014"/>
    <n v="1082.969547149939"/>
    <n v="563"/>
    <s v="High Value"/>
    <s v="May-2024"/>
    <s v="Men's Sports Shorts"/>
    <s v="Clothing"/>
    <x v="47"/>
  </r>
  <r>
    <s v="SALE387"/>
    <d v="2025-08-23T00:00:00"/>
    <x v="149"/>
    <s v="PROD80"/>
    <s v="STORE10"/>
    <n v="4"/>
    <n v="773.81"/>
    <n v="0.08"/>
    <x v="2"/>
    <n v="2847.6208000000001"/>
    <n v="1745523.716900001"/>
    <n v="1082.1597748915071"/>
    <n v="562"/>
    <s v="High Value"/>
    <s v="Aug-2025"/>
    <s v="Wall-Mounted Spice Rack"/>
    <s v="Home"/>
    <x v="148"/>
  </r>
  <r>
    <s v="SALE388"/>
    <d v="2025-05-03T00:00:00"/>
    <x v="267"/>
    <s v="PROD63"/>
    <s v="STORE16"/>
    <n v="1"/>
    <n v="664.71"/>
    <n v="0.1"/>
    <x v="1"/>
    <n v="598.23900000000003"/>
    <n v="1742676.0961000011"/>
    <n v="1081.0645757444177"/>
    <n v="562"/>
    <s v="Low Value"/>
    <s v="May-2025"/>
    <s v="Organic Sunscreen Lotion"/>
    <s v="Beauty"/>
    <x v="265"/>
  </r>
  <r>
    <s v="SALE389"/>
    <d v="2023-11-03T00:00:00"/>
    <x v="268"/>
    <s v="PROD37"/>
    <s v="STORE7"/>
    <n v="4"/>
    <n v="482.06"/>
    <n v="7.0000000000000007E-2"/>
    <x v="1"/>
    <n v="1793.2632000000001"/>
    <n v="1742077.8571000011"/>
    <n v="1081.3642812538803"/>
    <n v="561"/>
    <s v="High Value"/>
    <s v="Nov-2023"/>
    <s v="Men's Casual Sneakers"/>
    <s v="Clothing"/>
    <x v="266"/>
  </r>
  <r>
    <s v="SALE390"/>
    <d v="2025-03-26T00:00:00"/>
    <x v="269"/>
    <s v="PROD57"/>
    <s v="STORE3"/>
    <n v="4"/>
    <n v="995.55"/>
    <n v="0.19"/>
    <x v="1"/>
    <n v="3225.5819999999999"/>
    <n v="1740284.5939000011"/>
    <n v="1080.922108012423"/>
    <n v="560"/>
    <s v="High Value"/>
    <s v="Mar-2025"/>
    <s v="Foam Roller"/>
    <s v="Sports"/>
    <x v="267"/>
  </r>
  <r>
    <s v="SALE391"/>
    <d v="2024-07-05T00:00:00"/>
    <x v="206"/>
    <s v="PROD93"/>
    <s v="STORE13"/>
    <n v="2"/>
    <n v="153.84"/>
    <n v="0.27"/>
    <x v="1"/>
    <n v="224.60640000000001"/>
    <n v="1737059.0119000012"/>
    <n v="1079.5891932256068"/>
    <n v="559"/>
    <s v="Low Value"/>
    <s v="Jul-2024"/>
    <s v="USB-C Laptop Charger"/>
    <s v="Electronics"/>
    <x v="205"/>
  </r>
  <r>
    <s v="SALE392"/>
    <d v="2025-05-12T00:00:00"/>
    <x v="175"/>
    <s v="PROD78"/>
    <s v="STORE6"/>
    <n v="3"/>
    <n v="362.11"/>
    <n v="0.23"/>
    <x v="2"/>
    <n v="836.47409999999991"/>
    <n v="1736834.405500001"/>
    <n v="1080.1208989427867"/>
    <n v="558"/>
    <s v="Low Value"/>
    <s v="May-2025"/>
    <s v="Essential Oil Diffuser"/>
    <s v="Home"/>
    <x v="174"/>
  </r>
  <r>
    <s v="SALE393"/>
    <d v="2024-09-26T00:00:00"/>
    <x v="167"/>
    <s v="PROD43"/>
    <s v="STORE8"/>
    <n v="3"/>
    <n v="112.26"/>
    <n v="0.11"/>
    <x v="0"/>
    <n v="299.73419999999999"/>
    <n v="1735997.931400001"/>
    <n v="1080.2725148724337"/>
    <n v="558"/>
    <s v="Low Value"/>
    <s v="Sep-2024"/>
    <s v="USB External Hard Drive"/>
    <s v="Electronics"/>
    <x v="166"/>
  </r>
  <r>
    <s v="SALE394"/>
    <d v="2024-03-27T00:00:00"/>
    <x v="43"/>
    <s v="PROD94"/>
    <s v="STORE19"/>
    <n v="2"/>
    <n v="962.81"/>
    <n v="0.06"/>
    <x v="2"/>
    <n v="1810.0827999999999"/>
    <n v="1735698.1972000012"/>
    <n v="1080.7585287671241"/>
    <n v="558"/>
    <s v="High Value"/>
    <s v="Mar-2024"/>
    <s v="Vitamin E Body Lotion"/>
    <s v="Beauty"/>
    <x v="43"/>
  </r>
  <r>
    <s v="SALE395"/>
    <d v="2024-01-17T00:00:00"/>
    <x v="26"/>
    <s v="PROD21"/>
    <s v="STORE0"/>
    <n v="4"/>
    <n v="276.23"/>
    <n v="0.12"/>
    <x v="0"/>
    <n v="972.32960000000003"/>
    <n v="1733888.114400001"/>
    <n v="1080.3041211214959"/>
    <n v="558"/>
    <s v="Low Value"/>
    <s v="Jan-2024"/>
    <s v="Multi-Purpose Storage Box"/>
    <s v="Home"/>
    <x v="26"/>
  </r>
  <r>
    <s v="SALE396"/>
    <d v="2024-04-25T00:00:00"/>
    <x v="270"/>
    <s v="PROD18"/>
    <s v="STORE14"/>
    <n v="3"/>
    <n v="991.37"/>
    <n v="0.1"/>
    <x v="1"/>
    <n v="2676.6990000000001"/>
    <n v="1732915.784800001"/>
    <n v="1080.3714369077313"/>
    <n v="558"/>
    <s v="High Value"/>
    <s v="Apr-2024"/>
    <s v="Women's Denim Jeans"/>
    <s v="Clothing"/>
    <x v="268"/>
  </r>
  <r>
    <s v="SALE397"/>
    <d v="2025-09-29T00:00:00"/>
    <x v="64"/>
    <s v="PROD21"/>
    <s v="STORE13"/>
    <n v="3"/>
    <n v="977.47"/>
    <n v="0.05"/>
    <x v="0"/>
    <n v="2785.7894999999999"/>
    <n v="1730239.0858000009"/>
    <n v="1079.3755993761702"/>
    <n v="557"/>
    <s v="High Value"/>
    <s v="Sep-2025"/>
    <s v="Multi-Purpose Storage Box"/>
    <s v="Home"/>
    <x v="63"/>
  </r>
  <r>
    <s v="SALE398"/>
    <d v="2025-07-06T00:00:00"/>
    <x v="271"/>
    <s v="PROD94"/>
    <s v="STORE12"/>
    <n v="2"/>
    <n v="308.7"/>
    <n v="0.2"/>
    <x v="1"/>
    <n v="493.92"/>
    <n v="1727453.296300001"/>
    <n v="1078.310422159801"/>
    <n v="557"/>
    <s v="Low Value"/>
    <s v="Jul-2025"/>
    <s v="Vitamin E Body Lotion"/>
    <s v="Beauty"/>
    <x v="269"/>
  </r>
  <r>
    <s v="SALE399"/>
    <d v="2024-10-14T00:00:00"/>
    <x v="65"/>
    <s v="PROD6"/>
    <s v="STORE16"/>
    <n v="2"/>
    <n v="733.87"/>
    <n v="0.1"/>
    <x v="1"/>
    <n v="1320.9659999999999"/>
    <n v="1726959.3763000008"/>
    <n v="1078.6754380387263"/>
    <n v="556"/>
    <s v="High Value"/>
    <s v="Oct-2024"/>
    <s v="Herbal Face Moisturizer"/>
    <s v="Beauty"/>
    <x v="64"/>
  </r>
  <r>
    <s v="SALE400"/>
    <d v="2023-10-28T00:00:00"/>
    <x v="50"/>
    <s v="PROD19"/>
    <s v="STORE16"/>
    <n v="2"/>
    <n v="22.47"/>
    <n v="0.22"/>
    <x v="1"/>
    <n v="35.053199999999997"/>
    <n v="1725638.4103000008"/>
    <n v="1078.5240064375005"/>
    <n v="555"/>
    <s v="Low Value"/>
    <s v="Oct-2023"/>
    <s v="Knee Support Brace"/>
    <s v="Sports"/>
    <x v="50"/>
  </r>
  <r>
    <s v="SALE401"/>
    <d v="2024-03-29T00:00:00"/>
    <x v="14"/>
    <s v="PROD57"/>
    <s v="STORE13"/>
    <n v="4"/>
    <n v="651.36"/>
    <n v="0.13"/>
    <x v="0"/>
    <n v="2266.7328000000002"/>
    <n v="1725603.3571000008"/>
    <n v="1079.1765835522206"/>
    <n v="554"/>
    <s v="High Value"/>
    <s v="Mar-2024"/>
    <s v="Foam Roller"/>
    <s v="Sports"/>
    <x v="14"/>
  </r>
  <r>
    <s v="SALE402"/>
    <d v="2025-06-09T00:00:00"/>
    <x v="272"/>
    <s v="PROD14"/>
    <s v="STORE10"/>
    <n v="1"/>
    <n v="753.39"/>
    <n v="0.04"/>
    <x v="2"/>
    <n v="723.25439999999992"/>
    <n v="1723336.624300001"/>
    <n v="1078.4334319774725"/>
    <n v="554"/>
    <s v="Low Value"/>
    <s v="Jun-2025"/>
    <s v="Decorative Wall Mirror"/>
    <s v="Home"/>
    <x v="270"/>
  </r>
  <r>
    <s v="SALE403"/>
    <d v="2024-10-11T00:00:00"/>
    <x v="114"/>
    <s v="PROD71"/>
    <s v="STORE12"/>
    <n v="4"/>
    <n v="849.17"/>
    <n v="0.12"/>
    <x v="2"/>
    <n v="2989.0783999999999"/>
    <n v="1722613.369900001"/>
    <n v="1078.6558358797752"/>
    <n v="554"/>
    <s v="High Value"/>
    <s v="Oct-2024"/>
    <s v="Hair Repair Oil Treatment"/>
    <s v="Beauty"/>
    <x v="113"/>
  </r>
  <r>
    <s v="SALE404"/>
    <d v="2024-07-22T00:00:00"/>
    <x v="273"/>
    <s v="PROD20"/>
    <s v="STORE0"/>
    <n v="4"/>
    <n v="585.45000000000005"/>
    <n v="0.25"/>
    <x v="2"/>
    <n v="1756.35"/>
    <n v="1719624.2915000007"/>
    <n v="1077.458829260652"/>
    <n v="554"/>
    <s v="High Value"/>
    <s v="Jul-2024"/>
    <s v="Outdoor Sports Water Bottle"/>
    <s v="Sports"/>
    <x v="271"/>
  </r>
  <r>
    <s v="SALE405"/>
    <d v="2024-12-02T00:00:00"/>
    <x v="22"/>
    <s v="PROD75"/>
    <s v="STORE16"/>
    <n v="1"/>
    <n v="745.15"/>
    <n v="0.25"/>
    <x v="2"/>
    <n v="558.86249999999995"/>
    <n v="1717867.9415000007"/>
    <n v="1077.0331921630097"/>
    <n v="554"/>
    <s v="Low Value"/>
    <s v="Dec-2024"/>
    <s v="Women's Ankle Boots"/>
    <s v="Clothing"/>
    <x v="22"/>
  </r>
  <r>
    <s v="SALE406"/>
    <d v="2023-11-14T00:00:00"/>
    <x v="274"/>
    <s v="PROD99"/>
    <s v="STORE2"/>
    <n v="1"/>
    <n v="848.69"/>
    <n v="0.04"/>
    <x v="2"/>
    <n v="814.74239999999998"/>
    <n v="1717309.0790000006"/>
    <n v="1077.3582678795487"/>
    <n v="554"/>
    <s v="Low Value"/>
    <s v="Nov-2023"/>
    <s v="Stainless Steel Cookware Set"/>
    <s v="Home"/>
    <x v="272"/>
  </r>
  <r>
    <s v="SALE407"/>
    <d v="2024-02-14T00:00:00"/>
    <x v="275"/>
    <s v="PROD70"/>
    <s v="STORE14"/>
    <n v="2"/>
    <n v="247.67"/>
    <n v="0.1"/>
    <x v="1"/>
    <n v="445.80599999999998"/>
    <n v="1716494.3366000005"/>
    <n v="1077.523124042687"/>
    <n v="554"/>
    <s v="Low Value"/>
    <s v="Feb-2024"/>
    <s v="Kitchen Storage Rack"/>
    <s v="Home"/>
    <x v="273"/>
  </r>
  <r>
    <s v="SALE408"/>
    <d v="2024-06-22T00:00:00"/>
    <x v="276"/>
    <s v="PROD74"/>
    <s v="STORE3"/>
    <n v="3"/>
    <n v="220.51"/>
    <n v="0.02"/>
    <x v="1"/>
    <n v="648.29939999999999"/>
    <n v="1716048.5306000004"/>
    <n v="1077.9199312814073"/>
    <n v="553"/>
    <s v="Low Value"/>
    <s v="Jun-2024"/>
    <s v="Bluetooth Car Audio System"/>
    <s v="Electronics"/>
    <x v="274"/>
  </r>
  <r>
    <s v="SALE409"/>
    <d v="2025-06-29T00:00:00"/>
    <x v="78"/>
    <s v="PROD15"/>
    <s v="STORE16"/>
    <n v="4"/>
    <n v="370.63"/>
    <n v="0.08"/>
    <x v="0"/>
    <n v="1363.9184"/>
    <n v="1715400.2312000005"/>
    <n v="1078.1899630421121"/>
    <n v="552"/>
    <s v="High Value"/>
    <s v="Jun-2025"/>
    <s v="4K Home Projector"/>
    <s v="Electronics"/>
    <x v="77"/>
  </r>
  <r>
    <s v="SALE410"/>
    <d v="2025-02-18T00:00:00"/>
    <x v="277"/>
    <s v="PROD29"/>
    <s v="STORE19"/>
    <n v="4"/>
    <n v="349.84"/>
    <n v="0.11"/>
    <x v="0"/>
    <n v="1245.4304"/>
    <n v="1714036.3128000004"/>
    <n v="1078.0102596226418"/>
    <n v="552"/>
    <s v="High Value"/>
    <s v="Feb-2025"/>
    <s v="Fabric Sofa Throw Blanket"/>
    <s v="Home"/>
    <x v="275"/>
  </r>
  <r>
    <s v="SALE411"/>
    <d v="2025-06-15T00:00:00"/>
    <x v="278"/>
    <s v="PROD39"/>
    <s v="STORE12"/>
    <n v="1"/>
    <n v="770.87"/>
    <n v="0.1"/>
    <x v="2"/>
    <n v="693.78300000000002"/>
    <n v="1712790.8824000002"/>
    <n v="1077.9048976714917"/>
    <n v="552"/>
    <s v="Low Value"/>
    <s v="Jun-2025"/>
    <s v="Portable Power Bank"/>
    <s v="Electronics"/>
    <x v="276"/>
  </r>
  <r>
    <s v="SALE412"/>
    <d v="2024-08-14T00:00:00"/>
    <x v="232"/>
    <s v="PROD99"/>
    <s v="STORE17"/>
    <n v="3"/>
    <n v="507.33"/>
    <n v="0.06"/>
    <x v="1"/>
    <n v="1430.6705999999999"/>
    <n v="1712097.0994000002"/>
    <n v="1078.1467880352645"/>
    <n v="552"/>
    <s v="High Value"/>
    <s v="Aug-2024"/>
    <s v="Stainless Steel Cookware Set"/>
    <s v="Home"/>
    <x v="231"/>
  </r>
  <r>
    <s v="SALE413"/>
    <d v="2025-07-25T00:00:00"/>
    <x v="169"/>
    <s v="PROD66"/>
    <s v="STORE9"/>
    <n v="1"/>
    <n v="87.78"/>
    <n v="0.06"/>
    <x v="0"/>
    <n v="82.513199999999998"/>
    <n v="1710666.4288000003"/>
    <n v="1077.9246558286077"/>
    <n v="551"/>
    <s v="Low Value"/>
    <s v="Jul-2025"/>
    <s v="Women's Hair Dryer Brush"/>
    <s v="Beauty"/>
    <x v="168"/>
  </r>
  <r>
    <s v="SALE414"/>
    <d v="2025-01-09T00:00:00"/>
    <x v="279"/>
    <s v="PROD93"/>
    <s v="STORE4"/>
    <n v="2"/>
    <n v="772.24"/>
    <n v="0.22"/>
    <x v="0"/>
    <n v="1204.6944000000001"/>
    <n v="1710583.9156000004"/>
    <n v="1078.5522796973521"/>
    <n v="551"/>
    <s v="High Value"/>
    <s v="Jan-2025"/>
    <s v="USB-C Laptop Charger"/>
    <s v="Electronics"/>
    <x v="277"/>
  </r>
  <r>
    <s v="SALE415"/>
    <d v="2025-06-05T00:00:00"/>
    <x v="234"/>
    <s v="PROD70"/>
    <s v="STORE14"/>
    <n v="1"/>
    <n v="108.27"/>
    <n v="0.1"/>
    <x v="2"/>
    <n v="97.442999999999998"/>
    <n v="1709379.2212000003"/>
    <n v="1078.4726947634072"/>
    <n v="551"/>
    <s v="Low Value"/>
    <s v="Jun-2025"/>
    <s v="Kitchen Storage Rack"/>
    <s v="Home"/>
    <x v="233"/>
  </r>
  <r>
    <s v="SALE416"/>
    <d v="2024-12-07T00:00:00"/>
    <x v="268"/>
    <s v="PROD38"/>
    <s v="STORE17"/>
    <n v="2"/>
    <n v="839.24"/>
    <n v="0.21"/>
    <x v="1"/>
    <n v="1325.9992"/>
    <n v="1709281.7782000003"/>
    <n v="1079.0920316919194"/>
    <n v="551"/>
    <s v="High Value"/>
    <s v="Dec-2024"/>
    <s v="Sports Water Hydration Pack"/>
    <s v="Sports"/>
    <x v="266"/>
  </r>
  <r>
    <s v="SALE417"/>
    <d v="2024-02-09T00:00:00"/>
    <x v="280"/>
    <s v="PROD58"/>
    <s v="STORE10"/>
    <n v="2"/>
    <n v="466.27"/>
    <n v="0.11"/>
    <x v="1"/>
    <n v="829.9606"/>
    <n v="1707955.7790000003"/>
    <n v="1078.9360574857867"/>
    <n v="550"/>
    <s v="Low Value"/>
    <s v="Feb-2024"/>
    <s v="Womens Cotton Scarf"/>
    <s v="Clothing"/>
    <x v="278"/>
  </r>
  <r>
    <s v="SALE418"/>
    <d v="2025-10-12T00:00:00"/>
    <x v="31"/>
    <s v="PROD62"/>
    <s v="STORE14"/>
    <n v="3"/>
    <n v="969.83"/>
    <n v="0.02"/>
    <x v="0"/>
    <n v="2851.3002000000001"/>
    <n v="1707125.8184000002"/>
    <n v="1079.0934376738307"/>
    <n v="549"/>
    <s v="High Value"/>
    <s v="Oct-2025"/>
    <s v="Laptop Cooling Pad"/>
    <s v="Electronics"/>
    <x v="31"/>
  </r>
  <r>
    <s v="SALE419"/>
    <d v="2025-06-16T00:00:00"/>
    <x v="222"/>
    <s v="PROD91"/>
    <s v="STORE19"/>
    <n v="2"/>
    <n v="782.11"/>
    <n v="0.17"/>
    <x v="1"/>
    <n v="1298.3026"/>
    <n v="1704274.5182"/>
    <n v="1077.9724972802023"/>
    <n v="549"/>
    <s v="High Value"/>
    <s v="Jun-2025"/>
    <s v="Women's High Heels"/>
    <s v="Clothing"/>
    <x v="221"/>
  </r>
  <r>
    <s v="SALE420"/>
    <d v="2025-09-21T00:00:00"/>
    <x v="231"/>
    <s v="PROD40"/>
    <s v="STORE11"/>
    <n v="2"/>
    <n v="74.63"/>
    <n v="0.01"/>
    <x v="1"/>
    <n v="147.76740000000001"/>
    <n v="1702976.2155999998"/>
    <n v="1077.8330478481012"/>
    <n v="548"/>
    <s v="Low Value"/>
    <s v="Sep-2025"/>
    <s v="Noise-Canceling Headphones"/>
    <s v="Electronics"/>
    <x v="230"/>
  </r>
  <r>
    <s v="SALE421"/>
    <d v="2025-09-09T00:00:00"/>
    <x v="95"/>
    <s v="PROD85"/>
    <s v="STORE6"/>
    <n v="3"/>
    <n v="522.78"/>
    <n v="0.25"/>
    <x v="1"/>
    <n v="1176.2550000000001"/>
    <n v="1702828.4481999998"/>
    <n v="1078.4220697910068"/>
    <n v="547"/>
    <s v="High Value"/>
    <s v="Sep-2025"/>
    <s v="Women's Beanie Hat"/>
    <s v="Clothing"/>
    <x v="94"/>
  </r>
  <r>
    <s v="SALE422"/>
    <d v="2025-07-15T00:00:00"/>
    <x v="94"/>
    <s v="PROD13"/>
    <s v="STORE15"/>
    <n v="1"/>
    <n v="206.45"/>
    <n v="0.15"/>
    <x v="1"/>
    <n v="175.48249999999999"/>
    <n v="1701652.1931999999"/>
    <n v="1078.3600717363752"/>
    <n v="546"/>
    <s v="Low Value"/>
    <s v="Jul-2025"/>
    <s v="USB-C Fast Charger"/>
    <s v="Electronics"/>
    <x v="93"/>
  </r>
  <r>
    <s v="SALE423"/>
    <d v="2024-10-15T00:00:00"/>
    <x v="281"/>
    <s v="PROD69"/>
    <s v="STORE5"/>
    <n v="1"/>
    <n v="815.53"/>
    <n v="0.3"/>
    <x v="1"/>
    <n v="570.87099999999998"/>
    <n v="1701476.7106999997"/>
    <n v="1078.9326003170574"/>
    <n v="545"/>
    <s v="Low Value"/>
    <s v="Oct-2024"/>
    <s v="Men's Sports Shorts"/>
    <s v="Clothing"/>
    <x v="279"/>
  </r>
  <r>
    <s v="SALE424"/>
    <d v="2023-10-21T00:00:00"/>
    <x v="65"/>
    <s v="PROD79"/>
    <s v="STORE13"/>
    <n v="1"/>
    <n v="823.61"/>
    <n v="0.28000000000000003"/>
    <x v="2"/>
    <n v="592.99919999999997"/>
    <n v="1700905.8396999997"/>
    <n v="1079.2549744289338"/>
    <n v="544"/>
    <s v="Low Value"/>
    <s v="Oct-2023"/>
    <s v="Decorative Lamp Shade"/>
    <s v="Home"/>
    <x v="64"/>
  </r>
  <r>
    <s v="SALE425"/>
    <d v="2025-05-30T00:00:00"/>
    <x v="151"/>
    <s v="PROD87"/>
    <s v="STORE9"/>
    <n v="2"/>
    <n v="209.96"/>
    <n v="0"/>
    <x v="0"/>
    <n v="419.92"/>
    <n v="1700312.8404999997"/>
    <n v="1079.5637082539681"/>
    <n v="544"/>
    <s v="Low Value"/>
    <s v="May-2025"/>
    <s v="LED Bedside Lamp"/>
    <s v="Home"/>
    <x v="150"/>
  </r>
  <r>
    <s v="SALE426"/>
    <d v="2024-06-19T00:00:00"/>
    <x v="143"/>
    <s v="PROD0"/>
    <s v="STORE16"/>
    <n v="4"/>
    <n v="897.93"/>
    <n v="0.05"/>
    <x v="2"/>
    <n v="3412.134"/>
    <n v="1699892.9204999998"/>
    <n v="1079.982795743329"/>
    <n v="544"/>
    <s v="High Value"/>
    <s v="Jun-2024"/>
    <s v="Brother Laser Printer"/>
    <s v="Electronics"/>
    <x v="142"/>
  </r>
  <r>
    <s v="SALE427"/>
    <d v="2024-12-20T00:00:00"/>
    <x v="282"/>
    <s v="PROD63"/>
    <s v="STORE0"/>
    <n v="4"/>
    <n v="925.95"/>
    <n v="0.16"/>
    <x v="2"/>
    <n v="3111.192"/>
    <n v="1696480.7864999999"/>
    <n v="1078.5001821360456"/>
    <n v="544"/>
    <s v="High Value"/>
    <s v="Dec-2024"/>
    <s v="Organic Sunscreen Lotion"/>
    <s v="Beauty"/>
    <x v="280"/>
  </r>
  <r>
    <s v="SALE428"/>
    <d v="2024-08-16T00:00:00"/>
    <x v="42"/>
    <s v="PROD51"/>
    <s v="STORE6"/>
    <n v="2"/>
    <n v="573.09"/>
    <n v="0.03"/>
    <x v="2"/>
    <n v="1111.7945999999999"/>
    <n v="1693369.5945000001"/>
    <n v="1077.2071211832063"/>
    <n v="544"/>
    <s v="High Value"/>
    <s v="Aug-2024"/>
    <s v="HDMI Cable – 2m"/>
    <s v="Electronics"/>
    <x v="42"/>
  </r>
  <r>
    <s v="SALE429"/>
    <d v="2025-03-15T00:00:00"/>
    <x v="79"/>
    <s v="PROD7"/>
    <s v="STORE4"/>
    <n v="4"/>
    <n v="149.83000000000001"/>
    <n v="0.02"/>
    <x v="0"/>
    <n v="587.33360000000005"/>
    <n v="1692257.7999"/>
    <n v="1077.1851049649904"/>
    <n v="544"/>
    <s v="Low Value"/>
    <s v="Mar-2025"/>
    <s v="LED Table Lamp"/>
    <s v="Home"/>
    <x v="78"/>
  </r>
  <r>
    <s v="SALE430"/>
    <d v="2024-06-02T00:00:00"/>
    <x v="283"/>
    <s v="PROD51"/>
    <s v="STORE14"/>
    <n v="3"/>
    <n v="287.70999999999998"/>
    <n v="0.03"/>
    <x v="2"/>
    <n v="837.23609999999985"/>
    <n v="1691670.4663000002"/>
    <n v="1077.4971122929937"/>
    <n v="544"/>
    <s v="Low Value"/>
    <s v="Jun-2024"/>
    <s v="HDMI Cable – 2m"/>
    <s v="Electronics"/>
    <x v="281"/>
  </r>
  <r>
    <s v="SALE431"/>
    <d v="2025-07-22T00:00:00"/>
    <x v="18"/>
    <s v="PROD67"/>
    <s v="STORE6"/>
    <n v="2"/>
    <n v="849.8"/>
    <n v="0.06"/>
    <x v="2"/>
    <n v="1597.624"/>
    <n v="1690833.2301999999"/>
    <n v="1077.650242319949"/>
    <n v="544"/>
    <s v="High Value"/>
    <s v="Jul-2025"/>
    <s v="Smart LED Light Strip"/>
    <s v="Electronics"/>
    <x v="18"/>
  </r>
  <r>
    <s v="SALE432"/>
    <d v="2025-03-09T00:00:00"/>
    <x v="6"/>
    <s v="PROD41"/>
    <s v="STORE3"/>
    <n v="3"/>
    <n v="482.58"/>
    <n v="0.28000000000000003"/>
    <x v="1"/>
    <n v="1042.3728000000001"/>
    <n v="1689235.6062"/>
    <n v="1077.3186264030612"/>
    <n v="544"/>
    <s v="High Value"/>
    <s v="Mar-2025"/>
    <s v="Yoga Exercise Mat"/>
    <s v="Sports"/>
    <x v="6"/>
  </r>
  <r>
    <s v="SALE433"/>
    <d v="2025-02-11T00:00:00"/>
    <x v="284"/>
    <s v="PROD59"/>
    <s v="STORE2"/>
    <n v="2"/>
    <n v="64.7"/>
    <n v="0"/>
    <x v="0"/>
    <n v="129.4"/>
    <n v="1688193.2334"/>
    <n v="1077.3409275047861"/>
    <n v="543"/>
    <s v="Low Value"/>
    <s v="Feb-2025"/>
    <s v="Men's Hair Styling Gel"/>
    <s v="Beauty"/>
    <x v="282"/>
  </r>
  <r>
    <s v="SALE434"/>
    <d v="2023-12-06T00:00:00"/>
    <x v="28"/>
    <s v="PROD5"/>
    <s v="STORE5"/>
    <n v="3"/>
    <n v="589.83000000000004"/>
    <n v="0.26"/>
    <x v="0"/>
    <n v="1309.4226000000001"/>
    <n v="1688063.8334000001"/>
    <n v="1077.9462537675608"/>
    <n v="543"/>
    <s v="High Value"/>
    <s v="Dec-2023"/>
    <s v="Men's Leather Belt"/>
    <s v="Clothing"/>
    <x v="28"/>
  </r>
  <r>
    <s v="SALE435"/>
    <d v="2025-08-20T00:00:00"/>
    <x v="285"/>
    <s v="PROD3"/>
    <s v="STORE9"/>
    <n v="4"/>
    <n v="758.49"/>
    <n v="0.16"/>
    <x v="2"/>
    <n v="2548.5264000000002"/>
    <n v="1686754.4108000002"/>
    <n v="1077.7983455591057"/>
    <n v="543"/>
    <s v="High Value"/>
    <s v="Aug-2025"/>
    <s v="Men's Running Jacket"/>
    <s v="Clothing"/>
    <x v="283"/>
  </r>
  <r>
    <s v="SALE436"/>
    <d v="2024-09-20T00:00:00"/>
    <x v="286"/>
    <s v="PROD37"/>
    <s v="STORE12"/>
    <n v="4"/>
    <n v="747.56"/>
    <n v="0.09"/>
    <x v="2"/>
    <n v="2721.1183999999998"/>
    <n v="1684205.8844000003"/>
    <n v="1076.8579823529415"/>
    <n v="543"/>
    <s v="High Value"/>
    <s v="Sep-2024"/>
    <s v="Men's Casual Sneakers"/>
    <s v="Clothing"/>
    <x v="284"/>
  </r>
  <r>
    <s v="SALE437"/>
    <d v="2025-06-05T00:00:00"/>
    <x v="73"/>
    <s v="PROD40"/>
    <s v="STORE17"/>
    <n v="3"/>
    <n v="551.22"/>
    <n v="0.12"/>
    <x v="1"/>
    <n v="1455.2208000000001"/>
    <n v="1681484.7660000003"/>
    <n v="1075.8059923224571"/>
    <n v="543"/>
    <s v="High Value"/>
    <s v="Jun-2025"/>
    <s v="Noise-Canceling Headphones"/>
    <s v="Electronics"/>
    <x v="72"/>
  </r>
  <r>
    <s v="SALE438"/>
    <d v="2025-06-03T00:00:00"/>
    <x v="287"/>
    <s v="PROD69"/>
    <s v="STORE14"/>
    <n v="2"/>
    <n v="527.05999999999995"/>
    <n v="0.17"/>
    <x v="1"/>
    <n v="874.91959999999983"/>
    <n v="1680029.5452000003"/>
    <n v="1075.5630891165174"/>
    <n v="542"/>
    <s v="Low Value"/>
    <s v="Jun-2025"/>
    <s v="Men's Sports Shorts"/>
    <s v="Clothing"/>
    <x v="285"/>
  </r>
  <r>
    <s v="SALE439"/>
    <d v="2025-01-13T00:00:00"/>
    <x v="288"/>
    <s v="PROD62"/>
    <s v="STORE5"/>
    <n v="4"/>
    <n v="875.41"/>
    <n v="0.27"/>
    <x v="0"/>
    <n v="2556.1972000000001"/>
    <n v="1679154.6256000004"/>
    <n v="1075.6916243433698"/>
    <n v="541"/>
    <s v="High Value"/>
    <s v="Jan-2025"/>
    <s v="Laptop Cooling Pad"/>
    <s v="Electronics"/>
    <x v="286"/>
  </r>
  <r>
    <s v="SALE440"/>
    <d v="2025-03-20T00:00:00"/>
    <x v="69"/>
    <s v="PROD85"/>
    <s v="STORE0"/>
    <n v="2"/>
    <n v="226.43"/>
    <n v="0.03"/>
    <x v="0"/>
    <n v="439.27420000000001"/>
    <n v="1676598.4284000003"/>
    <n v="1074.7425823076926"/>
    <n v="541"/>
    <s v="Low Value"/>
    <s v="Mar-2025"/>
    <s v="Women's Beanie Hat"/>
    <s v="Clothing"/>
    <x v="68"/>
  </r>
  <r>
    <s v="SALE441"/>
    <d v="2024-07-07T00:00:00"/>
    <x v="67"/>
    <s v="PROD79"/>
    <s v="STORE5"/>
    <n v="2"/>
    <n v="285.39"/>
    <n v="0.1"/>
    <x v="0"/>
    <n v="513.702"/>
    <n v="1676159.1542000002"/>
    <n v="1075.1501951250802"/>
    <n v="541"/>
    <s v="Low Value"/>
    <s v="Jul-2024"/>
    <s v="Decorative Lamp Shade"/>
    <s v="Home"/>
    <x v="66"/>
  </r>
  <r>
    <s v="SALE442"/>
    <d v="2025-09-29T00:00:00"/>
    <x v="159"/>
    <s v="PROD11"/>
    <s v="STORE15"/>
    <n v="2"/>
    <n v="298.01"/>
    <n v="0.05"/>
    <x v="0"/>
    <n v="566.21899999999994"/>
    <n v="1675645.4522000002"/>
    <n v="1075.5105598202824"/>
    <n v="541"/>
    <s v="Low Value"/>
    <s v="Sep-2025"/>
    <s v="HD Smart TV Stick"/>
    <s v="Electronics"/>
    <x v="158"/>
  </r>
  <r>
    <s v="SALE443"/>
    <d v="2024-11-30T00:00:00"/>
    <x v="287"/>
    <s v="PROD40"/>
    <s v="STORE4"/>
    <n v="4"/>
    <n v="753.49"/>
    <n v="0.26"/>
    <x v="2"/>
    <n v="2230.3303999999998"/>
    <n v="1675079.2332000004"/>
    <n v="1075.8376578034683"/>
    <n v="541"/>
    <s v="High Value"/>
    <s v="Nov-2024"/>
    <s v="Noise-Canceling Headphones"/>
    <s v="Electronics"/>
    <x v="285"/>
  </r>
  <r>
    <s v="SALE444"/>
    <d v="2024-06-17T00:00:00"/>
    <x v="289"/>
    <s v="PROD78"/>
    <s v="STORE12"/>
    <n v="2"/>
    <n v="130.38999999999999"/>
    <n v="0.17"/>
    <x v="1"/>
    <n v="216.44739999999999"/>
    <n v="1672848.9028000003"/>
    <n v="1075.0956958868896"/>
    <n v="541"/>
    <s v="Low Value"/>
    <s v="Jun-2024"/>
    <s v="Essential Oil Diffuser"/>
    <s v="Home"/>
    <x v="287"/>
  </r>
  <r>
    <s v="SALE445"/>
    <d v="2025-02-21T00:00:00"/>
    <x v="290"/>
    <s v="PROD22"/>
    <s v="STORE9"/>
    <n v="4"/>
    <n v="164.02"/>
    <n v="0.01"/>
    <x v="1"/>
    <n v="649.51920000000007"/>
    <n v="1672632.4554000003"/>
    <n v="1075.6478812861737"/>
    <n v="540"/>
    <s v="Low Value"/>
    <s v="Feb-2025"/>
    <s v="Carbon Fiber Tennis Racket"/>
    <s v="Sports"/>
    <x v="288"/>
  </r>
  <r>
    <s v="SALE446"/>
    <d v="2024-09-16T00:00:00"/>
    <x v="112"/>
    <s v="PROD29"/>
    <s v="STORE4"/>
    <n v="2"/>
    <n v="527.51"/>
    <n v="0.18"/>
    <x v="1"/>
    <n v="865.1164"/>
    <n v="1671982.9362000003"/>
    <n v="1075.9220953667957"/>
    <n v="539"/>
    <s v="Low Value"/>
    <s v="Sep-2024"/>
    <s v="Fabric Sofa Throw Blanket"/>
    <s v="Home"/>
    <x v="111"/>
  </r>
  <r>
    <s v="SALE447"/>
    <d v="2025-10-09T00:00:00"/>
    <x v="73"/>
    <s v="PROD57"/>
    <s v="STORE13"/>
    <n v="3"/>
    <n v="628.17999999999995"/>
    <n v="0.26"/>
    <x v="0"/>
    <n v="1394.5596"/>
    <n v="1671117.8198000004"/>
    <n v="1076.0578363168065"/>
    <n v="538"/>
    <s v="High Value"/>
    <s v="Oct-2025"/>
    <s v="Foam Roller"/>
    <s v="Sports"/>
    <x v="72"/>
  </r>
  <r>
    <s v="SALE448"/>
    <d v="2024-09-18T00:00:00"/>
    <x v="59"/>
    <s v="PROD56"/>
    <s v="STORE3"/>
    <n v="1"/>
    <n v="862.31"/>
    <n v="0.06"/>
    <x v="0"/>
    <n v="810.57139999999993"/>
    <n v="1669723.2602000001"/>
    <n v="1075.8526161082475"/>
    <n v="538"/>
    <s v="Low Value"/>
    <s v="Sep-2024"/>
    <s v="Premium Blanket Throw"/>
    <s v="Home"/>
    <x v="59"/>
  </r>
  <r>
    <s v="SALE449"/>
    <d v="2025-05-29T00:00:00"/>
    <x v="291"/>
    <s v="PROD83"/>
    <s v="STORE14"/>
    <n v="2"/>
    <n v="541.39"/>
    <n v="0.03"/>
    <x v="2"/>
    <n v="1050.2965999999999"/>
    <n v="1668912.6888000004"/>
    <n v="1076.023654932302"/>
    <n v="538"/>
    <s v="High Value"/>
    <s v="May-2025"/>
    <s v="Hydrating Face Cleanser"/>
    <s v="Beauty"/>
    <x v="289"/>
  </r>
  <r>
    <s v="SALE450"/>
    <d v="2025-06-03T00:00:00"/>
    <x v="292"/>
    <s v="PROD76"/>
    <s v="STORE16"/>
    <n v="3"/>
    <n v="761.8"/>
    <n v="0.06"/>
    <x v="2"/>
    <n v="2148.2759999999989"/>
    <n v="1667862.3922000004"/>
    <n v="1076.0402530322583"/>
    <n v="538"/>
    <s v="High Value"/>
    <s v="Jun-2025"/>
    <s v="Wireless Mouse"/>
    <s v="Electronics"/>
    <x v="290"/>
  </r>
  <r>
    <s v="SALE451"/>
    <d v="2024-08-04T00:00:00"/>
    <x v="293"/>
    <s v="PROD49"/>
    <s v="STORE2"/>
    <n v="4"/>
    <n v="829.36"/>
    <n v="0.11"/>
    <x v="1"/>
    <n v="2952.5216"/>
    <n v="1665714.1162000005"/>
    <n v="1075.3480414460946"/>
    <n v="538"/>
    <s v="High Value"/>
    <s v="Aug-2024"/>
    <s v="Men's Roll-On Perfume"/>
    <s v="Beauty"/>
    <x v="291"/>
  </r>
  <r>
    <s v="SALE452"/>
    <d v="2024-06-17T00:00:00"/>
    <x v="53"/>
    <s v="PROD23"/>
    <s v="STORE16"/>
    <n v="2"/>
    <n v="425.06"/>
    <n v="0.09"/>
    <x v="1"/>
    <n v="773.60919999999999"/>
    <n v="1662761.5946000007"/>
    <n v="1074.1353970284242"/>
    <n v="537"/>
    <s v="Low Value"/>
    <s v="Jun-2024"/>
    <s v="Men's Formal Shirt"/>
    <s v="Clothing"/>
    <x v="53"/>
  </r>
  <r>
    <s v="SALE453"/>
    <d v="2024-01-20T00:00:00"/>
    <x v="294"/>
    <s v="PROD55"/>
    <s v="STORE0"/>
    <n v="2"/>
    <n v="911.14"/>
    <n v="0.1"/>
    <x v="0"/>
    <n v="1640.0519999999999"/>
    <n v="1661987.9854000008"/>
    <n v="1074.3296608920496"/>
    <n v="536"/>
    <s v="High Value"/>
    <s v="Jan-2024"/>
    <s v="Ceramic Plant Pot"/>
    <s v="Home"/>
    <x v="292"/>
  </r>
  <r>
    <s v="SALE454"/>
    <d v="2025-09-06T00:00:00"/>
    <x v="42"/>
    <s v="PROD68"/>
    <s v="STORE8"/>
    <n v="3"/>
    <n v="811.96"/>
    <n v="0.28999999999999998"/>
    <x v="0"/>
    <n v="1729.4748"/>
    <n v="1660347.9334000009"/>
    <n v="1073.9637344113848"/>
    <n v="536"/>
    <s v="High Value"/>
    <s v="Sep-2025"/>
    <s v="Wooden Nightstand"/>
    <s v="Home"/>
    <x v="42"/>
  </r>
  <r>
    <s v="SALE455"/>
    <d v="2024-03-29T00:00:00"/>
    <x v="66"/>
    <s v="PROD31"/>
    <s v="STORE10"/>
    <n v="2"/>
    <n v="780.05"/>
    <n v="0.12"/>
    <x v="2"/>
    <n v="1372.8879999999999"/>
    <n v="1658618.4586000009"/>
    <n v="1073.5394554045313"/>
    <n v="536"/>
    <s v="High Value"/>
    <s v="Mar-2024"/>
    <s v="Basketball"/>
    <s v="Sports"/>
    <x v="65"/>
  </r>
  <r>
    <s v="SALE456"/>
    <d v="2024-08-23T00:00:00"/>
    <x v="295"/>
    <s v="PROD32"/>
    <s v="STORE9"/>
    <n v="4"/>
    <n v="315.95"/>
    <n v="0.19"/>
    <x v="2"/>
    <n v="1023.678"/>
    <n v="1657245.5706000009"/>
    <n v="1073.345576813472"/>
    <n v="536"/>
    <s v="High Value"/>
    <s v="Aug-2024"/>
    <s v="Vitamin C Face Serum"/>
    <s v="Beauty"/>
    <x v="293"/>
  </r>
  <r>
    <s v="SALE457"/>
    <d v="2025-05-19T00:00:00"/>
    <x v="296"/>
    <s v="PROD52"/>
    <s v="STORE9"/>
    <n v="2"/>
    <n v="810.17"/>
    <n v="0.27"/>
    <x v="0"/>
    <n v="1182.8481999999999"/>
    <n v="1656221.8926000011"/>
    <n v="1073.3777657809469"/>
    <n v="536"/>
    <s v="High Value"/>
    <s v="May-2025"/>
    <s v="Rugby Ball"/>
    <s v="Sports"/>
    <x v="294"/>
  </r>
  <r>
    <s v="SALE458"/>
    <d v="2024-04-07T00:00:00"/>
    <x v="297"/>
    <s v="PROD84"/>
    <s v="STORE4"/>
    <n v="3"/>
    <n v="505.01"/>
    <n v="0.02"/>
    <x v="1"/>
    <n v="1484.7293999999999"/>
    <n v="1655039.0444000009"/>
    <n v="1073.3067732814532"/>
    <n v="536"/>
    <s v="High Value"/>
    <s v="Apr-2024"/>
    <s v="Wooden Bookshelf"/>
    <s v="Home"/>
    <x v="295"/>
  </r>
  <r>
    <s v="SALE459"/>
    <d v="2024-01-24T00:00:00"/>
    <x v="1"/>
    <s v="PROD72"/>
    <s v="STORE17"/>
    <n v="2"/>
    <n v="736.75"/>
    <n v="0.18"/>
    <x v="0"/>
    <n v="1208.27"/>
    <n v="1653554.3150000009"/>
    <n v="1073.0397890979889"/>
    <n v="535"/>
    <s v="High Value"/>
    <s v="Jan-2024"/>
    <s v="Professional Jump Rope"/>
    <s v="Sports"/>
    <x v="1"/>
  </r>
  <r>
    <s v="SALE460"/>
    <d v="2024-01-20T00:00:00"/>
    <x v="250"/>
    <s v="PROD77"/>
    <s v="STORE9"/>
    <n v="4"/>
    <n v="700.31"/>
    <n v="0.2"/>
    <x v="1"/>
    <n v="2240.9920000000002"/>
    <n v="1652346.0450000009"/>
    <n v="1072.9519772727278"/>
    <n v="535"/>
    <s v="High Value"/>
    <s v="Jan-2024"/>
    <s v="WiFi Mesh Router"/>
    <s v="Electronics"/>
    <x v="249"/>
  </r>
  <r>
    <s v="SALE461"/>
    <d v="2023-12-10T00:00:00"/>
    <x v="298"/>
    <s v="PROD91"/>
    <s v="STORE11"/>
    <n v="4"/>
    <n v="202.46"/>
    <n v="0.24"/>
    <x v="0"/>
    <n v="615.47840000000008"/>
    <n v="1650105.0530000008"/>
    <n v="1072.1930168940876"/>
    <n v="534"/>
    <s v="Low Value"/>
    <s v="Dec-2023"/>
    <s v="Women's High Heels"/>
    <s v="Clothing"/>
    <x v="296"/>
  </r>
  <r>
    <s v="SALE462"/>
    <d v="2023-12-19T00:00:00"/>
    <x v="299"/>
    <s v="PROD87"/>
    <s v="STORE1"/>
    <n v="2"/>
    <n v="291.83999999999997"/>
    <n v="0.25"/>
    <x v="1"/>
    <n v="437.76"/>
    <n v="1649489.5746000006"/>
    <n v="1072.4899704811448"/>
    <n v="534"/>
    <s v="Low Value"/>
    <s v="Dec-2023"/>
    <s v="LED Bedside Lamp"/>
    <s v="Home"/>
    <x v="297"/>
  </r>
  <r>
    <s v="SALE463"/>
    <d v="2023-11-22T00:00:00"/>
    <x v="300"/>
    <s v="PROD97"/>
    <s v="STORE5"/>
    <n v="2"/>
    <n v="261.48"/>
    <n v="0.17"/>
    <x v="0"/>
    <n v="434.05680000000001"/>
    <n v="1649051.8146000009"/>
    <n v="1072.9029372804171"/>
    <n v="533"/>
    <s v="Low Value"/>
    <s v="Nov-2023"/>
    <s v="Cricket Bat"/>
    <s v="Sports"/>
    <x v="298"/>
  </r>
  <r>
    <s v="SALE464"/>
    <d v="2025-10-08T00:00:00"/>
    <x v="301"/>
    <s v="PROD36"/>
    <s v="STORE14"/>
    <n v="1"/>
    <n v="850.83"/>
    <n v="0.28000000000000003"/>
    <x v="1"/>
    <n v="612.59760000000006"/>
    <n v="1648617.7578000007"/>
    <n v="1073.3188527343755"/>
    <n v="533"/>
    <s v="Low Value"/>
    <s v="Oct-2025"/>
    <s v="Women's Summer Dress"/>
    <s v="Clothing"/>
    <x v="299"/>
  </r>
  <r>
    <s v="SALE465"/>
    <d v="2025-02-23T00:00:00"/>
    <x v="131"/>
    <s v="PROD46"/>
    <s v="STORE9"/>
    <n v="1"/>
    <n v="83.83"/>
    <n v="0.05"/>
    <x v="0"/>
    <n v="79.638499999999993"/>
    <n v="1648005.1602000007"/>
    <n v="1073.6189968729645"/>
    <n v="532"/>
    <s v="Low Value"/>
    <s v="Feb-2025"/>
    <s v="Men's Winter Jacket"/>
    <s v="Clothing"/>
    <x v="130"/>
  </r>
  <r>
    <s v="SALE466"/>
    <d v="2025-02-25T00:00:00"/>
    <x v="279"/>
    <s v="PROD88"/>
    <s v="STORE16"/>
    <n v="3"/>
    <n v="649.95000000000005"/>
    <n v="0.28000000000000003"/>
    <x v="2"/>
    <n v="1403.8920000000001"/>
    <n v="1647925.5217000009"/>
    <n v="1074.2669632985665"/>
    <n v="532"/>
    <s v="High Value"/>
    <s v="Feb-2025"/>
    <s v="Sports Wrist Sweatbands"/>
    <s v="Sports"/>
    <x v="277"/>
  </r>
  <r>
    <s v="SALE467"/>
    <d v="2024-09-30T00:00:00"/>
    <x v="302"/>
    <s v="PROD73"/>
    <s v="STORE6"/>
    <n v="4"/>
    <n v="934.96"/>
    <n v="0.18"/>
    <x v="1"/>
    <n v="3066.6687999999999"/>
    <n v="1646521.6297000009"/>
    <n v="1074.0519437051539"/>
    <n v="532"/>
    <s v="High Value"/>
    <s v="Sep-2024"/>
    <s v="Shin Guards – Adult"/>
    <s v="Sports"/>
    <x v="300"/>
  </r>
  <r>
    <s v="SALE468"/>
    <d v="2023-12-19T00:00:00"/>
    <x v="271"/>
    <s v="PROD17"/>
    <s v="STORE14"/>
    <n v="1"/>
    <n v="880.89"/>
    <n v="0.13"/>
    <x v="2"/>
    <n v="766.37429999999995"/>
    <n v="1643454.960900001"/>
    <n v="1072.7512799608362"/>
    <n v="531"/>
    <s v="Low Value"/>
    <s v="Dec-2023"/>
    <s v="Soccer Training Cone Set"/>
    <s v="Sports"/>
    <x v="269"/>
  </r>
  <r>
    <s v="SALE469"/>
    <d v="2024-11-18T00:00:00"/>
    <x v="292"/>
    <s v="PROD98"/>
    <s v="STORE8"/>
    <n v="4"/>
    <n v="610.6"/>
    <n v="0.1"/>
    <x v="1"/>
    <n v="2198.16"/>
    <n v="1642688.586600001"/>
    <n v="1072.9513955584591"/>
    <n v="531"/>
    <s v="High Value"/>
    <s v="Nov-2024"/>
    <s v="Portable Bluetooth Speaker"/>
    <s v="Electronics"/>
    <x v="290"/>
  </r>
  <r>
    <s v="SALE470"/>
    <d v="2025-09-12T00:00:00"/>
    <x v="178"/>
    <s v="PROD28"/>
    <s v="STORE18"/>
    <n v="1"/>
    <n v="514.19000000000005"/>
    <n v="0.2"/>
    <x v="0"/>
    <n v="411.35200000000009"/>
    <n v="1640490.4266000011"/>
    <n v="1072.21596509804"/>
    <n v="530"/>
    <s v="Low Value"/>
    <s v="Sep-2025"/>
    <s v="Sports Stopwatch Timer"/>
    <s v="Sports"/>
    <x v="177"/>
  </r>
  <r>
    <s v="SALE471"/>
    <d v="2025-01-31T00:00:00"/>
    <x v="122"/>
    <s v="PROD37"/>
    <s v="STORE13"/>
    <n v="1"/>
    <n v="546.20000000000005"/>
    <n v="0.22"/>
    <x v="1"/>
    <n v="426.03600000000012"/>
    <n v="1640079.0746000013"/>
    <n v="1072.6481848266849"/>
    <n v="530"/>
    <s v="Low Value"/>
    <s v="Jan-2025"/>
    <s v="Men's Casual Sneakers"/>
    <s v="Clothing"/>
    <x v="121"/>
  </r>
  <r>
    <s v="SALE472"/>
    <d v="2024-10-26T00:00:00"/>
    <x v="303"/>
    <s v="PROD37"/>
    <s v="STORE0"/>
    <n v="3"/>
    <n v="416.01"/>
    <n v="0.02"/>
    <x v="0"/>
    <n v="1223.0694000000001"/>
    <n v="1639653.0386000013"/>
    <n v="1073.0713603403149"/>
    <n v="529"/>
    <s v="High Value"/>
    <s v="Oct-2024"/>
    <s v="Men's Casual Sneakers"/>
    <s v="Clothing"/>
    <x v="301"/>
  </r>
  <r>
    <s v="SALE473"/>
    <d v="2025-07-26T00:00:00"/>
    <x v="304"/>
    <s v="PROD74"/>
    <s v="STORE10"/>
    <n v="1"/>
    <n v="30.94"/>
    <n v="0.21"/>
    <x v="2"/>
    <n v="24.442599999999999"/>
    <n v="1638429.9692000011"/>
    <n v="1072.9731297969884"/>
    <n v="529"/>
    <s v="Low Value"/>
    <s v="Jul-2025"/>
    <s v="Bluetooth Car Audio System"/>
    <s v="Electronics"/>
    <x v="302"/>
  </r>
  <r>
    <s v="SALE474"/>
    <d v="2025-08-06T00:00:00"/>
    <x v="27"/>
    <s v="PROD58"/>
    <s v="STORE16"/>
    <n v="3"/>
    <n v="666.39"/>
    <n v="0.21"/>
    <x v="2"/>
    <n v="1579.3443"/>
    <n v="1638405.5266000011"/>
    <n v="1073.6602402359117"/>
    <n v="529"/>
    <s v="High Value"/>
    <s v="Aug-2025"/>
    <s v="Womens Cotton Scarf"/>
    <s v="Clothing"/>
    <x v="27"/>
  </r>
  <r>
    <s v="SALE475"/>
    <d v="2025-05-20T00:00:00"/>
    <x v="305"/>
    <s v="PROD81"/>
    <s v="STORE10"/>
    <n v="2"/>
    <n v="145.26"/>
    <n v="0.19"/>
    <x v="1"/>
    <n v="235.3212"/>
    <n v="1636826.1823000009"/>
    <n v="1073.3286441311482"/>
    <n v="529"/>
    <s v="Low Value"/>
    <s v="May-2025"/>
    <s v="Badminton Racket Set"/>
    <s v="Sports"/>
    <x v="303"/>
  </r>
  <r>
    <s v="SALE476"/>
    <d v="2024-03-13T00:00:00"/>
    <x v="208"/>
    <s v="PROD91"/>
    <s v="STORE5"/>
    <n v="4"/>
    <n v="940.77"/>
    <n v="0.24"/>
    <x v="2"/>
    <n v="2859.9407999999999"/>
    <n v="1636590.861100001"/>
    <n v="1073.8785177821528"/>
    <n v="528"/>
    <s v="High Value"/>
    <s v="Mar-2024"/>
    <s v="Women's High Heels"/>
    <s v="Clothing"/>
    <x v="207"/>
  </r>
  <r>
    <s v="SALE477"/>
    <d v="2025-02-12T00:00:00"/>
    <x v="262"/>
    <s v="PROD46"/>
    <s v="STORE17"/>
    <n v="1"/>
    <n v="708.88"/>
    <n v="0.09"/>
    <x v="0"/>
    <n v="645.08080000000007"/>
    <n v="1633730.9203000013"/>
    <n v="1072.7057913985564"/>
    <n v="528"/>
    <s v="Low Value"/>
    <s v="Feb-2025"/>
    <s v="Men's Winter Jacket"/>
    <s v="Clothing"/>
    <x v="261"/>
  </r>
  <r>
    <s v="SALE478"/>
    <d v="2025-09-24T00:00:00"/>
    <x v="132"/>
    <s v="PROD30"/>
    <s v="STORE2"/>
    <n v="1"/>
    <n v="790.73"/>
    <n v="0.24"/>
    <x v="1"/>
    <n v="600.95479999999998"/>
    <n v="1633085.8395000012"/>
    <n v="1072.9867539421821"/>
    <n v="528"/>
    <s v="Low Value"/>
    <s v="Sep-2025"/>
    <s v="Stainless Steel Cutlery Set"/>
    <s v="Home"/>
    <x v="131"/>
  </r>
  <r>
    <s v="SALE479"/>
    <d v="2024-10-09T00:00:00"/>
    <x v="194"/>
    <s v="PROD15"/>
    <s v="STORE9"/>
    <n v="3"/>
    <n v="635.13"/>
    <n v="0.09"/>
    <x v="1"/>
    <n v="1733.9049"/>
    <n v="1632484.8847000012"/>
    <n v="1073.2970971071672"/>
    <n v="527"/>
    <s v="High Value"/>
    <s v="Oct-2024"/>
    <s v="4K Home Projector"/>
    <s v="Electronics"/>
    <x v="193"/>
  </r>
  <r>
    <s v="SALE480"/>
    <d v="2023-11-03T00:00:00"/>
    <x v="176"/>
    <s v="PROD93"/>
    <s v="STORE14"/>
    <n v="1"/>
    <n v="744.88"/>
    <n v="0.15"/>
    <x v="2"/>
    <n v="633.14800000000002"/>
    <n v="1630750.9798000013"/>
    <n v="1072.862486710527"/>
    <n v="526"/>
    <s v="Low Value"/>
    <s v="Nov-2023"/>
    <s v="USB-C Laptop Charger"/>
    <s v="Electronics"/>
    <x v="175"/>
  </r>
  <r>
    <s v="SALE481"/>
    <d v="2025-03-29T00:00:00"/>
    <x v="79"/>
    <s v="PROD28"/>
    <s v="STORE1"/>
    <n v="3"/>
    <n v="205.34"/>
    <n v="0.25"/>
    <x v="0"/>
    <n v="462.01499999999999"/>
    <n v="1630117.8318000012"/>
    <n v="1073.1519630019757"/>
    <n v="526"/>
    <s v="Low Value"/>
    <s v="Mar-2025"/>
    <s v="Sports Stopwatch Timer"/>
    <s v="Sports"/>
    <x v="78"/>
  </r>
  <r>
    <s v="SALE482"/>
    <d v="2025-07-13T00:00:00"/>
    <x v="100"/>
    <s v="PROD29"/>
    <s v="STORE8"/>
    <n v="2"/>
    <n v="756.8"/>
    <n v="0.15"/>
    <x v="0"/>
    <n v="1286.56"/>
    <n v="1629655.8168000013"/>
    <n v="1073.5545565217401"/>
    <n v="526"/>
    <s v="High Value"/>
    <s v="Jul-2025"/>
    <s v="Fabric Sofa Throw Blanket"/>
    <s v="Home"/>
    <x v="99"/>
  </r>
  <r>
    <s v="SALE483"/>
    <d v="2024-01-17T00:00:00"/>
    <x v="197"/>
    <s v="PROD21"/>
    <s v="STORE10"/>
    <n v="1"/>
    <n v="771.73"/>
    <n v="0.2"/>
    <x v="0"/>
    <n v="617.38400000000001"/>
    <n v="1628369.2568000013"/>
    <n v="1073.4141442320376"/>
    <n v="526"/>
    <s v="Low Value"/>
    <s v="Jan-2024"/>
    <s v="Multi-Purpose Storage Box"/>
    <s v="Home"/>
    <x v="196"/>
  </r>
  <r>
    <s v="SALE484"/>
    <d v="2024-12-13T00:00:00"/>
    <x v="232"/>
    <s v="PROD66"/>
    <s v="STORE17"/>
    <n v="1"/>
    <n v="440.19"/>
    <n v="0.03"/>
    <x v="1"/>
    <n v="426.98430000000002"/>
    <n v="1627751.8728000012"/>
    <n v="1073.7149556728241"/>
    <n v="526"/>
    <s v="Low Value"/>
    <s v="Dec-2024"/>
    <s v="Women's Hair Dryer Brush"/>
    <s v="Beauty"/>
    <x v="231"/>
  </r>
  <r>
    <s v="SALE485"/>
    <d v="2025-09-19T00:00:00"/>
    <x v="234"/>
    <s v="PROD4"/>
    <s v="STORE2"/>
    <n v="2"/>
    <n v="409"/>
    <n v="0.17"/>
    <x v="0"/>
    <n v="678.93999999999994"/>
    <n v="1627324.888500001"/>
    <n v="1074.1418405940601"/>
    <n v="525"/>
    <s v="Low Value"/>
    <s v="Sep-2025"/>
    <s v="Women's Yoga Pants"/>
    <s v="Clothing"/>
    <x v="233"/>
  </r>
  <r>
    <s v="SALE486"/>
    <d v="2024-02-11T00:00:00"/>
    <x v="110"/>
    <s v="PROD38"/>
    <s v="STORE19"/>
    <n v="3"/>
    <n v="134.58000000000001"/>
    <n v="0.04"/>
    <x v="2"/>
    <n v="387.59039999999999"/>
    <n v="1626645.9485000011"/>
    <n v="1074.4028721928673"/>
    <n v="525"/>
    <s v="Low Value"/>
    <s v="Feb-2024"/>
    <s v="Sports Water Hydration Pack"/>
    <s v="Sports"/>
    <x v="109"/>
  </r>
  <r>
    <s v="SALE487"/>
    <d v="2025-06-03T00:00:00"/>
    <x v="14"/>
    <s v="PROD39"/>
    <s v="STORE7"/>
    <n v="4"/>
    <n v="284.44"/>
    <n v="0.02"/>
    <x v="0"/>
    <n v="1115.0047999999999"/>
    <n v="1626258.358100001"/>
    <n v="1074.8568130204897"/>
    <n v="525"/>
    <s v="High Value"/>
    <s v="Jun-2025"/>
    <s v="Portable Power Bank"/>
    <s v="Electronics"/>
    <x v="14"/>
  </r>
  <r>
    <s v="SALE488"/>
    <d v="2025-03-10T00:00:00"/>
    <x v="131"/>
    <s v="PROD73"/>
    <s v="STORE13"/>
    <n v="4"/>
    <n v="922.69"/>
    <n v="0.16"/>
    <x v="0"/>
    <n v="3100.2384000000002"/>
    <n v="1625143.353300001"/>
    <n v="1074.8302601190483"/>
    <n v="525"/>
    <s v="High Value"/>
    <s v="Mar-2025"/>
    <s v="Shin Guards – Adult"/>
    <s v="Sports"/>
    <x v="130"/>
  </r>
  <r>
    <s v="SALE489"/>
    <d v="2024-12-18T00:00:00"/>
    <x v="185"/>
    <s v="PROD36"/>
    <s v="STORE6"/>
    <n v="2"/>
    <n v="992.55"/>
    <n v="0.28000000000000003"/>
    <x v="0"/>
    <n v="1429.2719999999999"/>
    <n v="1622043.1149000011"/>
    <n v="1073.489817935143"/>
    <n v="525"/>
    <s v="High Value"/>
    <s v="Dec-2024"/>
    <s v="Women's Summer Dress"/>
    <s v="Clothing"/>
    <x v="184"/>
  </r>
  <r>
    <s v="SALE490"/>
    <d v="2024-03-20T00:00:00"/>
    <x v="306"/>
    <s v="PROD89"/>
    <s v="STORE18"/>
    <n v="1"/>
    <n v="170.43"/>
    <n v="0.03"/>
    <x v="0"/>
    <n v="165.31710000000001"/>
    <n v="1620613.842900001"/>
    <n v="1073.2542005960272"/>
    <n v="525"/>
    <s v="Low Value"/>
    <s v="Mar-2024"/>
    <s v="Face Foundation Kit"/>
    <s v="Beauty"/>
    <x v="304"/>
  </r>
  <r>
    <s v="SALE491"/>
    <d v="2024-06-19T00:00:00"/>
    <x v="307"/>
    <s v="PROD72"/>
    <s v="STORE2"/>
    <n v="3"/>
    <n v="480.51"/>
    <n v="0.03"/>
    <x v="0"/>
    <n v="1398.2841000000001"/>
    <n v="1620448.5258000009"/>
    <n v="1073.8558819085492"/>
    <n v="525"/>
    <s v="High Value"/>
    <s v="Jun-2024"/>
    <s v="Professional Jump Rope"/>
    <s v="Sports"/>
    <x v="305"/>
  </r>
  <r>
    <s v="SALE492"/>
    <d v="2024-12-06T00:00:00"/>
    <x v="308"/>
    <s v="PROD49"/>
    <s v="STORE7"/>
    <n v="2"/>
    <n v="955.66"/>
    <n v="0.28999999999999998"/>
    <x v="2"/>
    <n v="1357.0372"/>
    <n v="1619050.2417000008"/>
    <n v="1073.6407438328918"/>
    <n v="525"/>
    <s v="High Value"/>
    <s v="Dec-2024"/>
    <s v="Men's Roll-On Perfume"/>
    <s v="Beauty"/>
    <x v="306"/>
  </r>
  <r>
    <s v="SALE493"/>
    <d v="2025-07-25T00:00:00"/>
    <x v="231"/>
    <s v="PROD72"/>
    <s v="STORE0"/>
    <n v="2"/>
    <n v="488.02"/>
    <n v="0.27"/>
    <x v="1"/>
    <n v="712.50919999999996"/>
    <n v="1617693.2045000007"/>
    <n v="1073.4526904445925"/>
    <n v="525"/>
    <s v="Low Value"/>
    <s v="Jul-2025"/>
    <s v="Professional Jump Rope"/>
    <s v="Sports"/>
    <x v="230"/>
  </r>
  <r>
    <s v="SALE494"/>
    <d v="2024-07-28T00:00:00"/>
    <x v="195"/>
    <s v="PROD18"/>
    <s v="STORE0"/>
    <n v="1"/>
    <n v="917.17"/>
    <n v="0.13"/>
    <x v="2"/>
    <n v="797.93790000000001"/>
    <n v="1616980.695300001"/>
    <n v="1073.6923607569727"/>
    <n v="524"/>
    <s v="Low Value"/>
    <s v="Jul-2024"/>
    <s v="Women's Denim Jeans"/>
    <s v="Clothing"/>
    <x v="194"/>
  </r>
  <r>
    <s v="SALE495"/>
    <d v="2024-10-03T00:00:00"/>
    <x v="49"/>
    <s v="PROD8"/>
    <s v="STORE5"/>
    <n v="2"/>
    <n v="406.46"/>
    <n v="0.3"/>
    <x v="1"/>
    <n v="569.04399999999998"/>
    <n v="1616182.7574000007"/>
    <n v="1073.8755863122929"/>
    <n v="524"/>
    <s v="Low Value"/>
    <s v="Oct-2024"/>
    <s v="Wireless Bluetooth Earbuds"/>
    <s v="Electronics"/>
    <x v="49"/>
  </r>
  <r>
    <s v="SALE496"/>
    <d v="2023-11-08T00:00:00"/>
    <x v="309"/>
    <s v="PROD95"/>
    <s v="STORE0"/>
    <n v="2"/>
    <n v="264.39"/>
    <n v="0.11"/>
    <x v="2"/>
    <n v="470.61419999999998"/>
    <n v="1615613.7134000009"/>
    <n v="1074.2112456117027"/>
    <n v="523"/>
    <s v="Low Value"/>
    <s v="Nov-2023"/>
    <s v="Sports Stopwatch Basic"/>
    <s v="Sports"/>
    <x v="307"/>
  </r>
  <r>
    <s v="SALE497"/>
    <d v="2025-04-07T00:00:00"/>
    <x v="226"/>
    <s v="PROD68"/>
    <s v="STORE16"/>
    <n v="1"/>
    <n v="414.97"/>
    <n v="0.22"/>
    <x v="1"/>
    <n v="323.67660000000001"/>
    <n v="1615143.099200001"/>
    <n v="1074.6128404524291"/>
    <n v="523"/>
    <s v="Low Value"/>
    <s v="Apr-2025"/>
    <s v="Wooden Nightstand"/>
    <s v="Home"/>
    <x v="225"/>
  </r>
  <r>
    <s v="SALE498"/>
    <d v="2023-12-20T00:00:00"/>
    <x v="310"/>
    <s v="PROD25"/>
    <s v="STORE12"/>
    <n v="2"/>
    <n v="583.51"/>
    <n v="0.2"/>
    <x v="2"/>
    <n v="933.61599999999999"/>
    <n v="1614819.4226000009"/>
    <n v="1075.1127980026638"/>
    <n v="522"/>
    <s v="Low Value"/>
    <s v="Dec-2023"/>
    <s v="Women's Scarf Set"/>
    <s v="Clothing"/>
    <x v="308"/>
  </r>
  <r>
    <s v="SALE499"/>
    <d v="2025-09-11T00:00:00"/>
    <x v="311"/>
    <s v="PROD31"/>
    <s v="STORE17"/>
    <n v="1"/>
    <n v="659.27"/>
    <n v="0.15"/>
    <x v="1"/>
    <n v="560.37950000000001"/>
    <n v="1613885.8066000009"/>
    <n v="1075.2070663557633"/>
    <n v="522"/>
    <s v="Low Value"/>
    <s v="Sep-2025"/>
    <s v="Basketball"/>
    <s v="Sports"/>
    <x v="309"/>
  </r>
  <r>
    <s v="SALE500"/>
    <d v="2024-12-01T00:00:00"/>
    <x v="312"/>
    <s v="PROD2"/>
    <s v="STORE4"/>
    <n v="4"/>
    <n v="106.66"/>
    <n v="0.2"/>
    <x v="2"/>
    <n v="341.31200000000001"/>
    <n v="1613325.4271000009"/>
    <n v="1075.5502847333339"/>
    <n v="521"/>
    <s v="Low Value"/>
    <s v="Dec-2024"/>
    <s v="Women's Casual Hoodie"/>
    <s v="Clothing"/>
    <x v="310"/>
  </r>
  <r>
    <s v="SALE501"/>
    <d v="2024-11-21T00:00:00"/>
    <x v="300"/>
    <s v="PROD10"/>
    <s v="STORE5"/>
    <n v="4"/>
    <n v="168.55"/>
    <n v="0.15"/>
    <x v="1"/>
    <n v="573.07000000000005"/>
    <n v="1612984.1151000008"/>
    <n v="1076.0401034689799"/>
    <n v="521"/>
    <s v="Low Value"/>
    <s v="Nov-2024"/>
    <s v="Ceramic Kitchen Bowl Set"/>
    <s v="Home"/>
    <x v="298"/>
  </r>
  <r>
    <s v="SALE502"/>
    <d v="2025-08-30T00:00:00"/>
    <x v="289"/>
    <s v="PROD44"/>
    <s v="STORE2"/>
    <n v="1"/>
    <n v="230.53"/>
    <n v="0.06"/>
    <x v="2"/>
    <n v="216.69820000000001"/>
    <n v="1612411.0451000007"/>
    <n v="1076.3758645527375"/>
    <n v="520"/>
    <s v="Low Value"/>
    <s v="Aug-2025"/>
    <s v="Adjustable Jump Rope"/>
    <s v="Sports"/>
    <x v="287"/>
  </r>
  <r>
    <s v="SALE503"/>
    <d v="2025-08-20T00:00:00"/>
    <x v="69"/>
    <s v="PROD54"/>
    <s v="STORE1"/>
    <n v="2"/>
    <n v="355.41"/>
    <n v="0.13"/>
    <x v="2"/>
    <n v="618.41340000000002"/>
    <n v="1612194.3469000007"/>
    <n v="1076.9501315297266"/>
    <n v="520"/>
    <s v="Low Value"/>
    <s v="Aug-2025"/>
    <s v="Sports Stopwatch Pro"/>
    <s v="Sports"/>
    <x v="68"/>
  </r>
  <r>
    <s v="SALE504"/>
    <d v="2025-10-13T00:00:00"/>
    <x v="313"/>
    <s v="PROD47"/>
    <s v="STORE2"/>
    <n v="3"/>
    <n v="843.44"/>
    <n v="0.22"/>
    <x v="0"/>
    <n v="1973.6496"/>
    <n v="1611575.9335000005"/>
    <n v="1077.2566400401072"/>
    <n v="520"/>
    <s v="High Value"/>
    <s v="Oct-2025"/>
    <s v="Makeup Brush Set"/>
    <s v="Beauty"/>
    <x v="311"/>
  </r>
  <r>
    <s v="SALE505"/>
    <d v="2024-01-15T00:00:00"/>
    <x v="300"/>
    <s v="PROD95"/>
    <s v="STORE1"/>
    <n v="1"/>
    <n v="301.60000000000002"/>
    <n v="0.27"/>
    <x v="0"/>
    <n v="220.16800000000001"/>
    <n v="1609602.2839000006"/>
    <n v="1076.6570460869568"/>
    <n v="520"/>
    <s v="Low Value"/>
    <s v="Jan-2024"/>
    <s v="Sports Stopwatch Basic"/>
    <s v="Sports"/>
    <x v="298"/>
  </r>
  <r>
    <s v="SALE506"/>
    <d v="2025-04-25T00:00:00"/>
    <x v="229"/>
    <s v="PROD89"/>
    <s v="STORE2"/>
    <n v="3"/>
    <n v="21.59"/>
    <n v="0.16"/>
    <x v="2"/>
    <n v="54.406799999999997"/>
    <n v="1609382.1159000008"/>
    <n v="1077.2303319277114"/>
    <n v="520"/>
    <s v="Low Value"/>
    <s v="Apr-2025"/>
    <s v="Face Foundation Kit"/>
    <s v="Beauty"/>
    <x v="228"/>
  </r>
  <r>
    <s v="SALE507"/>
    <d v="2024-02-24T00:00:00"/>
    <x v="314"/>
    <s v="PROD13"/>
    <s v="STORE2"/>
    <n v="4"/>
    <n v="284.24"/>
    <n v="0.09"/>
    <x v="0"/>
    <n v="1034.6335999999999"/>
    <n v="1609327.7091000008"/>
    <n v="1077.9154113194916"/>
    <n v="520"/>
    <s v="High Value"/>
    <s v="Feb-2024"/>
    <s v="USB-C Fast Charger"/>
    <s v="Electronics"/>
    <x v="312"/>
  </r>
  <r>
    <s v="SALE508"/>
    <d v="2024-12-30T00:00:00"/>
    <x v="23"/>
    <s v="PROD5"/>
    <s v="STORE9"/>
    <n v="1"/>
    <n v="191.6"/>
    <n v="0.27"/>
    <x v="1"/>
    <n v="139.86799999999999"/>
    <n v="1608293.0755000007"/>
    <n v="1077.944420576408"/>
    <n v="520"/>
    <s v="Low Value"/>
    <s v="Dec-2024"/>
    <s v="Men's Leather Belt"/>
    <s v="Clothing"/>
    <x v="23"/>
  </r>
  <r>
    <s v="SALE509"/>
    <d v="2025-04-15T00:00:00"/>
    <x v="315"/>
    <s v="PROD78"/>
    <s v="STORE12"/>
    <n v="2"/>
    <n v="616.97"/>
    <n v="0.22"/>
    <x v="0"/>
    <n v="962.47320000000002"/>
    <n v="1608153.2075000007"/>
    <n v="1078.5735798122071"/>
    <n v="519"/>
    <s v="Low Value"/>
    <s v="Apr-2025"/>
    <s v="Essential Oil Diffuser"/>
    <s v="Home"/>
    <x v="313"/>
  </r>
  <r>
    <s v="SALE510"/>
    <d v="2024-10-15T00:00:00"/>
    <x v="64"/>
    <s v="PROD28"/>
    <s v="STORE10"/>
    <n v="3"/>
    <n v="125.68"/>
    <n v="0.26"/>
    <x v="2"/>
    <n v="279.00959999999998"/>
    <n v="1607190.7343000008"/>
    <n v="1078.6514995302018"/>
    <n v="519"/>
    <s v="Low Value"/>
    <s v="Oct-2024"/>
    <s v="Sports Stopwatch Timer"/>
    <s v="Sports"/>
    <x v="63"/>
  </r>
  <r>
    <s v="SALE511"/>
    <d v="2025-01-19T00:00:00"/>
    <x v="316"/>
    <s v="PROD43"/>
    <s v="STORE4"/>
    <n v="3"/>
    <n v="307.48"/>
    <n v="0.24"/>
    <x v="0"/>
    <n v="701.0544000000001"/>
    <n v="1606911.7247000011"/>
    <n v="1079.1885323707193"/>
    <n v="519"/>
    <s v="Low Value"/>
    <s v="Jan-2025"/>
    <s v="USB External Hard Drive"/>
    <s v="Electronics"/>
    <x v="314"/>
  </r>
  <r>
    <s v="SALE512"/>
    <d v="2024-07-22T00:00:00"/>
    <x v="83"/>
    <s v="PROD2"/>
    <s v="STORE19"/>
    <n v="1"/>
    <n v="505.23"/>
    <n v="0.11"/>
    <x v="0"/>
    <n v="449.65469999999999"/>
    <n v="1606210.6703000008"/>
    <n v="1079.4426547715059"/>
    <n v="519"/>
    <s v="Low Value"/>
    <s v="Jul-2024"/>
    <s v="Women's Casual Hoodie"/>
    <s v="Clothing"/>
    <x v="82"/>
  </r>
  <r>
    <s v="SALE513"/>
    <d v="2025-03-19T00:00:00"/>
    <x v="317"/>
    <s v="PROD45"/>
    <s v="STORE16"/>
    <n v="1"/>
    <n v="853.12"/>
    <n v="0.19"/>
    <x v="2"/>
    <n v="691.02719999999999"/>
    <n v="1605761.0156000007"/>
    <n v="1079.8661839946205"/>
    <n v="519"/>
    <s v="Low Value"/>
    <s v="Mar-2025"/>
    <s v="High-Grip Football"/>
    <s v="Sports"/>
    <x v="315"/>
  </r>
  <r>
    <s v="SALE514"/>
    <d v="2024-01-21T00:00:00"/>
    <x v="298"/>
    <s v="PROD0"/>
    <s v="STORE7"/>
    <n v="4"/>
    <n v="191.65"/>
    <n v="0.19"/>
    <x v="1"/>
    <n v="620.94600000000003"/>
    <n v="1605069.9884000008"/>
    <n v="1080.1278522207274"/>
    <n v="519"/>
    <s v="Low Value"/>
    <s v="Jan-2024"/>
    <s v="Brother Laser Printer"/>
    <s v="Electronics"/>
    <x v="296"/>
  </r>
  <r>
    <s v="SALE515"/>
    <d v="2023-12-26T00:00:00"/>
    <x v="318"/>
    <s v="PROD47"/>
    <s v="STORE3"/>
    <n v="1"/>
    <n v="169.69"/>
    <n v="0.22"/>
    <x v="0"/>
    <n v="132.35820000000001"/>
    <n v="1604449.0424000008"/>
    <n v="1080.4370655892262"/>
    <n v="518"/>
    <s v="Low Value"/>
    <s v="Dec-2023"/>
    <s v="Makeup Brush Set"/>
    <s v="Beauty"/>
    <x v="316"/>
  </r>
  <r>
    <s v="SALE516"/>
    <d v="2024-03-21T00:00:00"/>
    <x v="143"/>
    <s v="PROD62"/>
    <s v="STORE14"/>
    <n v="1"/>
    <n v="145.43"/>
    <n v="0.08"/>
    <x v="0"/>
    <n v="133.79560000000001"/>
    <n v="1604316.6842000009"/>
    <n v="1081.0759327493267"/>
    <n v="518"/>
    <s v="Low Value"/>
    <s v="Mar-2024"/>
    <s v="Laptop Cooling Pad"/>
    <s v="Electronics"/>
    <x v="142"/>
  </r>
  <r>
    <s v="SALE517"/>
    <d v="2024-12-07T00:00:00"/>
    <x v="42"/>
    <s v="PROD93"/>
    <s v="STORE12"/>
    <n v="4"/>
    <n v="828.35"/>
    <n v="0.17"/>
    <x v="0"/>
    <n v="2750.1219999999998"/>
    <n v="1604182.8886000009"/>
    <n v="1081.714692245449"/>
    <n v="518"/>
    <s v="High Value"/>
    <s v="Dec-2024"/>
    <s v="USB-C Laptop Charger"/>
    <s v="Electronics"/>
    <x v="42"/>
  </r>
  <r>
    <s v="SALE518"/>
    <d v="2024-11-02T00:00:00"/>
    <x v="319"/>
    <s v="PROD95"/>
    <s v="STORE7"/>
    <n v="3"/>
    <n v="268.76"/>
    <n v="0.01"/>
    <x v="1"/>
    <n v="798.21719999999993"/>
    <n v="1601432.7666000009"/>
    <n v="1080.5889113360331"/>
    <n v="518"/>
    <s v="Low Value"/>
    <s v="Nov-2024"/>
    <s v="Sports Stopwatch Basic"/>
    <s v="Sports"/>
    <x v="317"/>
  </r>
  <r>
    <s v="SALE519"/>
    <d v="2024-07-22T00:00:00"/>
    <x v="320"/>
    <s v="PROD88"/>
    <s v="STORE0"/>
    <n v="4"/>
    <n v="370.09"/>
    <n v="0.22"/>
    <x v="2"/>
    <n v="1154.6808000000001"/>
    <n v="1600634.5494000008"/>
    <n v="1080.7795742066178"/>
    <n v="517"/>
    <s v="High Value"/>
    <s v="Jul-2024"/>
    <s v="Sports Wrist Sweatbands"/>
    <s v="Sports"/>
    <x v="318"/>
  </r>
  <r>
    <s v="SALE520"/>
    <d v="2023-10-30T00:00:00"/>
    <x v="73"/>
    <s v="PROD78"/>
    <s v="STORE6"/>
    <n v="3"/>
    <n v="679.22"/>
    <n v="0.11"/>
    <x v="1"/>
    <n v="1813.5174"/>
    <n v="1599479.8686000006"/>
    <n v="1080.7296409459464"/>
    <n v="517"/>
    <s v="High Value"/>
    <s v="Oct-2023"/>
    <s v="Essential Oil Diffuser"/>
    <s v="Home"/>
    <x v="72"/>
  </r>
  <r>
    <s v="SALE521"/>
    <d v="2024-05-21T00:00:00"/>
    <x v="141"/>
    <s v="PROD73"/>
    <s v="STORE0"/>
    <n v="3"/>
    <n v="780.69"/>
    <n v="0.1"/>
    <x v="2"/>
    <n v="2107.8629999999998"/>
    <n v="1597666.3512000006"/>
    <n v="1080.2341793103453"/>
    <n v="516"/>
    <s v="High Value"/>
    <s v="May-2024"/>
    <s v="Shin Guards – Adult"/>
    <s v="Sports"/>
    <x v="140"/>
  </r>
  <r>
    <s v="SALE522"/>
    <d v="2025-04-19T00:00:00"/>
    <x v="321"/>
    <s v="PROD42"/>
    <s v="STORE2"/>
    <n v="2"/>
    <n v="42.97"/>
    <n v="0.18"/>
    <x v="1"/>
    <n v="70.470799999999997"/>
    <n v="1595558.4882000007"/>
    <n v="1079.5388959404606"/>
    <n v="516"/>
    <s v="Low Value"/>
    <s v="Apr-2025"/>
    <s v="Smart Home WiFi Camera"/>
    <s v="Electronics"/>
    <x v="319"/>
  </r>
  <r>
    <s v="SALE523"/>
    <d v="2024-12-13T00:00:00"/>
    <x v="322"/>
    <s v="PROD82"/>
    <s v="STORE0"/>
    <n v="4"/>
    <n v="854.37"/>
    <n v="7.0000000000000007E-2"/>
    <x v="1"/>
    <n v="3178.2564000000002"/>
    <n v="1595488.0174000007"/>
    <n v="1080.2220835477324"/>
    <n v="515"/>
    <s v="High Value"/>
    <s v="Dec-2024"/>
    <s v="Fitness Resistance Bands"/>
    <s v="Sports"/>
    <x v="320"/>
  </r>
  <r>
    <s v="SALE524"/>
    <d v="2025-04-27T00:00:00"/>
    <x v="323"/>
    <s v="PROD24"/>
    <s v="STORE16"/>
    <n v="2"/>
    <n v="409.52"/>
    <n v="0.06"/>
    <x v="2"/>
    <n v="769.8975999999999"/>
    <n v="1592309.7610000009"/>
    <n v="1078.8006510840114"/>
    <n v="514"/>
    <s v="Low Value"/>
    <s v="Apr-2025"/>
    <s v="Foldable Camping Chair"/>
    <s v="Sports"/>
    <x v="321"/>
  </r>
  <r>
    <s v="SALE525"/>
    <d v="2024-10-04T00:00:00"/>
    <x v="112"/>
    <s v="PROD74"/>
    <s v="STORE10"/>
    <n v="2"/>
    <n v="407.46"/>
    <n v="0.21"/>
    <x v="0"/>
    <n v="643.78679999999997"/>
    <n v="1591539.8634000008"/>
    <n v="1079.0100768813566"/>
    <n v="514"/>
    <s v="Low Value"/>
    <s v="Oct-2024"/>
    <s v="Bluetooth Car Audio System"/>
    <s v="Electronics"/>
    <x v="111"/>
  </r>
  <r>
    <s v="SALE526"/>
    <d v="2025-07-18T00:00:00"/>
    <x v="324"/>
    <s v="PROD4"/>
    <s v="STORE8"/>
    <n v="1"/>
    <n v="728.84"/>
    <n v="0.28000000000000003"/>
    <x v="1"/>
    <n v="524.76480000000004"/>
    <n v="1590896.076600001"/>
    <n v="1079.3053436906384"/>
    <n v="514"/>
    <s v="Low Value"/>
    <s v="Jul-2025"/>
    <s v="Women's Yoga Pants"/>
    <s v="Clothing"/>
    <x v="322"/>
  </r>
  <r>
    <s v="SALE527"/>
    <d v="2024-03-11T00:00:00"/>
    <x v="32"/>
    <s v="PROD78"/>
    <s v="STORE6"/>
    <n v="4"/>
    <n v="467.24"/>
    <n v="0.08"/>
    <x v="1"/>
    <n v="1719.4431999999999"/>
    <n v="1590371.3118000007"/>
    <n v="1079.6818138492877"/>
    <n v="513"/>
    <s v="High Value"/>
    <s v="Mar-2024"/>
    <s v="Essential Oil Diffuser"/>
    <s v="Home"/>
    <x v="32"/>
  </r>
  <r>
    <s v="SALE528"/>
    <d v="2024-06-14T00:00:00"/>
    <x v="325"/>
    <s v="PROD10"/>
    <s v="STORE11"/>
    <n v="1"/>
    <n v="57.94"/>
    <n v="0.13"/>
    <x v="1"/>
    <n v="50.407799999999988"/>
    <n v="1588651.8686000009"/>
    <n v="1079.2471933423919"/>
    <n v="512"/>
    <s v="Low Value"/>
    <s v="Jun-2024"/>
    <s v="Ceramic Kitchen Bowl Set"/>
    <s v="Home"/>
    <x v="323"/>
  </r>
  <r>
    <s v="SALE529"/>
    <d v="2024-02-16T00:00:00"/>
    <x v="33"/>
    <s v="PROD49"/>
    <s v="STORE17"/>
    <n v="1"/>
    <n v="540.1"/>
    <n v="0.22"/>
    <x v="0"/>
    <n v="421.27800000000002"/>
    <n v="1588601.4608000009"/>
    <n v="1079.9466082936783"/>
    <n v="511"/>
    <s v="Low Value"/>
    <s v="Feb-2024"/>
    <s v="Men's Roll-On Perfume"/>
    <s v="Beauty"/>
    <x v="33"/>
  </r>
  <r>
    <s v="SALE530"/>
    <d v="2024-09-17T00:00:00"/>
    <x v="259"/>
    <s v="PROD8"/>
    <s v="STORE19"/>
    <n v="4"/>
    <n v="816.28"/>
    <n v="0.15"/>
    <x v="2"/>
    <n v="2775.3519999999999"/>
    <n v="1588180.1828000008"/>
    <n v="1080.3946821768714"/>
    <n v="511"/>
    <s v="High Value"/>
    <s v="Sep-2024"/>
    <s v="Wireless Bluetooth Earbuds"/>
    <s v="Electronics"/>
    <x v="258"/>
  </r>
  <r>
    <s v="SALE531"/>
    <d v="2025-08-26T00:00:00"/>
    <x v="118"/>
    <s v="PROD42"/>
    <s v="STORE8"/>
    <n v="4"/>
    <n v="727.49"/>
    <n v="0.11"/>
    <x v="0"/>
    <n v="2589.8643999999999"/>
    <n v="1585404.8308000003"/>
    <n v="1079.2408650782847"/>
    <n v="511"/>
    <s v="High Value"/>
    <s v="Aug-2025"/>
    <s v="Smart Home WiFi Camera"/>
    <s v="Electronics"/>
    <x v="117"/>
  </r>
  <r>
    <s v="SALE532"/>
    <d v="2024-06-04T00:00:00"/>
    <x v="120"/>
    <s v="PROD86"/>
    <s v="STORE13"/>
    <n v="4"/>
    <n v="817.92"/>
    <n v="0.21"/>
    <x v="0"/>
    <n v="2584.6271999999999"/>
    <n v="1582814.9664000007"/>
    <n v="1078.2118299727526"/>
    <n v="511"/>
    <s v="High Value"/>
    <s v="Jun-2024"/>
    <s v="Kitchen Cutting Board"/>
    <s v="Home"/>
    <x v="119"/>
  </r>
  <r>
    <s v="SALE533"/>
    <d v="2024-10-13T00:00:00"/>
    <x v="88"/>
    <s v="PROD38"/>
    <s v="STORE7"/>
    <n v="2"/>
    <n v="358.45"/>
    <n v="7.0000000000000007E-2"/>
    <x v="2"/>
    <n v="666.71699999999998"/>
    <n v="1580230.3392000003"/>
    <n v="1077.1849619631903"/>
    <n v="511"/>
    <s v="Low Value"/>
    <s v="Oct-2024"/>
    <s v="Sports Water Hydration Pack"/>
    <s v="Sports"/>
    <x v="87"/>
  </r>
  <r>
    <s v="SALE534"/>
    <d v="2025-02-09T00:00:00"/>
    <x v="114"/>
    <s v="PROD87"/>
    <s v="STORE9"/>
    <n v="1"/>
    <n v="972.06"/>
    <n v="0.3"/>
    <x v="2"/>
    <n v="680.44199999999989"/>
    <n v="1579563.6222000003"/>
    <n v="1077.4649537517055"/>
    <n v="511"/>
    <s v="Low Value"/>
    <s v="Feb-2025"/>
    <s v="LED Bedside Lamp"/>
    <s v="Home"/>
    <x v="113"/>
  </r>
  <r>
    <s v="SALE535"/>
    <d v="2023-12-21T00:00:00"/>
    <x v="326"/>
    <s v="PROD16"/>
    <s v="STORE0"/>
    <n v="1"/>
    <n v="791.36"/>
    <n v="0.06"/>
    <x v="1"/>
    <n v="743.87839999999994"/>
    <n v="1578883.1802000003"/>
    <n v="1077.7359591808877"/>
    <n v="511"/>
    <s v="Low Value"/>
    <s v="Dec-2023"/>
    <s v="Beard Grooming Kit"/>
    <s v="Beauty"/>
    <x v="324"/>
  </r>
  <r>
    <s v="SALE536"/>
    <d v="2025-07-17T00:00:00"/>
    <x v="130"/>
    <s v="PROD64"/>
    <s v="STORE5"/>
    <n v="4"/>
    <n v="839.65"/>
    <n v="0.26"/>
    <x v="2"/>
    <n v="2485.364"/>
    <n v="1578139.3018000005"/>
    <n v="1077.9640039617489"/>
    <n v="510"/>
    <s v="High Value"/>
    <s v="Jul-2025"/>
    <s v="Matte Lipstick Set"/>
    <s v="Beauty"/>
    <x v="129"/>
  </r>
  <r>
    <s v="SALE537"/>
    <d v="2025-05-16T00:00:00"/>
    <x v="57"/>
    <s v="PROD72"/>
    <s v="STORE2"/>
    <n v="2"/>
    <n v="245.52"/>
    <n v="0.11"/>
    <x v="2"/>
    <n v="437.0256"/>
    <n v="1575653.9378000004"/>
    <n v="1077.0020080656188"/>
    <n v="510"/>
    <s v="Low Value"/>
    <s v="May-2025"/>
    <s v="Professional Jump Rope"/>
    <s v="Sports"/>
    <x v="57"/>
  </r>
  <r>
    <s v="SALE538"/>
    <d v="2025-08-12T00:00:00"/>
    <x v="327"/>
    <s v="PROD82"/>
    <s v="STORE8"/>
    <n v="3"/>
    <n v="787.91"/>
    <n v="0.06"/>
    <x v="1"/>
    <n v="2221.9061999999999"/>
    <n v="1575216.9122000004"/>
    <n v="1077.4397484268129"/>
    <n v="510"/>
    <s v="High Value"/>
    <s v="Aug-2025"/>
    <s v="Fitness Resistance Bands"/>
    <s v="Sports"/>
    <x v="325"/>
  </r>
  <r>
    <s v="SALE539"/>
    <d v="2025-08-21T00:00:00"/>
    <x v="286"/>
    <s v="PROD75"/>
    <s v="STORE4"/>
    <n v="2"/>
    <n v="709.17"/>
    <n v="0.22"/>
    <x v="0"/>
    <n v="1106.3052"/>
    <n v="1572995.0060000003"/>
    <n v="1076.6564038329914"/>
    <n v="509"/>
    <s v="High Value"/>
    <s v="Aug-2025"/>
    <s v="Women's Ankle Boots"/>
    <s v="Clothing"/>
    <x v="284"/>
  </r>
  <r>
    <s v="SALE540"/>
    <d v="2023-11-21T00:00:00"/>
    <x v="328"/>
    <s v="PROD91"/>
    <s v="STORE7"/>
    <n v="2"/>
    <n v="533.91999999999996"/>
    <n v="0.13"/>
    <x v="0"/>
    <n v="929.02079999999989"/>
    <n v="1571888.7008000002"/>
    <n v="1076.6360964383564"/>
    <n v="509"/>
    <s v="Low Value"/>
    <s v="Nov-2023"/>
    <s v="Women's High Heels"/>
    <s v="Clothing"/>
    <x v="326"/>
  </r>
  <r>
    <s v="SALE541"/>
    <d v="2025-02-07T00:00:00"/>
    <x v="36"/>
    <s v="PROD42"/>
    <s v="STORE0"/>
    <n v="1"/>
    <n v="878.84"/>
    <n v="0.28000000000000003"/>
    <x v="2"/>
    <n v="632.76480000000004"/>
    <n v="1570959.6800000006"/>
    <n v="1076.7372721041813"/>
    <n v="509"/>
    <s v="Low Value"/>
    <s v="Feb-2025"/>
    <s v="Smart Home WiFi Camera"/>
    <s v="Electronics"/>
    <x v="36"/>
  </r>
  <r>
    <s v="SALE542"/>
    <d v="2023-12-27T00:00:00"/>
    <x v="329"/>
    <s v="PROD44"/>
    <s v="STORE16"/>
    <n v="1"/>
    <n v="442.36"/>
    <n v="0.14000000000000001"/>
    <x v="0"/>
    <n v="380.42959999999999"/>
    <n v="1570326.9152000004"/>
    <n v="1077.0417799725653"/>
    <n v="509"/>
    <s v="Low Value"/>
    <s v="Dec-2023"/>
    <s v="Adjustable Jump Rope"/>
    <s v="Sports"/>
    <x v="327"/>
  </r>
  <r>
    <s v="SALE543"/>
    <d v="2025-02-23T00:00:00"/>
    <x v="203"/>
    <s v="PROD35"/>
    <s v="STORE6"/>
    <n v="1"/>
    <n v="763.34"/>
    <n v="0.11"/>
    <x v="2"/>
    <n v="679.37260000000003"/>
    <n v="1569946.4856000005"/>
    <n v="1077.5198940288267"/>
    <n v="509"/>
    <s v="Low Value"/>
    <s v="Feb-2025"/>
    <s v="Bedroom Table Lamp"/>
    <s v="Home"/>
    <x v="202"/>
  </r>
  <r>
    <s v="SALE544"/>
    <d v="2025-07-04T00:00:00"/>
    <x v="305"/>
    <s v="PROD59"/>
    <s v="STORE18"/>
    <n v="3"/>
    <n v="178.22"/>
    <n v="0.15"/>
    <x v="2"/>
    <n v="454.46100000000001"/>
    <n v="1569267.1130000004"/>
    <n v="1077.7933468406595"/>
    <n v="509"/>
    <s v="Low Value"/>
    <s v="Jul-2025"/>
    <s v="Men's Hair Styling Gel"/>
    <s v="Beauty"/>
    <x v="303"/>
  </r>
  <r>
    <s v="SALE545"/>
    <d v="2023-11-25T00:00:00"/>
    <x v="202"/>
    <s v="PROD26"/>
    <s v="STORE1"/>
    <n v="4"/>
    <n v="90.32"/>
    <n v="0.08"/>
    <x v="1"/>
    <n v="332.37759999999997"/>
    <n v="1568812.6520000002"/>
    <n v="1078.2217539518902"/>
    <n v="509"/>
    <s v="Low Value"/>
    <s v="Nov-2023"/>
    <s v="Wireless Bluetooth Speaker"/>
    <s v="Electronics"/>
    <x v="201"/>
  </r>
  <r>
    <s v="SALE546"/>
    <d v="2025-02-07T00:00:00"/>
    <x v="74"/>
    <s v="PROD10"/>
    <s v="STORE6"/>
    <n v="3"/>
    <n v="370.93"/>
    <n v="0"/>
    <x v="0"/>
    <n v="1112.79"/>
    <n v="1568480.2744000002"/>
    <n v="1078.7347141678131"/>
    <n v="508"/>
    <s v="High Value"/>
    <s v="Feb-2025"/>
    <s v="Ceramic Kitchen Bowl Set"/>
    <s v="Home"/>
    <x v="73"/>
  </r>
  <r>
    <s v="SALE547"/>
    <d v="2023-12-21T00:00:00"/>
    <x v="330"/>
    <s v="PROD23"/>
    <s v="STORE15"/>
    <n v="1"/>
    <n v="352.43"/>
    <n v="0.14000000000000001"/>
    <x v="1"/>
    <n v="303.08980000000003"/>
    <n v="1567367.4844000002"/>
    <n v="1078.7112762560221"/>
    <n v="508"/>
    <s v="Low Value"/>
    <s v="Dec-2023"/>
    <s v="Men's Formal Shirt"/>
    <s v="Clothing"/>
    <x v="328"/>
  </r>
  <r>
    <s v="SALE548"/>
    <d v="2024-01-04T00:00:00"/>
    <x v="331"/>
    <s v="PROD12"/>
    <s v="STORE15"/>
    <n v="2"/>
    <n v="562.97"/>
    <n v="0.2"/>
    <x v="0"/>
    <n v="900.75200000000007"/>
    <n v="1567064.3946000002"/>
    <n v="1079.2454508264464"/>
    <n v="507"/>
    <s v="Low Value"/>
    <s v="Jan-2024"/>
    <s v="Hair Strengthening Shampoo"/>
    <s v="Beauty"/>
    <x v="329"/>
  </r>
  <r>
    <s v="SALE549"/>
    <d v="2023-11-30T00:00:00"/>
    <x v="332"/>
    <s v="PROD55"/>
    <s v="STORE7"/>
    <n v="1"/>
    <n v="522.85"/>
    <n v="0.12"/>
    <x v="1"/>
    <n v="460.108"/>
    <n v="1566163.6426000001"/>
    <n v="1079.3684649207444"/>
    <n v="507"/>
    <s v="Low Value"/>
    <s v="Nov-2023"/>
    <s v="Ceramic Plant Pot"/>
    <s v="Home"/>
    <x v="330"/>
  </r>
  <r>
    <s v="SALE550"/>
    <d v="2025-07-13T00:00:00"/>
    <x v="116"/>
    <s v="PROD21"/>
    <s v="STORE16"/>
    <n v="4"/>
    <n v="714.89"/>
    <n v="0.15"/>
    <x v="0"/>
    <n v="2430.6260000000002"/>
    <n v="1565703.5346000001"/>
    <n v="1079.7955411034484"/>
    <n v="506"/>
    <s v="High Value"/>
    <s v="Jul-2025"/>
    <s v="Multi-Purpose Storage Box"/>
    <s v="Home"/>
    <x v="115"/>
  </r>
  <r>
    <s v="SALE551"/>
    <d v="2023-10-23T00:00:00"/>
    <x v="8"/>
    <s v="PROD43"/>
    <s v="STORE2"/>
    <n v="3"/>
    <n v="137.77000000000001"/>
    <n v="0.26"/>
    <x v="1"/>
    <n v="305.84940000000012"/>
    <n v="1563272.9086000002"/>
    <n v="1078.8632909592825"/>
    <n v="506"/>
    <s v="Low Value"/>
    <s v="Oct-2023"/>
    <s v="USB External Hard Drive"/>
    <s v="Electronics"/>
    <x v="8"/>
  </r>
  <r>
    <s v="SALE552"/>
    <d v="2025-10-10T00:00:00"/>
    <x v="250"/>
    <s v="PROD92"/>
    <s v="STORE11"/>
    <n v="3"/>
    <n v="862.18"/>
    <n v="0.22"/>
    <x v="1"/>
    <n v="2017.5011999999999"/>
    <n v="1562967.0592"/>
    <n v="1079.3971403314918"/>
    <n v="505"/>
    <s v="High Value"/>
    <s v="Oct-2025"/>
    <s v="Microwave Oven"/>
    <s v="Home"/>
    <x v="249"/>
  </r>
  <r>
    <s v="SALE553"/>
    <d v="2025-06-14T00:00:00"/>
    <x v="333"/>
    <s v="PROD38"/>
    <s v="STORE14"/>
    <n v="2"/>
    <n v="833.64"/>
    <n v="0.24"/>
    <x v="1"/>
    <n v="1267.1328000000001"/>
    <n v="1560949.558"/>
    <n v="1078.7488306841742"/>
    <n v="504"/>
    <s v="High Value"/>
    <s v="Jun-2025"/>
    <s v="Sports Water Hydration Pack"/>
    <s v="Sports"/>
    <x v="331"/>
  </r>
  <r>
    <s v="SALE554"/>
    <d v="2025-04-05T00:00:00"/>
    <x v="334"/>
    <s v="PROD19"/>
    <s v="STORE15"/>
    <n v="3"/>
    <n v="543.22"/>
    <n v="0.05"/>
    <x v="2"/>
    <n v="1548.1769999999999"/>
    <n v="1559682.4251999999"/>
    <n v="1078.6185513139694"/>
    <n v="503"/>
    <s v="High Value"/>
    <s v="Apr-2025"/>
    <s v="Knee Support Brace"/>
    <s v="Sports"/>
    <x v="332"/>
  </r>
  <r>
    <s v="SALE555"/>
    <d v="2025-01-20T00:00:00"/>
    <x v="335"/>
    <s v="PROD88"/>
    <s v="STORE2"/>
    <n v="3"/>
    <n v="691.02"/>
    <n v="0.12"/>
    <x v="2"/>
    <n v="1824.2927999999999"/>
    <n v="1558134.2482"/>
    <n v="1078.2935973702422"/>
    <n v="503"/>
    <s v="High Value"/>
    <s v="Jan-2025"/>
    <s v="Sports Wrist Sweatbands"/>
    <s v="Sports"/>
    <x v="333"/>
  </r>
  <r>
    <s v="SALE556"/>
    <d v="2023-11-23T00:00:00"/>
    <x v="98"/>
    <s v="PROD86"/>
    <s v="STORE17"/>
    <n v="4"/>
    <n v="338.73"/>
    <n v="0.18"/>
    <x v="0"/>
    <n v="1111.0344"/>
    <n v="1556309.9554000001"/>
    <n v="1077.7769774238227"/>
    <n v="503"/>
    <s v="High Value"/>
    <s v="Nov-2023"/>
    <s v="Kitchen Cutting Board"/>
    <s v="Home"/>
    <x v="97"/>
  </r>
  <r>
    <s v="SALE557"/>
    <d v="2024-04-07T00:00:00"/>
    <x v="336"/>
    <s v="PROD84"/>
    <s v="STORE16"/>
    <n v="3"/>
    <n v="366.08"/>
    <n v="0.05"/>
    <x v="0"/>
    <n v="1043.328"/>
    <n v="1555198.9210000001"/>
    <n v="1077.75393000693"/>
    <n v="503"/>
    <s v="High Value"/>
    <s v="Apr-2024"/>
    <s v="Wooden Bookshelf"/>
    <s v="Home"/>
    <x v="334"/>
  </r>
  <r>
    <s v="SALE558"/>
    <d v="2025-07-02T00:00:00"/>
    <x v="102"/>
    <s v="PROD13"/>
    <s v="STORE13"/>
    <n v="4"/>
    <n v="539.48"/>
    <n v="0.28000000000000003"/>
    <x v="2"/>
    <n v="1553.7023999999999"/>
    <n v="1554155.5929999999"/>
    <n v="1077.7778037447988"/>
    <n v="503"/>
    <s v="High Value"/>
    <s v="Jul-2025"/>
    <s v="USB-C Fast Charger"/>
    <s v="Electronics"/>
    <x v="101"/>
  </r>
  <r>
    <s v="SALE559"/>
    <d v="2023-11-26T00:00:00"/>
    <x v="337"/>
    <s v="PROD91"/>
    <s v="STORE16"/>
    <n v="1"/>
    <n v="499.59"/>
    <n v="0.03"/>
    <x v="2"/>
    <n v="484.60230000000001"/>
    <n v="1552601.8905999998"/>
    <n v="1077.4475299097846"/>
    <n v="503"/>
    <s v="Low Value"/>
    <s v="Nov-2023"/>
    <s v="Women's High Heels"/>
    <s v="Clothing"/>
    <x v="335"/>
  </r>
  <r>
    <s v="SALE560"/>
    <d v="2024-02-04T00:00:00"/>
    <x v="338"/>
    <s v="PROD30"/>
    <s v="STORE8"/>
    <n v="3"/>
    <n v="330.04"/>
    <n v="0.2"/>
    <x v="0"/>
    <n v="792.09600000000012"/>
    <n v="1552117.2882999999"/>
    <n v="1077.8592279861111"/>
    <n v="503"/>
    <s v="Low Value"/>
    <s v="Feb-2024"/>
    <s v="Stainless Steel Cutlery Set"/>
    <s v="Home"/>
    <x v="336"/>
  </r>
  <r>
    <s v="SALE561"/>
    <d v="2024-06-16T00:00:00"/>
    <x v="91"/>
    <s v="PROD11"/>
    <s v="STORE17"/>
    <n v="2"/>
    <n v="813.01"/>
    <n v="0.06"/>
    <x v="1"/>
    <n v="1528.4588000000001"/>
    <n v="1551325.1922999998"/>
    <n v="1078.0578125781792"/>
    <n v="503"/>
    <s v="High Value"/>
    <s v="Jun-2024"/>
    <s v="HD Smart TV Stick"/>
    <s v="Electronics"/>
    <x v="90"/>
  </r>
  <r>
    <s v="SALE562"/>
    <d v="2025-02-27T00:00:00"/>
    <x v="339"/>
    <s v="PROD1"/>
    <s v="STORE2"/>
    <n v="4"/>
    <n v="204.8"/>
    <n v="0.03"/>
    <x v="1"/>
    <n v="794.62400000000002"/>
    <n v="1549796.7334999996"/>
    <n v="1077.7445990959664"/>
    <n v="502"/>
    <s v="Low Value"/>
    <s v="Feb-2025"/>
    <s v="Men's Graphic T-Shirt"/>
    <s v="Clothing"/>
    <x v="337"/>
  </r>
  <r>
    <s v="SALE563"/>
    <d v="2023-10-24T00:00:00"/>
    <x v="311"/>
    <s v="PROD3"/>
    <s v="STORE3"/>
    <n v="3"/>
    <n v="728.32"/>
    <n v="0.01"/>
    <x v="0"/>
    <n v="2163.1104"/>
    <n v="1549002.1094999998"/>
    <n v="1077.9416210855948"/>
    <n v="501"/>
    <s v="High Value"/>
    <s v="Oct-2023"/>
    <s v="Men's Running Jacket"/>
    <s v="Clothing"/>
    <x v="309"/>
  </r>
  <r>
    <s v="SALE564"/>
    <d v="2024-08-03T00:00:00"/>
    <x v="340"/>
    <s v="PROD59"/>
    <s v="STORE7"/>
    <n v="3"/>
    <n v="836.4"/>
    <n v="0"/>
    <x v="0"/>
    <n v="2509.1999999999998"/>
    <n v="1546838.9990999997"/>
    <n v="1077.1859325208911"/>
    <n v="501"/>
    <s v="High Value"/>
    <s v="Aug-2024"/>
    <s v="Men's Hair Styling Gel"/>
    <s v="Beauty"/>
    <x v="338"/>
  </r>
  <r>
    <s v="SALE565"/>
    <d v="2025-07-05T00:00:00"/>
    <x v="341"/>
    <s v="PROD90"/>
    <s v="STORE12"/>
    <n v="1"/>
    <n v="780.16"/>
    <n v="0.02"/>
    <x v="2"/>
    <n v="764.55679999999995"/>
    <n v="1544329.7990999995"/>
    <n v="1076.1880133101042"/>
    <n v="501"/>
    <s v="Low Value"/>
    <s v="Jul-2025"/>
    <s v="Gaming Mouse Pad XL"/>
    <s v="Electronics"/>
    <x v="339"/>
  </r>
  <r>
    <s v="SALE566"/>
    <d v="2025-05-27T00:00:00"/>
    <x v="44"/>
    <s v="PROD46"/>
    <s v="STORE13"/>
    <n v="4"/>
    <n v="354.12"/>
    <n v="0.06"/>
    <x v="1"/>
    <n v="1331.4911999999999"/>
    <n v="1543565.2422999993"/>
    <n v="1076.4053293584375"/>
    <n v="501"/>
    <s v="High Value"/>
    <s v="May-2025"/>
    <s v="Men's Winter Jacket"/>
    <s v="Clothing"/>
    <x v="44"/>
  </r>
  <r>
    <s v="SALE567"/>
    <d v="2024-11-06T00:00:00"/>
    <x v="340"/>
    <s v="PROD63"/>
    <s v="STORE2"/>
    <n v="4"/>
    <n v="282.48"/>
    <n v="0.11"/>
    <x v="1"/>
    <n v="1005.6288"/>
    <n v="1542233.7510999995"/>
    <n v="1076.2273210746682"/>
    <n v="500"/>
    <s v="High Value"/>
    <s v="Nov-2024"/>
    <s v="Organic Sunscreen Lotion"/>
    <s v="Beauty"/>
    <x v="338"/>
  </r>
  <r>
    <s v="SALE568"/>
    <d v="2024-06-03T00:00:00"/>
    <x v="342"/>
    <s v="PROD20"/>
    <s v="STORE6"/>
    <n v="2"/>
    <n v="740.68"/>
    <n v="0.02"/>
    <x v="1"/>
    <n v="1451.7328"/>
    <n v="1541228.1222999995"/>
    <n v="1076.2766217178767"/>
    <n v="499"/>
    <s v="High Value"/>
    <s v="Jun-2024"/>
    <s v="Outdoor Sports Water Bottle"/>
    <s v="Sports"/>
    <x v="340"/>
  </r>
  <r>
    <s v="SALE569"/>
    <d v="2024-04-02T00:00:00"/>
    <x v="102"/>
    <s v="PROD56"/>
    <s v="STORE9"/>
    <n v="3"/>
    <n v="600.58000000000004"/>
    <n v="0.28999999999999998"/>
    <x v="2"/>
    <n v="1279.2354"/>
    <n v="1539776.3894999993"/>
    <n v="1076.0142484276726"/>
    <n v="498"/>
    <s v="High Value"/>
    <s v="Apr-2024"/>
    <s v="Premium Blanket Throw"/>
    <s v="Home"/>
    <x v="101"/>
  </r>
  <r>
    <s v="SALE570"/>
    <d v="2024-02-26T00:00:00"/>
    <x v="343"/>
    <s v="PROD65"/>
    <s v="STORE3"/>
    <n v="3"/>
    <n v="345.58"/>
    <n v="0.22"/>
    <x v="0"/>
    <n v="808.65719999999999"/>
    <n v="1538497.154099999"/>
    <n v="1075.8721357342649"/>
    <n v="498"/>
    <s v="Low Value"/>
    <s v="Feb-2024"/>
    <s v="Adjustable Dumbbells 20kg"/>
    <s v="Sports"/>
    <x v="341"/>
  </r>
  <r>
    <s v="SALE571"/>
    <d v="2025-01-31T00:00:00"/>
    <x v="344"/>
    <s v="PROD18"/>
    <s v="STORE11"/>
    <n v="1"/>
    <n v="974.52"/>
    <n v="0.01"/>
    <x v="1"/>
    <n v="964.77480000000003"/>
    <n v="1537688.4968999992"/>
    <n v="1076.0591300909721"/>
    <n v="498"/>
    <s v="Low Value"/>
    <s v="Jan-2025"/>
    <s v="Women's Denim Jeans"/>
    <s v="Clothing"/>
    <x v="342"/>
  </r>
  <r>
    <s v="SALE572"/>
    <d v="2023-11-19T00:00:00"/>
    <x v="345"/>
    <s v="PROD17"/>
    <s v="STORE1"/>
    <n v="3"/>
    <n v="282.33"/>
    <n v="7.0000000000000007E-2"/>
    <x v="0"/>
    <n v="787.70069999999998"/>
    <n v="1536723.7220999992"/>
    <n v="1076.1370602941172"/>
    <n v="497"/>
    <s v="Low Value"/>
    <s v="Nov-2023"/>
    <s v="Soccer Training Cone Set"/>
    <s v="Sports"/>
    <x v="343"/>
  </r>
  <r>
    <s v="SALE573"/>
    <d v="2025-03-10T00:00:00"/>
    <x v="157"/>
    <s v="PROD76"/>
    <s v="STORE19"/>
    <n v="4"/>
    <n v="158.46"/>
    <n v="0.09"/>
    <x v="1"/>
    <n v="576.7944"/>
    <n v="1535936.0213999993"/>
    <n v="1076.3391880868951"/>
    <n v="497"/>
    <s v="Low Value"/>
    <s v="Mar-2025"/>
    <s v="Wireless Mouse"/>
    <s v="Electronics"/>
    <x v="156"/>
  </r>
  <r>
    <s v="SALE574"/>
    <d v="2023-12-23T00:00:00"/>
    <x v="110"/>
    <s v="PROD55"/>
    <s v="STORE7"/>
    <n v="2"/>
    <n v="778.56"/>
    <n v="0.11"/>
    <x v="2"/>
    <n v="1385.8368"/>
    <n v="1535359.226999999"/>
    <n v="1076.6894999999993"/>
    <n v="496"/>
    <s v="High Value"/>
    <s v="Dec-2023"/>
    <s v="Ceramic Plant Pot"/>
    <s v="Home"/>
    <x v="109"/>
  </r>
  <r>
    <s v="SALE575"/>
    <d v="2024-03-02T00:00:00"/>
    <x v="12"/>
    <s v="PROD50"/>
    <s v="STORE19"/>
    <n v="4"/>
    <n v="280.16000000000003"/>
    <n v="0.18"/>
    <x v="2"/>
    <n v="918.92480000000012"/>
    <n v="1533973.3901999991"/>
    <n v="1076.4725545263152"/>
    <n v="496"/>
    <s v="Low Value"/>
    <s v="Mar-2024"/>
    <s v="Boxing Hand Wraps"/>
    <s v="Sports"/>
    <x v="12"/>
  </r>
  <r>
    <s v="SALE576"/>
    <d v="2024-10-27T00:00:00"/>
    <x v="86"/>
    <s v="PROD71"/>
    <s v="STORE13"/>
    <n v="2"/>
    <n v="649.54999999999995"/>
    <n v="0.28999999999999998"/>
    <x v="1"/>
    <n v="922.36099999999988"/>
    <n v="1533054.4653999992"/>
    <n v="1076.5831919943814"/>
    <n v="496"/>
    <s v="Low Value"/>
    <s v="Oct-2024"/>
    <s v="Hair Repair Oil Treatment"/>
    <s v="Beauty"/>
    <x v="85"/>
  </r>
  <r>
    <s v="SALE577"/>
    <d v="2024-03-09T00:00:00"/>
    <x v="69"/>
    <s v="PROD88"/>
    <s v="STORE2"/>
    <n v="2"/>
    <n v="994.32"/>
    <n v="0.27"/>
    <x v="1"/>
    <n v="1451.7072000000001"/>
    <n v="1532132.1043999991"/>
    <n v="1076.6915702037943"/>
    <n v="495"/>
    <s v="High Value"/>
    <s v="Mar-2024"/>
    <s v="Sports Wrist Sweatbands"/>
    <s v="Sports"/>
    <x v="68"/>
  </r>
  <r>
    <s v="SALE578"/>
    <d v="2024-12-23T00:00:00"/>
    <x v="307"/>
    <s v="PROD81"/>
    <s v="STORE12"/>
    <n v="1"/>
    <n v="64.94"/>
    <n v="0.21"/>
    <x v="1"/>
    <n v="51.302599999999998"/>
    <n v="1530680.3971999991"/>
    <n v="1076.4278461322076"/>
    <n v="494"/>
    <s v="Low Value"/>
    <s v="Dec-2024"/>
    <s v="Badminton Racket Set"/>
    <s v="Sports"/>
    <x v="305"/>
  </r>
  <r>
    <s v="SALE579"/>
    <d v="2025-02-21T00:00:00"/>
    <x v="200"/>
    <s v="PROD39"/>
    <s v="STORE7"/>
    <n v="2"/>
    <n v="507.66"/>
    <n v="0"/>
    <x v="2"/>
    <n v="1015.32"/>
    <n v="1530629.094599999"/>
    <n v="1077.1492572836023"/>
    <n v="493"/>
    <s v="High Value"/>
    <s v="Feb-2025"/>
    <s v="Portable Power Bank"/>
    <s v="Electronics"/>
    <x v="199"/>
  </r>
  <r>
    <s v="SALE580"/>
    <d v="2023-12-13T00:00:00"/>
    <x v="346"/>
    <s v="PROD81"/>
    <s v="STORE4"/>
    <n v="4"/>
    <n v="968.27"/>
    <n v="0.03"/>
    <x v="1"/>
    <n v="3756.8876"/>
    <n v="1529613.7745999992"/>
    <n v="1077.1927990140839"/>
    <n v="493"/>
    <s v="High Value"/>
    <s v="Dec-2023"/>
    <s v="Badminton Racket Set"/>
    <s v="Sports"/>
    <x v="344"/>
  </r>
  <r>
    <s v="SALE581"/>
    <d v="2023-11-20T00:00:00"/>
    <x v="223"/>
    <s v="PROD88"/>
    <s v="STORE5"/>
    <n v="4"/>
    <n v="510.33"/>
    <n v="0.2"/>
    <x v="1"/>
    <n v="1633.056"/>
    <n v="1525856.8869999989"/>
    <n v="1075.3043601127547"/>
    <n v="492"/>
    <s v="High Value"/>
    <s v="Nov-2023"/>
    <s v="Sports Wrist Sweatbands"/>
    <s v="Sports"/>
    <x v="222"/>
  </r>
  <r>
    <s v="SALE582"/>
    <d v="2024-09-04T00:00:00"/>
    <x v="311"/>
    <s v="PROD44"/>
    <s v="STORE19"/>
    <n v="2"/>
    <n v="156.72999999999999"/>
    <n v="0.18"/>
    <x v="2"/>
    <n v="257.03719999999998"/>
    <n v="1524223.8309999991"/>
    <n v="1074.9110232722137"/>
    <n v="491"/>
    <s v="Low Value"/>
    <s v="Sep-2024"/>
    <s v="Adjustable Jump Rope"/>
    <s v="Sports"/>
    <x v="309"/>
  </r>
  <r>
    <s v="SALE583"/>
    <d v="2025-06-02T00:00:00"/>
    <x v="48"/>
    <s v="PROD99"/>
    <s v="STORE10"/>
    <n v="3"/>
    <n v="53.83"/>
    <n v="0.24"/>
    <x v="0"/>
    <n v="122.7324"/>
    <n v="1523966.7937999989"/>
    <n v="1075.4882101623141"/>
    <n v="491"/>
    <s v="Low Value"/>
    <s v="Jun-2025"/>
    <s v="Stainless Steel Cookware Set"/>
    <s v="Home"/>
    <x v="48"/>
  </r>
  <r>
    <s v="SALE584"/>
    <d v="2024-02-28T00:00:00"/>
    <x v="146"/>
    <s v="PROD78"/>
    <s v="STORE4"/>
    <n v="1"/>
    <n v="34.71"/>
    <n v="0.1"/>
    <x v="2"/>
    <n v="31.239000000000001"/>
    <n v="1523844.0613999991"/>
    <n v="1076.1610603107338"/>
    <n v="491"/>
    <s v="Low Value"/>
    <s v="Feb-2024"/>
    <s v="Essential Oil Diffuser"/>
    <s v="Home"/>
    <x v="145"/>
  </r>
  <r>
    <s v="SALE585"/>
    <d v="2024-12-07T00:00:00"/>
    <x v="296"/>
    <s v="PROD77"/>
    <s v="STORE1"/>
    <n v="2"/>
    <n v="829.15"/>
    <n v="0.11"/>
    <x v="1"/>
    <n v="1475.8869999999999"/>
    <n v="1523812.822399999"/>
    <n v="1076.8995211307413"/>
    <n v="491"/>
    <s v="High Value"/>
    <s v="Dec-2024"/>
    <s v="WiFi Mesh Router"/>
    <s v="Electronics"/>
    <x v="294"/>
  </r>
  <r>
    <s v="SALE586"/>
    <d v="2025-05-21T00:00:00"/>
    <x v="105"/>
    <s v="PROD98"/>
    <s v="STORE3"/>
    <n v="2"/>
    <n v="481.86"/>
    <n v="0.1"/>
    <x v="2"/>
    <n v="867.34800000000007"/>
    <n v="1522336.9353999989"/>
    <n v="1076.6173517680331"/>
    <n v="490"/>
    <s v="Low Value"/>
    <s v="May-2025"/>
    <s v="Portable Bluetooth Speaker"/>
    <s v="Electronics"/>
    <x v="104"/>
  </r>
  <r>
    <s v="SALE587"/>
    <d v="2024-03-03T00:00:00"/>
    <x v="347"/>
    <s v="PROD52"/>
    <s v="STORE7"/>
    <n v="4"/>
    <n v="915.17"/>
    <n v="0.19"/>
    <x v="2"/>
    <n v="2965.1507999999999"/>
    <n v="1521469.5873999989"/>
    <n v="1076.7654546355266"/>
    <n v="490"/>
    <s v="High Value"/>
    <s v="Mar-2024"/>
    <s v="Rugby Ball"/>
    <s v="Sports"/>
    <x v="345"/>
  </r>
  <r>
    <s v="SALE588"/>
    <d v="2024-03-06T00:00:00"/>
    <x v="96"/>
    <s v="PROD71"/>
    <s v="STORE18"/>
    <n v="1"/>
    <n v="250.95"/>
    <n v="0.03"/>
    <x v="1"/>
    <n v="243.42150000000001"/>
    <n v="1518504.436599999"/>
    <n v="1075.4280712464581"/>
    <n v="490"/>
    <s v="Low Value"/>
    <s v="Mar-2024"/>
    <s v="Hair Repair Oil Treatment"/>
    <s v="Beauty"/>
    <x v="95"/>
  </r>
  <r>
    <s v="SALE589"/>
    <d v="2023-11-27T00:00:00"/>
    <x v="88"/>
    <s v="PROD96"/>
    <s v="STORE5"/>
    <n v="3"/>
    <n v="882.84"/>
    <n v="0.1"/>
    <x v="0"/>
    <n v="2383.6680000000001"/>
    <n v="1518261.015099999"/>
    <n v="1076.017728632175"/>
    <n v="489"/>
    <s v="High Value"/>
    <s v="Nov-2023"/>
    <s v="Women's Formal Blazer"/>
    <s v="Clothing"/>
    <x v="87"/>
  </r>
  <r>
    <s v="SALE590"/>
    <d v="2025-02-14T00:00:00"/>
    <x v="160"/>
    <s v="PROD19"/>
    <s v="STORE18"/>
    <n v="4"/>
    <n v="573.37"/>
    <n v="0.04"/>
    <x v="2"/>
    <n v="2201.7408"/>
    <n v="1515877.3470999987"/>
    <n v="1075.0903170921977"/>
    <n v="489"/>
    <s v="High Value"/>
    <s v="Feb-2025"/>
    <s v="Knee Support Brace"/>
    <s v="Sports"/>
    <x v="159"/>
  </r>
  <r>
    <s v="SALE591"/>
    <d v="2024-01-27T00:00:00"/>
    <x v="63"/>
    <s v="PROD32"/>
    <s v="STORE12"/>
    <n v="3"/>
    <n v="622.72"/>
    <n v="0.04"/>
    <x v="0"/>
    <n v="1793.4336000000001"/>
    <n v="1513675.6062999987"/>
    <n v="1074.2907070972312"/>
    <n v="489"/>
    <s v="High Value"/>
    <s v="Jan-2024"/>
    <s v="Vitamin C Face Serum"/>
    <s v="Beauty"/>
    <x v="62"/>
  </r>
  <r>
    <s v="SALE592"/>
    <d v="2025-10-13T00:00:00"/>
    <x v="327"/>
    <s v="PROD92"/>
    <s v="STORE17"/>
    <n v="3"/>
    <n v="259.74"/>
    <n v="0.24"/>
    <x v="0"/>
    <n v="592.20720000000006"/>
    <n v="1511882.1726999988"/>
    <n v="1073.7799522017037"/>
    <n v="489"/>
    <s v="Low Value"/>
    <s v="Oct-2025"/>
    <s v="Microwave Oven"/>
    <s v="Home"/>
    <x v="325"/>
  </r>
  <r>
    <s v="SALE593"/>
    <d v="2025-04-22T00:00:00"/>
    <x v="76"/>
    <s v="PROD28"/>
    <s v="STORE13"/>
    <n v="4"/>
    <n v="951.09"/>
    <n v="0.14000000000000001"/>
    <x v="2"/>
    <n v="3271.7496000000001"/>
    <n v="1511289.9654999988"/>
    <n v="1074.1222213930339"/>
    <n v="489"/>
    <s v="High Value"/>
    <s v="Apr-2025"/>
    <s v="Sports Stopwatch Timer"/>
    <s v="Sports"/>
    <x v="75"/>
  </r>
  <r>
    <s v="SALE594"/>
    <d v="2025-04-18T00:00:00"/>
    <x v="174"/>
    <s v="PROD99"/>
    <s v="STORE2"/>
    <n v="1"/>
    <n v="71.709999999999994"/>
    <n v="0.23"/>
    <x v="2"/>
    <n v="55.216700000000003"/>
    <n v="1508018.2158999988"/>
    <n v="1072.5591862731144"/>
    <n v="489"/>
    <s v="Low Value"/>
    <s v="Apr-2025"/>
    <s v="Stainless Steel Cookware Set"/>
    <s v="Home"/>
    <x v="173"/>
  </r>
  <r>
    <s v="SALE595"/>
    <d v="2025-08-22T00:00:00"/>
    <x v="348"/>
    <s v="PROD20"/>
    <s v="STORE7"/>
    <n v="4"/>
    <n v="894.93"/>
    <n v="0.05"/>
    <x v="2"/>
    <n v="3400.733999999999"/>
    <n v="1507962.9991999988"/>
    <n v="1073.2832734519563"/>
    <n v="489"/>
    <s v="High Value"/>
    <s v="Aug-2025"/>
    <s v="Outdoor Sports Water Bottle"/>
    <s v="Sports"/>
    <x v="346"/>
  </r>
  <r>
    <s v="SALE596"/>
    <d v="2025-07-04T00:00:00"/>
    <x v="349"/>
    <s v="PROD78"/>
    <s v="STORE8"/>
    <n v="4"/>
    <n v="870.18"/>
    <n v="0.13"/>
    <x v="2"/>
    <n v="3028.2264"/>
    <n v="1504562.2651999989"/>
    <n v="1071.6255450142442"/>
    <n v="489"/>
    <s v="High Value"/>
    <s v="Jul-2025"/>
    <s v="Essential Oil Diffuser"/>
    <s v="Home"/>
    <x v="347"/>
  </r>
  <r>
    <s v="SALE597"/>
    <d v="2024-03-31T00:00:00"/>
    <x v="335"/>
    <s v="PROD64"/>
    <s v="STORE2"/>
    <n v="2"/>
    <n v="552.72"/>
    <n v="0.06"/>
    <x v="1"/>
    <n v="1039.1135999999999"/>
    <n v="1501534.0387999988"/>
    <n v="1070.2309613684952"/>
    <n v="489"/>
    <s v="High Value"/>
    <s v="Mar-2024"/>
    <s v="Matte Lipstick Set"/>
    <s v="Beauty"/>
    <x v="333"/>
  </r>
  <r>
    <s v="SALE598"/>
    <d v="2023-11-06T00:00:00"/>
    <x v="177"/>
    <s v="PROD39"/>
    <s v="STORE8"/>
    <n v="3"/>
    <n v="700.43"/>
    <n v="0.01"/>
    <x v="2"/>
    <n v="2080.2770999999998"/>
    <n v="1500494.9251999988"/>
    <n v="1070.2531563480734"/>
    <n v="488"/>
    <s v="High Value"/>
    <s v="Nov-2023"/>
    <s v="Portable Power Bank"/>
    <s v="Electronics"/>
    <x v="176"/>
  </r>
  <r>
    <s v="SALE599"/>
    <d v="2025-05-29T00:00:00"/>
    <x v="350"/>
    <s v="PROD9"/>
    <s v="STORE2"/>
    <n v="2"/>
    <n v="823.03"/>
    <n v="0.18"/>
    <x v="1"/>
    <n v="1349.7692"/>
    <n v="1498414.6480999989"/>
    <n v="1069.5322256245531"/>
    <n v="488"/>
    <s v="High Value"/>
    <s v="May-2025"/>
    <s v="Adjustable Dumbbell Set"/>
    <s v="Sports"/>
    <x v="348"/>
  </r>
  <r>
    <s v="SALE600"/>
    <d v="2024-04-19T00:00:00"/>
    <x v="57"/>
    <s v="PROD92"/>
    <s v="STORE6"/>
    <n v="1"/>
    <n v="117.37"/>
    <n v="0.21"/>
    <x v="0"/>
    <n v="92.722300000000004"/>
    <n v="1497064.8788999992"/>
    <n v="1069.3320563571424"/>
    <n v="487"/>
    <s v="Low Value"/>
    <s v="Apr-2024"/>
    <s v="Microwave Oven"/>
    <s v="Home"/>
    <x v="57"/>
  </r>
  <r>
    <s v="SALE601"/>
    <d v="2025-02-28T00:00:00"/>
    <x v="253"/>
    <s v="PROD56"/>
    <s v="STORE1"/>
    <n v="4"/>
    <n v="165.37"/>
    <n v="0.28999999999999998"/>
    <x v="0"/>
    <n v="469.6508"/>
    <n v="1496972.1565999992"/>
    <n v="1070.0301333809857"/>
    <n v="487"/>
    <s v="Low Value"/>
    <s v="Feb-2025"/>
    <s v="Premium Blanket Throw"/>
    <s v="Home"/>
    <x v="252"/>
  </r>
  <r>
    <s v="SALE602"/>
    <d v="2025-03-02T00:00:00"/>
    <x v="74"/>
    <s v="PROD6"/>
    <s v="STORE10"/>
    <n v="3"/>
    <n v="483.06"/>
    <n v="0.05"/>
    <x v="0"/>
    <n v="1376.721"/>
    <n v="1496502.5057999992"/>
    <n v="1070.4595892703858"/>
    <n v="487"/>
    <s v="High Value"/>
    <s v="Mar-2025"/>
    <s v="Herbal Face Moisturizer"/>
    <s v="Beauty"/>
    <x v="73"/>
  </r>
  <r>
    <s v="SALE603"/>
    <d v="2024-03-28T00:00:00"/>
    <x v="145"/>
    <s v="PROD81"/>
    <s v="STORE7"/>
    <n v="4"/>
    <n v="262.05"/>
    <n v="0.24"/>
    <x v="1"/>
    <n v="796.63200000000006"/>
    <n v="1495125.7847999991"/>
    <n v="1070.2403613457402"/>
    <n v="487"/>
    <s v="Low Value"/>
    <s v="Mar-2024"/>
    <s v="Badminton Racket Set"/>
    <s v="Sports"/>
    <x v="144"/>
  </r>
  <r>
    <s v="SALE604"/>
    <d v="2024-12-09T00:00:00"/>
    <x v="191"/>
    <s v="PROD14"/>
    <s v="STORE14"/>
    <n v="3"/>
    <n v="970.89"/>
    <n v="0.11"/>
    <x v="2"/>
    <n v="2592.2763"/>
    <n v="1494329.1527999991"/>
    <n v="1070.4363558739249"/>
    <n v="486"/>
    <s v="High Value"/>
    <s v="Dec-2024"/>
    <s v="Decorative Wall Mirror"/>
    <s v="Home"/>
    <x v="190"/>
  </r>
  <r>
    <s v="SALE605"/>
    <d v="2023-10-23T00:00:00"/>
    <x v="188"/>
    <s v="PROD72"/>
    <s v="STORE0"/>
    <n v="1"/>
    <n v="61.11"/>
    <n v="0.1"/>
    <x v="1"/>
    <n v="54.999000000000002"/>
    <n v="1491736.8764999991"/>
    <n v="1069.345431182795"/>
    <n v="486"/>
    <s v="Low Value"/>
    <s v="Oct-2023"/>
    <s v="Professional Jump Rope"/>
    <s v="Sports"/>
    <x v="187"/>
  </r>
  <r>
    <s v="SALE606"/>
    <d v="2024-09-20T00:00:00"/>
    <x v="92"/>
    <s v="PROD27"/>
    <s v="STORE8"/>
    <n v="3"/>
    <n v="827.88"/>
    <n v="0.19"/>
    <x v="1"/>
    <n v="2011.7483999999999"/>
    <n v="1491681.877499999"/>
    <n v="1070.0730828550925"/>
    <n v="485"/>
    <s v="High Value"/>
    <s v="Sep-2024"/>
    <s v="Decorative Floor Vase"/>
    <s v="Home"/>
    <x v="91"/>
  </r>
  <r>
    <s v="SALE607"/>
    <d v="2024-10-18T00:00:00"/>
    <x v="351"/>
    <s v="PROD87"/>
    <s v="STORE13"/>
    <n v="3"/>
    <n v="926.85"/>
    <n v="0.18"/>
    <x v="2"/>
    <n v="2280.0509999999999"/>
    <n v="1489670.1290999993"/>
    <n v="1069.3970776022968"/>
    <n v="484"/>
    <s v="High Value"/>
    <s v="Oct-2024"/>
    <s v="LED Bedside Lamp"/>
    <s v="Home"/>
    <x v="349"/>
  </r>
  <r>
    <s v="SALE608"/>
    <d v="2025-01-05T00:00:00"/>
    <x v="352"/>
    <s v="PROD10"/>
    <s v="STORE14"/>
    <n v="1"/>
    <n v="874.59"/>
    <n v="0.28999999999999998"/>
    <x v="1"/>
    <n v="620.95889999999997"/>
    <n v="1487390.0780999991"/>
    <n v="1068.5273549568958"/>
    <n v="484"/>
    <s v="Low Value"/>
    <s v="Jan-2025"/>
    <s v="Ceramic Kitchen Bowl Set"/>
    <s v="Home"/>
    <x v="350"/>
  </r>
  <r>
    <s v="SALE609"/>
    <d v="2025-09-21T00:00:00"/>
    <x v="44"/>
    <s v="PROD15"/>
    <s v="STORE1"/>
    <n v="4"/>
    <n v="479.11"/>
    <n v="0.24"/>
    <x v="1"/>
    <n v="1456.4944"/>
    <n v="1486769.1191999991"/>
    <n v="1068.8491151689425"/>
    <n v="483"/>
    <s v="High Value"/>
    <s v="Sep-2025"/>
    <s v="4K Home Projector"/>
    <s v="Electronics"/>
    <x v="44"/>
  </r>
  <r>
    <s v="SALE610"/>
    <d v="2024-07-17T00:00:00"/>
    <x v="26"/>
    <s v="PROD32"/>
    <s v="STORE17"/>
    <n v="3"/>
    <n v="182.91"/>
    <n v="0.28999999999999998"/>
    <x v="0"/>
    <n v="389.59829999999999"/>
    <n v="1485312.6247999992"/>
    <n v="1068.5702336690642"/>
    <n v="482"/>
    <s v="Low Value"/>
    <s v="Jul-2024"/>
    <s v="Vitamin C Face Serum"/>
    <s v="Beauty"/>
    <x v="26"/>
  </r>
  <r>
    <s v="SALE611"/>
    <d v="2024-12-26T00:00:00"/>
    <x v="156"/>
    <s v="PROD34"/>
    <s v="STORE5"/>
    <n v="4"/>
    <n v="745.51"/>
    <n v="0.05"/>
    <x v="0"/>
    <n v="2832.9380000000001"/>
    <n v="1484923.026499999"/>
    <n v="1069.0590543556509"/>
    <n v="482"/>
    <s v="High Value"/>
    <s v="Dec-2024"/>
    <s v="Gaming Mechanical Keyboard"/>
    <s v="Electronics"/>
    <x v="155"/>
  </r>
  <r>
    <s v="SALE612"/>
    <d v="2024-11-02T00:00:00"/>
    <x v="230"/>
    <s v="PROD88"/>
    <s v="STORE15"/>
    <n v="3"/>
    <n v="920.61"/>
    <n v="0.04"/>
    <x v="0"/>
    <n v="2651.3568"/>
    <n v="1482090.0884999989"/>
    <n v="1067.7882481988465"/>
    <n v="482"/>
    <s v="High Value"/>
    <s v="Nov-2024"/>
    <s v="Sports Wrist Sweatbands"/>
    <s v="Sports"/>
    <x v="229"/>
  </r>
  <r>
    <s v="SALE613"/>
    <d v="2025-04-25T00:00:00"/>
    <x v="353"/>
    <s v="PROD75"/>
    <s v="STORE10"/>
    <n v="4"/>
    <n v="659.03"/>
    <n v="0.15"/>
    <x v="0"/>
    <n v="2240.7020000000002"/>
    <n v="1479438.731699999"/>
    <n v="1066.6465260994946"/>
    <n v="482"/>
    <s v="High Value"/>
    <s v="Apr-2025"/>
    <s v="Women's Ankle Boots"/>
    <s v="Clothing"/>
    <x v="351"/>
  </r>
  <r>
    <s v="SALE614"/>
    <d v="2024-02-16T00:00:00"/>
    <x v="354"/>
    <s v="PROD9"/>
    <s v="STORE2"/>
    <n v="1"/>
    <n v="312.91000000000003"/>
    <n v="0.12"/>
    <x v="1"/>
    <n v="275.36079999999998"/>
    <n v="1477198.0296999989"/>
    <n v="1065.7994442279935"/>
    <n v="482"/>
    <s v="Low Value"/>
    <s v="Feb-2024"/>
    <s v="Adjustable Dumbbell Set"/>
    <s v="Sports"/>
    <x v="352"/>
  </r>
  <r>
    <s v="SALE615"/>
    <d v="2024-08-20T00:00:00"/>
    <x v="324"/>
    <s v="PROD12"/>
    <s v="STORE18"/>
    <n v="4"/>
    <n v="705.64"/>
    <n v="0.11"/>
    <x v="1"/>
    <n v="2512.0783999999999"/>
    <n v="1476922.6688999988"/>
    <n v="1066.3701580505406"/>
    <n v="481"/>
    <s v="High Value"/>
    <s v="Aug-2024"/>
    <s v="Hair Strengthening Shampoo"/>
    <s v="Beauty"/>
    <x v="322"/>
  </r>
  <r>
    <s v="SALE616"/>
    <d v="2024-07-24T00:00:00"/>
    <x v="20"/>
    <s v="PROD9"/>
    <s v="STORE10"/>
    <n v="4"/>
    <n v="386.41"/>
    <n v="0.13"/>
    <x v="2"/>
    <n v="1344.7067999999999"/>
    <n v="1474410.590499999"/>
    <n v="1065.3255711705194"/>
    <n v="480"/>
    <s v="High Value"/>
    <s v="Jul-2024"/>
    <s v="Adjustable Dumbbell Set"/>
    <s v="Sports"/>
    <x v="20"/>
  </r>
  <r>
    <s v="SALE617"/>
    <d v="2024-08-30T00:00:00"/>
    <x v="92"/>
    <s v="PROD94"/>
    <s v="STORE11"/>
    <n v="3"/>
    <n v="265.89"/>
    <n v="0.08"/>
    <x v="2"/>
    <n v="733.85640000000001"/>
    <n v="1473065.883699999"/>
    <n v="1065.1235601590738"/>
    <n v="480"/>
    <s v="Low Value"/>
    <s v="Aug-2024"/>
    <s v="Vitamin E Body Lotion"/>
    <s v="Beauty"/>
    <x v="91"/>
  </r>
  <r>
    <s v="SALE618"/>
    <d v="2025-09-25T00:00:00"/>
    <x v="178"/>
    <s v="PROD30"/>
    <s v="STORE16"/>
    <n v="1"/>
    <n v="703.16"/>
    <n v="0.28999999999999998"/>
    <x v="0"/>
    <n v="499.24360000000001"/>
    <n v="1472332.0272999988"/>
    <n v="1065.3632614327053"/>
    <n v="480"/>
    <s v="Low Value"/>
    <s v="Sep-2025"/>
    <s v="Stainless Steel Cutlery Set"/>
    <s v="Home"/>
    <x v="177"/>
  </r>
  <r>
    <s v="SALE619"/>
    <d v="2025-04-18T00:00:00"/>
    <x v="198"/>
    <s v="PROD97"/>
    <s v="STORE13"/>
    <n v="2"/>
    <n v="394.5"/>
    <n v="0.28999999999999998"/>
    <x v="2"/>
    <n v="560.18999999999994"/>
    <n v="1471832.7836999986"/>
    <n v="1065.7731960173778"/>
    <n v="480"/>
    <s v="Low Value"/>
    <s v="Apr-2025"/>
    <s v="Cricket Bat"/>
    <s v="Sports"/>
    <x v="197"/>
  </r>
  <r>
    <s v="SALE620"/>
    <d v="2025-08-13T00:00:00"/>
    <x v="355"/>
    <s v="PROD97"/>
    <s v="STORE7"/>
    <n v="3"/>
    <n v="411.25"/>
    <n v="0.05"/>
    <x v="0"/>
    <n v="1172.0625"/>
    <n v="1471272.5936999987"/>
    <n v="1066.139560652173"/>
    <n v="480"/>
    <s v="High Value"/>
    <s v="Aug-2025"/>
    <s v="Cricket Bat"/>
    <s v="Sports"/>
    <x v="353"/>
  </r>
  <r>
    <s v="SALE621"/>
    <d v="2025-09-23T00:00:00"/>
    <x v="356"/>
    <s v="PROD48"/>
    <s v="STORE2"/>
    <n v="4"/>
    <n v="395.45"/>
    <n v="0.01"/>
    <x v="0"/>
    <n v="1565.982"/>
    <n v="1470100.5311999989"/>
    <n v="1066.0627492385779"/>
    <n v="480"/>
    <s v="High Value"/>
    <s v="Sep-2025"/>
    <s v="Car Dashboard Phone Holder"/>
    <s v="Electronics"/>
    <x v="354"/>
  </r>
  <r>
    <s v="SALE622"/>
    <d v="2024-05-09T00:00:00"/>
    <x v="357"/>
    <s v="PROD90"/>
    <s v="STORE5"/>
    <n v="2"/>
    <n v="678.98"/>
    <n v="0.23"/>
    <x v="0"/>
    <n v="1045.6292000000001"/>
    <n v="1468534.5491999988"/>
    <n v="1065.6999631349775"/>
    <n v="480"/>
    <s v="High Value"/>
    <s v="May-2024"/>
    <s v="Gaming Mouse Pad XL"/>
    <s v="Electronics"/>
    <x v="355"/>
  </r>
  <r>
    <s v="SALE623"/>
    <d v="2024-11-12T00:00:00"/>
    <x v="39"/>
    <s v="PROD27"/>
    <s v="STORE14"/>
    <n v="4"/>
    <n v="757.71"/>
    <n v="0.26"/>
    <x v="2"/>
    <n v="2242.8216000000002"/>
    <n v="1467488.919999999"/>
    <n v="1065.7145388525773"/>
    <n v="480"/>
    <s v="High Value"/>
    <s v="Nov-2024"/>
    <s v="Decorative Floor Vase"/>
    <s v="Home"/>
    <x v="39"/>
  </r>
  <r>
    <s v="SALE624"/>
    <d v="2024-12-18T00:00:00"/>
    <x v="358"/>
    <s v="PROD94"/>
    <s v="STORE4"/>
    <n v="1"/>
    <n v="647.86"/>
    <n v="0.05"/>
    <x v="2"/>
    <n v="615.46699999999998"/>
    <n v="1465246.0983999986"/>
    <n v="1064.8590831395338"/>
    <n v="480"/>
    <s v="Low Value"/>
    <s v="Dec-2024"/>
    <s v="Vitamin E Body Lotion"/>
    <s v="Beauty"/>
    <x v="356"/>
  </r>
  <r>
    <s v="SALE625"/>
    <d v="2024-08-13T00:00:00"/>
    <x v="163"/>
    <s v="PROD12"/>
    <s v="STORE6"/>
    <n v="2"/>
    <n v="179.64"/>
    <n v="0.1"/>
    <x v="1"/>
    <n v="323.35199999999998"/>
    <n v="1464630.6313999989"/>
    <n v="1065.1859137454537"/>
    <n v="480"/>
    <s v="Low Value"/>
    <s v="Aug-2024"/>
    <s v="Hair Strengthening Shampoo"/>
    <s v="Beauty"/>
    <x v="162"/>
  </r>
  <r>
    <s v="SALE626"/>
    <d v="2024-09-10T00:00:00"/>
    <x v="21"/>
    <s v="PROD62"/>
    <s v="STORE4"/>
    <n v="3"/>
    <n v="392.65"/>
    <n v="0.17"/>
    <x v="1"/>
    <n v="977.69849999999985"/>
    <n v="1464307.279399999"/>
    <n v="1065.7258219796208"/>
    <n v="479"/>
    <s v="Low Value"/>
    <s v="Sep-2024"/>
    <s v="Laptop Cooling Pad"/>
    <s v="Electronics"/>
    <x v="21"/>
  </r>
  <r>
    <s v="SALE627"/>
    <d v="2024-09-12T00:00:00"/>
    <x v="72"/>
    <s v="PROD91"/>
    <s v="STORE16"/>
    <n v="4"/>
    <n v="969.55"/>
    <n v="0.09"/>
    <x v="2"/>
    <n v="3529.1619999999998"/>
    <n v="1463329.580899999"/>
    <n v="1065.7899351056074"/>
    <n v="478"/>
    <s v="High Value"/>
    <s v="Sep-2024"/>
    <s v="Women's High Heels"/>
    <s v="Clothing"/>
    <x v="71"/>
  </r>
  <r>
    <s v="SALE628"/>
    <d v="2024-05-21T00:00:00"/>
    <x v="152"/>
    <s v="PROD74"/>
    <s v="STORE12"/>
    <n v="3"/>
    <n v="322.94"/>
    <n v="0.01"/>
    <x v="0"/>
    <n v="959.13179999999988"/>
    <n v="1459800.4188999988"/>
    <n v="1063.9944744169088"/>
    <n v="478"/>
    <s v="Low Value"/>
    <s v="May-2024"/>
    <s v="Bluetooth Car Audio System"/>
    <s v="Electronics"/>
    <x v="151"/>
  </r>
  <r>
    <s v="SALE629"/>
    <d v="2025-05-15T00:00:00"/>
    <x v="319"/>
    <s v="PROD83"/>
    <s v="STORE0"/>
    <n v="1"/>
    <n v="92.83"/>
    <n v="0.26"/>
    <x v="1"/>
    <n v="68.694199999999995"/>
    <n v="1458841.2870999987"/>
    <n v="1064.0709606856299"/>
    <n v="478"/>
    <s v="Low Value"/>
    <s v="May-2025"/>
    <s v="Hydrating Face Cleanser"/>
    <s v="Beauty"/>
    <x v="317"/>
  </r>
  <r>
    <s v="SALE630"/>
    <d v="2025-05-27T00:00:00"/>
    <x v="47"/>
    <s v="PROD8"/>
    <s v="STORE3"/>
    <n v="4"/>
    <n v="432.29"/>
    <n v="0.16"/>
    <x v="2"/>
    <n v="1452.4944"/>
    <n v="1458772.5928999986"/>
    <n v="1064.7975130656926"/>
    <n v="477"/>
    <s v="High Value"/>
    <s v="May-2025"/>
    <s v="Wireless Bluetooth Earbuds"/>
    <s v="Electronics"/>
    <x v="47"/>
  </r>
  <r>
    <s v="SALE631"/>
    <d v="2024-01-20T00:00:00"/>
    <x v="52"/>
    <s v="PROD39"/>
    <s v="STORE13"/>
    <n v="2"/>
    <n v="925.78"/>
    <n v="0.14000000000000001"/>
    <x v="2"/>
    <n v="1592.3416"/>
    <n v="1457320.0984999987"/>
    <n v="1064.5143159240313"/>
    <n v="477"/>
    <s v="High Value"/>
    <s v="Jan-2024"/>
    <s v="Portable Power Bank"/>
    <s v="Electronics"/>
    <x v="52"/>
  </r>
  <r>
    <s v="SALE632"/>
    <d v="2024-11-09T00:00:00"/>
    <x v="292"/>
    <s v="PROD25"/>
    <s v="STORE11"/>
    <n v="2"/>
    <n v="151.47"/>
    <n v="0.21"/>
    <x v="1"/>
    <n v="239.32259999999999"/>
    <n v="1455727.7568999985"/>
    <n v="1064.1284772660808"/>
    <n v="477"/>
    <s v="Low Value"/>
    <s v="Nov-2024"/>
    <s v="Women's Scarf Set"/>
    <s v="Clothing"/>
    <x v="290"/>
  </r>
  <r>
    <s v="SALE633"/>
    <d v="2024-02-16T00:00:00"/>
    <x v="194"/>
    <s v="PROD83"/>
    <s v="STORE10"/>
    <n v="1"/>
    <n v="343.05"/>
    <n v="0.28000000000000003"/>
    <x v="1"/>
    <n v="246.99600000000001"/>
    <n v="1455488.4342999985"/>
    <n v="1064.7318465983894"/>
    <n v="476"/>
    <s v="Low Value"/>
    <s v="Feb-2024"/>
    <s v="Hydrating Face Cleanser"/>
    <s v="Beauty"/>
    <x v="193"/>
  </r>
  <r>
    <s v="SALE634"/>
    <d v="2024-12-16T00:00:00"/>
    <x v="149"/>
    <s v="PROD17"/>
    <s v="STORE4"/>
    <n v="1"/>
    <n v="373.06"/>
    <n v="0.11"/>
    <x v="1"/>
    <n v="332.02339999999998"/>
    <n v="1455241.4382999984"/>
    <n v="1065.3304819180075"/>
    <n v="475"/>
    <s v="Low Value"/>
    <s v="Dec-2024"/>
    <s v="Soccer Training Cone Set"/>
    <s v="Sports"/>
    <x v="148"/>
  </r>
  <r>
    <s v="SALE635"/>
    <d v="2025-02-05T00:00:00"/>
    <x v="359"/>
    <s v="PROD18"/>
    <s v="STORE15"/>
    <n v="1"/>
    <n v="124.98"/>
    <n v="7.0000000000000007E-2"/>
    <x v="2"/>
    <n v="116.23139999999999"/>
    <n v="1454909.4148999986"/>
    <n v="1065.8677032234423"/>
    <n v="474"/>
    <s v="Low Value"/>
    <s v="Feb-2025"/>
    <s v="Women's Denim Jeans"/>
    <s v="Clothing"/>
    <x v="357"/>
  </r>
  <r>
    <s v="SALE636"/>
    <d v="2025-04-16T00:00:00"/>
    <x v="156"/>
    <s v="PROD73"/>
    <s v="STORE19"/>
    <n v="4"/>
    <n v="221.49"/>
    <n v="0.26"/>
    <x v="1"/>
    <n v="655.61040000000003"/>
    <n v="1454793.1834999984"/>
    <n v="1066.5639175219931"/>
    <n v="474"/>
    <s v="Low Value"/>
    <s v="Apr-2025"/>
    <s v="Shin Guards – Adult"/>
    <s v="Sports"/>
    <x v="155"/>
  </r>
  <r>
    <s v="SALE637"/>
    <d v="2024-10-07T00:00:00"/>
    <x v="166"/>
    <s v="PROD23"/>
    <s v="STORE15"/>
    <n v="1"/>
    <n v="563.32000000000005"/>
    <n v="0.01"/>
    <x v="1"/>
    <n v="557.68680000000006"/>
    <n v="1454137.5730999983"/>
    <n v="1066.8654241379297"/>
    <n v="473"/>
    <s v="Low Value"/>
    <s v="Oct-2024"/>
    <s v="Men's Formal Shirt"/>
    <s v="Clothing"/>
    <x v="165"/>
  </r>
  <r>
    <s v="SALE638"/>
    <d v="2024-02-16T00:00:00"/>
    <x v="360"/>
    <s v="PROD11"/>
    <s v="STORE0"/>
    <n v="1"/>
    <n v="362.93"/>
    <n v="0.27"/>
    <x v="0"/>
    <n v="264.93889999999999"/>
    <n v="1453579.8862999983"/>
    <n v="1067.2392704111587"/>
    <n v="472"/>
    <s v="Low Value"/>
    <s v="Feb-2024"/>
    <s v="HD Smart TV Stick"/>
    <s v="Electronics"/>
    <x v="358"/>
  </r>
  <r>
    <s v="SALE639"/>
    <d v="2024-03-22T00:00:00"/>
    <x v="361"/>
    <s v="PROD11"/>
    <s v="STORE15"/>
    <n v="4"/>
    <n v="369.22"/>
    <n v="0.18"/>
    <x v="2"/>
    <n v="1211.0416"/>
    <n v="1453314.9473999983"/>
    <n v="1067.8287637031583"/>
    <n v="472"/>
    <s v="High Value"/>
    <s v="Mar-2024"/>
    <s v="HD Smart TV Stick"/>
    <s v="Electronics"/>
    <x v="359"/>
  </r>
  <r>
    <s v="SALE640"/>
    <d v="2024-10-25T00:00:00"/>
    <x v="362"/>
    <s v="PROD96"/>
    <s v="STORE14"/>
    <n v="3"/>
    <n v="950.83"/>
    <n v="0.06"/>
    <x v="1"/>
    <n v="2681.3406"/>
    <n v="1452103.9057999982"/>
    <n v="1067.7234601470575"/>
    <n v="472"/>
    <s v="High Value"/>
    <s v="Oct-2024"/>
    <s v="Women's Formal Blazer"/>
    <s v="Clothing"/>
    <x v="360"/>
  </r>
  <r>
    <s v="SALE641"/>
    <d v="2024-03-14T00:00:00"/>
    <x v="80"/>
    <s v="PROD37"/>
    <s v="STORE13"/>
    <n v="3"/>
    <n v="338.79"/>
    <n v="0.01"/>
    <x v="0"/>
    <n v="1006.2063000000001"/>
    <n v="1449422.565199998"/>
    <n v="1066.5361038999249"/>
    <n v="471"/>
    <s v="High Value"/>
    <s v="Mar-2024"/>
    <s v="Men's Casual Sneakers"/>
    <s v="Clothing"/>
    <x v="79"/>
  </r>
  <r>
    <s v="SALE642"/>
    <d v="2025-02-23T00:00:00"/>
    <x v="310"/>
    <s v="PROD90"/>
    <s v="STORE1"/>
    <n v="3"/>
    <n v="853.32"/>
    <n v="7.0000000000000007E-2"/>
    <x v="2"/>
    <n v="2380.7628"/>
    <n v="1448416.3588999978"/>
    <n v="1066.5805293814417"/>
    <n v="471"/>
    <s v="High Value"/>
    <s v="Feb-2025"/>
    <s v="Gaming Mouse Pad XL"/>
    <s v="Electronics"/>
    <x v="308"/>
  </r>
  <r>
    <s v="SALE643"/>
    <d v="2024-10-21T00:00:00"/>
    <x v="341"/>
    <s v="PROD76"/>
    <s v="STORE6"/>
    <n v="3"/>
    <n v="89.78"/>
    <n v="0.2"/>
    <x v="2"/>
    <n v="215.47200000000001"/>
    <n v="1446035.5960999976"/>
    <n v="1065.612082608694"/>
    <n v="471"/>
    <s v="Low Value"/>
    <s v="Oct-2024"/>
    <s v="Wireless Mouse"/>
    <s v="Electronics"/>
    <x v="339"/>
  </r>
  <r>
    <s v="SALE644"/>
    <d v="2024-02-12T00:00:00"/>
    <x v="226"/>
    <s v="PROD55"/>
    <s v="STORE1"/>
    <n v="1"/>
    <n v="172.04"/>
    <n v="0.04"/>
    <x v="1"/>
    <n v="165.1584"/>
    <n v="1445820.1240999976"/>
    <n v="1066.2390295722696"/>
    <n v="471"/>
    <s v="Low Value"/>
    <s v="Feb-2024"/>
    <s v="Ceramic Plant Pot"/>
    <s v="Home"/>
    <x v="225"/>
  </r>
  <r>
    <s v="SALE645"/>
    <d v="2024-02-11T00:00:00"/>
    <x v="1"/>
    <s v="PROD54"/>
    <s v="STORE1"/>
    <n v="1"/>
    <n v="389.2"/>
    <n v="0.05"/>
    <x v="0"/>
    <n v="369.74"/>
    <n v="1445654.9656999977"/>
    <n v="1066.9040337269355"/>
    <n v="470"/>
    <s v="Low Value"/>
    <s v="Feb-2024"/>
    <s v="Sports Stopwatch Pro"/>
    <s v="Sports"/>
    <x v="1"/>
  </r>
  <r>
    <s v="SALE646"/>
    <d v="2025-05-01T00:00:00"/>
    <x v="343"/>
    <s v="PROD77"/>
    <s v="STORE13"/>
    <n v="3"/>
    <n v="865.96"/>
    <n v="0.12"/>
    <x v="1"/>
    <n v="2286.1343999999999"/>
    <n v="1445285.2256999977"/>
    <n v="1067.4189259231889"/>
    <n v="470"/>
    <s v="High Value"/>
    <s v="May-2025"/>
    <s v="WiFi Mesh Router"/>
    <s v="Electronics"/>
    <x v="341"/>
  </r>
  <r>
    <s v="SALE647"/>
    <d v="2024-10-27T00:00:00"/>
    <x v="186"/>
    <s v="PROD19"/>
    <s v="STORE1"/>
    <n v="3"/>
    <n v="79.95"/>
    <n v="0.2"/>
    <x v="2"/>
    <n v="191.88"/>
    <n v="1442999.0912999976"/>
    <n v="1066.5181753880249"/>
    <n v="469"/>
    <s v="Low Value"/>
    <s v="Oct-2024"/>
    <s v="Knee Support Brace"/>
    <s v="Sports"/>
    <x v="185"/>
  </r>
  <r>
    <s v="SALE648"/>
    <d v="2023-11-29T00:00:00"/>
    <x v="25"/>
    <s v="PROD26"/>
    <s v="STORE7"/>
    <n v="1"/>
    <n v="566.5"/>
    <n v="0.25"/>
    <x v="2"/>
    <n v="424.875"/>
    <n v="1442807.2112999978"/>
    <n v="1067.1650971153829"/>
    <n v="469"/>
    <s v="Low Value"/>
    <s v="Nov-2023"/>
    <s v="Wireless Bluetooth Speaker"/>
    <s v="Electronics"/>
    <x v="25"/>
  </r>
  <r>
    <s v="SALE649"/>
    <d v="2025-05-24T00:00:00"/>
    <x v="363"/>
    <s v="PROD21"/>
    <s v="STORE0"/>
    <n v="2"/>
    <n v="347.95"/>
    <n v="0.13"/>
    <x v="2"/>
    <n v="605.43299999999999"/>
    <n v="1442382.3362999978"/>
    <n v="1067.6405153960013"/>
    <n v="469"/>
    <s v="Low Value"/>
    <s v="May-2025"/>
    <s v="Multi-Purpose Storage Box"/>
    <s v="Home"/>
    <x v="361"/>
  </r>
  <r>
    <s v="SALE650"/>
    <d v="2024-02-25T00:00:00"/>
    <x v="204"/>
    <s v="PROD58"/>
    <s v="STORE3"/>
    <n v="2"/>
    <n v="250.83"/>
    <n v="0.15"/>
    <x v="1"/>
    <n v="426.411"/>
    <n v="1441776.9032999978"/>
    <n v="1067.9828913333317"/>
    <n v="469"/>
    <s v="Low Value"/>
    <s v="Feb-2024"/>
    <s v="Womens Cotton Scarf"/>
    <s v="Clothing"/>
    <x v="203"/>
  </r>
  <r>
    <s v="SALE651"/>
    <d v="2025-03-05T00:00:00"/>
    <x v="341"/>
    <s v="PROD71"/>
    <s v="STORE1"/>
    <n v="1"/>
    <n v="888.05"/>
    <n v="0.2"/>
    <x v="1"/>
    <n v="710.44"/>
    <n v="1441350.4922999977"/>
    <n v="1068.458482060784"/>
    <n v="468"/>
    <s v="Low Value"/>
    <s v="Mar-2025"/>
    <s v="Hair Repair Oil Treatment"/>
    <s v="Beauty"/>
    <x v="339"/>
  </r>
  <r>
    <s v="SALE652"/>
    <d v="2024-08-27T00:00:00"/>
    <x v="279"/>
    <s v="PROD39"/>
    <s v="STORE18"/>
    <n v="2"/>
    <n v="673.02"/>
    <n v="0.11"/>
    <x v="1"/>
    <n v="1197.9756"/>
    <n v="1440640.0522999978"/>
    <n v="1068.7240744065266"/>
    <n v="467"/>
    <s v="High Value"/>
    <s v="Aug-2024"/>
    <s v="Portable Power Bank"/>
    <s v="Electronics"/>
    <x v="277"/>
  </r>
  <r>
    <s v="SALE653"/>
    <d v="2024-02-10T00:00:00"/>
    <x v="364"/>
    <s v="PROD64"/>
    <s v="STORE3"/>
    <n v="2"/>
    <n v="492.62"/>
    <n v="0.26"/>
    <x v="2"/>
    <n v="729.07759999999996"/>
    <n v="1439442.0766999978"/>
    <n v="1068.6281193021512"/>
    <n v="466"/>
    <s v="Low Value"/>
    <s v="Feb-2024"/>
    <s v="Matte Lipstick Set"/>
    <s v="Beauty"/>
    <x v="362"/>
  </r>
  <r>
    <s v="SALE654"/>
    <d v="2024-02-22T00:00:00"/>
    <x v="365"/>
    <s v="PROD85"/>
    <s v="STORE3"/>
    <n v="4"/>
    <n v="986.93"/>
    <n v="0.01"/>
    <x v="0"/>
    <n v="3908.2428"/>
    <n v="1438712.9990999978"/>
    <n v="1068.8803856612169"/>
    <n v="466"/>
    <s v="High Value"/>
    <s v="Feb-2024"/>
    <s v="Women's Beanie Hat"/>
    <s v="Clothing"/>
    <x v="363"/>
  </r>
  <r>
    <s v="SALE655"/>
    <d v="2024-04-06T00:00:00"/>
    <x v="232"/>
    <s v="PROD22"/>
    <s v="STORE12"/>
    <n v="4"/>
    <n v="411.68"/>
    <n v="0.06"/>
    <x v="1"/>
    <n v="1547.9168"/>
    <n v="1434804.7562999979"/>
    <n v="1066.769335539032"/>
    <n v="466"/>
    <s v="High Value"/>
    <s v="Apr-2024"/>
    <s v="Carbon Fiber Tennis Racket"/>
    <s v="Sports"/>
    <x v="231"/>
  </r>
  <r>
    <s v="SALE656"/>
    <d v="2024-04-15T00:00:00"/>
    <x v="209"/>
    <s v="PROD36"/>
    <s v="STORE17"/>
    <n v="2"/>
    <n v="637.55999999999995"/>
    <n v="0.05"/>
    <x v="2"/>
    <n v="1211.364"/>
    <n v="1433256.8394999977"/>
    <n v="1066.4113389136887"/>
    <n v="465"/>
    <s v="High Value"/>
    <s v="Apr-2024"/>
    <s v="Women's Summer Dress"/>
    <s v="Clothing"/>
    <x v="208"/>
  </r>
  <r>
    <s v="SALE657"/>
    <d v="2024-12-07T00:00:00"/>
    <x v="251"/>
    <s v="PROD13"/>
    <s v="STORE3"/>
    <n v="3"/>
    <n v="706.87"/>
    <n v="0.27"/>
    <x v="0"/>
    <n v="1548.0453"/>
    <n v="1432045.4754999978"/>
    <n v="1066.3034069247935"/>
    <n v="465"/>
    <s v="High Value"/>
    <s v="Dec-2024"/>
    <s v="USB-C Fast Charger"/>
    <s v="Electronics"/>
    <x v="250"/>
  </r>
  <r>
    <s v="SALE658"/>
    <d v="2024-12-03T00:00:00"/>
    <x v="366"/>
    <s v="PROD15"/>
    <s v="STORE6"/>
    <n v="2"/>
    <n v="884.48"/>
    <n v="0"/>
    <x v="2"/>
    <n v="1768.96"/>
    <n v="1430497.430199998"/>
    <n v="1065.9444338301028"/>
    <n v="465"/>
    <s v="High Value"/>
    <s v="Dec-2024"/>
    <s v="4K Home Projector"/>
    <s v="Electronics"/>
    <x v="364"/>
  </r>
  <r>
    <s v="SALE659"/>
    <d v="2023-12-31T00:00:00"/>
    <x v="234"/>
    <s v="PROD92"/>
    <s v="STORE4"/>
    <n v="3"/>
    <n v="718.23"/>
    <n v="0.19"/>
    <x v="1"/>
    <n v="1745.2989"/>
    <n v="1428728.470199998"/>
    <n v="1065.4201865771797"/>
    <n v="465"/>
    <s v="High Value"/>
    <s v="Dec-2023"/>
    <s v="Microwave Oven"/>
    <s v="Home"/>
    <x v="233"/>
  </r>
  <r>
    <s v="SALE660"/>
    <d v="2025-09-14T00:00:00"/>
    <x v="367"/>
    <s v="PROD90"/>
    <s v="STORE18"/>
    <n v="3"/>
    <n v="107.44"/>
    <n v="0.27"/>
    <x v="1"/>
    <n v="235.2936"/>
    <n v="1426983.1712999979"/>
    <n v="1064.9128144029835"/>
    <n v="464"/>
    <s v="Low Value"/>
    <s v="Sep-2025"/>
    <s v="Gaming Mouse Pad XL"/>
    <s v="Electronics"/>
    <x v="365"/>
  </r>
  <r>
    <s v="SALE661"/>
    <d v="2025-01-16T00:00:00"/>
    <x v="2"/>
    <s v="PROD46"/>
    <s v="STORE3"/>
    <n v="4"/>
    <n v="608.97"/>
    <n v="0.14000000000000001"/>
    <x v="2"/>
    <n v="2094.8568"/>
    <n v="1426747.877699998"/>
    <n v="1065.5323955937251"/>
    <n v="463"/>
    <s v="High Value"/>
    <s v="Jan-2025"/>
    <s v="Men's Winter Jacket"/>
    <s v="Clothing"/>
    <x v="2"/>
  </r>
  <r>
    <s v="SALE662"/>
    <d v="2025-02-01T00:00:00"/>
    <x v="368"/>
    <s v="PROD61"/>
    <s v="STORE6"/>
    <n v="3"/>
    <n v="260.45999999999998"/>
    <n v="0.09"/>
    <x v="0"/>
    <n v="711.05579999999986"/>
    <n v="1424653.020899998"/>
    <n v="1064.7630948430478"/>
    <n v="463"/>
    <s v="Low Value"/>
    <s v="Feb-2025"/>
    <s v="Tennis Ball 3-Pack"/>
    <s v="Sports"/>
    <x v="366"/>
  </r>
  <r>
    <s v="SALE663"/>
    <d v="2024-12-20T00:00:00"/>
    <x v="331"/>
    <s v="PROD22"/>
    <s v="STORE6"/>
    <n v="1"/>
    <n v="747.03"/>
    <n v="0.01"/>
    <x v="0"/>
    <n v="739.55970000000002"/>
    <n v="1423941.9650999978"/>
    <n v="1065.0276477935661"/>
    <n v="463"/>
    <s v="Low Value"/>
    <s v="Dec-2024"/>
    <s v="Carbon Fiber Tennis Racket"/>
    <s v="Sports"/>
    <x v="329"/>
  </r>
  <r>
    <s v="SALE664"/>
    <d v="2024-07-02T00:00:00"/>
    <x v="53"/>
    <s v="PROD16"/>
    <s v="STORE8"/>
    <n v="4"/>
    <n v="700.88"/>
    <n v="0.23"/>
    <x v="1"/>
    <n v="2158.7103999999999"/>
    <n v="1423202.405399998"/>
    <n v="1065.2712615269445"/>
    <n v="463"/>
    <s v="High Value"/>
    <s v="Jul-2024"/>
    <s v="Beard Grooming Kit"/>
    <s v="Beauty"/>
    <x v="53"/>
  </r>
  <r>
    <s v="SALE665"/>
    <d v="2025-05-04T00:00:00"/>
    <x v="369"/>
    <s v="PROD95"/>
    <s v="STORE14"/>
    <n v="4"/>
    <n v="20.09"/>
    <n v="0.16"/>
    <x v="1"/>
    <n v="67.502399999999994"/>
    <n v="1421043.6949999982"/>
    <n v="1064.452205992508"/>
    <n v="462"/>
    <s v="Low Value"/>
    <s v="May-2025"/>
    <s v="Sports Stopwatch Basic"/>
    <s v="Sports"/>
    <x v="367"/>
  </r>
  <r>
    <s v="SALE666"/>
    <d v="2024-12-28T00:00:00"/>
    <x v="336"/>
    <s v="PROD37"/>
    <s v="STORE11"/>
    <n v="3"/>
    <n v="917.64"/>
    <n v="0.24"/>
    <x v="1"/>
    <n v="2092.2192"/>
    <n v="1420976.1925999981"/>
    <n v="1065.1995446776598"/>
    <n v="461"/>
    <s v="High Value"/>
    <s v="Dec-2024"/>
    <s v="Men's Casual Sneakers"/>
    <s v="Clothing"/>
    <x v="334"/>
  </r>
  <r>
    <s v="SALE667"/>
    <d v="2024-10-29T00:00:00"/>
    <x v="370"/>
    <s v="PROD21"/>
    <s v="STORE0"/>
    <n v="1"/>
    <n v="242.08"/>
    <n v="0.18"/>
    <x v="1"/>
    <n v="198.50559999999999"/>
    <n v="1418883.9733999984"/>
    <n v="1064.4290873218292"/>
    <n v="460"/>
    <s v="Low Value"/>
    <s v="Oct-2024"/>
    <s v="Multi-Purpose Storage Box"/>
    <s v="Home"/>
    <x v="368"/>
  </r>
  <r>
    <s v="SALE668"/>
    <d v="2024-10-16T00:00:00"/>
    <x v="333"/>
    <s v="PROD63"/>
    <s v="STORE7"/>
    <n v="1"/>
    <n v="536.67999999999995"/>
    <n v="0.27"/>
    <x v="0"/>
    <n v="391.77640000000002"/>
    <n v="1418685.4677999984"/>
    <n v="1065.0791800300287"/>
    <n v="459"/>
    <s v="Low Value"/>
    <s v="Oct-2024"/>
    <s v="Organic Sunscreen Lotion"/>
    <s v="Beauty"/>
    <x v="331"/>
  </r>
  <r>
    <s v="SALE669"/>
    <d v="2025-04-01T00:00:00"/>
    <x v="18"/>
    <s v="PROD29"/>
    <s v="STORE4"/>
    <n v="2"/>
    <n v="145.18"/>
    <n v="0.26"/>
    <x v="1"/>
    <n v="214.8664"/>
    <n v="1418293.6913999983"/>
    <n v="1065.5850423741535"/>
    <n v="459"/>
    <s v="Low Value"/>
    <s v="Apr-2025"/>
    <s v="Fabric Sofa Throw Blanket"/>
    <s v="Home"/>
    <x v="18"/>
  </r>
  <r>
    <s v="SALE670"/>
    <d v="2024-03-18T00:00:00"/>
    <x v="70"/>
    <s v="PROD67"/>
    <s v="STORE4"/>
    <n v="2"/>
    <n v="132.77000000000001"/>
    <n v="0.13"/>
    <x v="2"/>
    <n v="231.0198"/>
    <n v="1418078.8249999983"/>
    <n v="1066.2246804511265"/>
    <n v="458"/>
    <s v="Low Value"/>
    <s v="Mar-2024"/>
    <s v="Smart LED Light Strip"/>
    <s v="Electronics"/>
    <x v="69"/>
  </r>
  <r>
    <s v="SALE671"/>
    <d v="2025-02-13T00:00:00"/>
    <x v="199"/>
    <s v="PROD41"/>
    <s v="STORE9"/>
    <n v="4"/>
    <n v="682.11"/>
    <n v="0.14000000000000001"/>
    <x v="0"/>
    <n v="2346.4584"/>
    <n v="1417847.8051999982"/>
    <n v="1066.8531265613231"/>
    <n v="458"/>
    <s v="High Value"/>
    <s v="Feb-2025"/>
    <s v="Yoga Exercise Mat"/>
    <s v="Sports"/>
    <x v="198"/>
  </r>
  <r>
    <s v="SALE672"/>
    <d v="2024-08-06T00:00:00"/>
    <x v="371"/>
    <s v="PROD40"/>
    <s v="STORE17"/>
    <n v="4"/>
    <n v="502.95"/>
    <n v="0.14000000000000001"/>
    <x v="2"/>
    <n v="1730.1479999999999"/>
    <n v="1415501.3467999983"/>
    <n v="1065.8895683734927"/>
    <n v="458"/>
    <s v="High Value"/>
    <s v="Aug-2024"/>
    <s v="Noise-Canceling Headphones"/>
    <s v="Electronics"/>
    <x v="369"/>
  </r>
  <r>
    <s v="SALE673"/>
    <d v="2024-09-03T00:00:00"/>
    <x v="241"/>
    <s v="PROD37"/>
    <s v="STORE16"/>
    <n v="2"/>
    <n v="472.08"/>
    <n v="7.0000000000000007E-2"/>
    <x v="0"/>
    <n v="878.0687999999999"/>
    <n v="1413771.1987999985"/>
    <n v="1065.3889968349649"/>
    <n v="458"/>
    <s v="Low Value"/>
    <s v="Sep-2024"/>
    <s v="Men's Casual Sneakers"/>
    <s v="Clothing"/>
    <x v="240"/>
  </r>
  <r>
    <s v="SALE674"/>
    <d v="2025-01-08T00:00:00"/>
    <x v="117"/>
    <s v="PROD57"/>
    <s v="STORE17"/>
    <n v="2"/>
    <n v="218.11"/>
    <n v="0.02"/>
    <x v="2"/>
    <n v="427.49560000000002"/>
    <n v="1412893.1299999985"/>
    <n v="1065.5302639517333"/>
    <n v="458"/>
    <s v="Low Value"/>
    <s v="Jan-2025"/>
    <s v="Foam Roller"/>
    <s v="Sports"/>
    <x v="116"/>
  </r>
  <r>
    <s v="SALE675"/>
    <d v="2025-07-21T00:00:00"/>
    <x v="333"/>
    <s v="PROD1"/>
    <s v="STORE6"/>
    <n v="4"/>
    <n v="845.58"/>
    <n v="0.06"/>
    <x v="1"/>
    <n v="3179.3807999999999"/>
    <n v="1412465.6343999985"/>
    <n v="1066.0117995471687"/>
    <n v="458"/>
    <s v="High Value"/>
    <s v="Jul-2025"/>
    <s v="Men's Graphic T-Shirt"/>
    <s v="Clothing"/>
    <x v="331"/>
  </r>
  <r>
    <s v="SALE676"/>
    <d v="2023-11-25T00:00:00"/>
    <x v="147"/>
    <s v="PROD80"/>
    <s v="STORE2"/>
    <n v="2"/>
    <n v="111.28"/>
    <n v="0.14000000000000001"/>
    <x v="0"/>
    <n v="191.4016"/>
    <n v="1409286.2535999983"/>
    <n v="1064.415599395769"/>
    <n v="457"/>
    <s v="Low Value"/>
    <s v="Nov-2023"/>
    <s v="Wall-Mounted Spice Rack"/>
    <s v="Home"/>
    <x v="146"/>
  </r>
  <r>
    <s v="SALE677"/>
    <d v="2025-07-04T00:00:00"/>
    <x v="372"/>
    <s v="PROD59"/>
    <s v="STORE14"/>
    <n v="2"/>
    <n v="37.21"/>
    <n v="0.19"/>
    <x v="0"/>
    <n v="60.280200000000008"/>
    <n v="1409094.8519999983"/>
    <n v="1065.0754739229012"/>
    <n v="457"/>
    <s v="Low Value"/>
    <s v="Jul-2025"/>
    <s v="Men's Hair Styling Gel"/>
    <s v="Beauty"/>
    <x v="370"/>
  </r>
  <r>
    <s v="SALE678"/>
    <d v="2023-10-21T00:00:00"/>
    <x v="222"/>
    <s v="PROD62"/>
    <s v="STORE13"/>
    <n v="1"/>
    <n v="331.73"/>
    <n v="0.04"/>
    <x v="0"/>
    <n v="318.46080000000001"/>
    <n v="1409034.5717999982"/>
    <n v="1065.8355308623284"/>
    <n v="457"/>
    <s v="Low Value"/>
    <s v="Oct-2023"/>
    <s v="Laptop Cooling Pad"/>
    <s v="Electronics"/>
    <x v="221"/>
  </r>
  <r>
    <s v="SALE679"/>
    <d v="2023-12-13T00:00:00"/>
    <x v="190"/>
    <s v="PROD70"/>
    <s v="STORE12"/>
    <n v="3"/>
    <n v="306.70999999999998"/>
    <n v="0.09"/>
    <x v="1"/>
    <n v="837.31829999999991"/>
    <n v="1408716.1109999982"/>
    <n v="1066.4012952308842"/>
    <n v="457"/>
    <s v="Low Value"/>
    <s v="Dec-2023"/>
    <s v="Kitchen Storage Rack"/>
    <s v="Home"/>
    <x v="189"/>
  </r>
  <r>
    <s v="SALE680"/>
    <d v="2024-06-13T00:00:00"/>
    <x v="334"/>
    <s v="PROD25"/>
    <s v="STORE6"/>
    <n v="4"/>
    <n v="484.92"/>
    <n v="0.28000000000000003"/>
    <x v="1"/>
    <n v="1396.5696"/>
    <n v="1407878.7926999982"/>
    <n v="1066.5748429545442"/>
    <n v="456"/>
    <s v="High Value"/>
    <s v="Jun-2024"/>
    <s v="Women's Scarf Set"/>
    <s v="Clothing"/>
    <x v="332"/>
  </r>
  <r>
    <s v="SALE681"/>
    <d v="2024-01-01T00:00:00"/>
    <x v="278"/>
    <s v="PROD50"/>
    <s v="STORE5"/>
    <n v="2"/>
    <n v="42.04"/>
    <n v="7.0000000000000007E-2"/>
    <x v="0"/>
    <n v="78.194399999999987"/>
    <n v="1406482.2230999982"/>
    <n v="1066.3246573919623"/>
    <n v="455"/>
    <s v="Low Value"/>
    <s v="Jan-2024"/>
    <s v="Boxing Hand Wraps"/>
    <s v="Sports"/>
    <x v="276"/>
  </r>
  <r>
    <s v="SALE682"/>
    <d v="2023-12-18T00:00:00"/>
    <x v="373"/>
    <s v="PROD55"/>
    <s v="STORE6"/>
    <n v="3"/>
    <n v="599.48"/>
    <n v="0.22"/>
    <x v="1"/>
    <n v="1402.7832000000001"/>
    <n v="1406404.0286999983"/>
    <n v="1067.0743768588757"/>
    <n v="455"/>
    <s v="High Value"/>
    <s v="Dec-2023"/>
    <s v="Ceramic Plant Pot"/>
    <s v="Home"/>
    <x v="371"/>
  </r>
  <r>
    <s v="SALE683"/>
    <d v="2023-11-02T00:00:00"/>
    <x v="374"/>
    <s v="PROD17"/>
    <s v="STORE1"/>
    <n v="3"/>
    <n v="401.42"/>
    <n v="0.01"/>
    <x v="2"/>
    <n v="1192.2174"/>
    <n v="1405001.2454999983"/>
    <n v="1066.8194726651468"/>
    <n v="454"/>
    <s v="High Value"/>
    <s v="Nov-2023"/>
    <s v="Soccer Training Cone Set"/>
    <s v="Sports"/>
    <x v="372"/>
  </r>
  <r>
    <s v="SALE684"/>
    <d v="2025-09-07T00:00:00"/>
    <x v="375"/>
    <s v="PROD46"/>
    <s v="STORE8"/>
    <n v="4"/>
    <n v="442.54"/>
    <n v="0.06"/>
    <x v="0"/>
    <n v="1663.9503999999999"/>
    <n v="1403809.0280999984"/>
    <n v="1066.7241854863209"/>
    <n v="454"/>
    <s v="High Value"/>
    <s v="Sep-2025"/>
    <s v="Men's Winter Jacket"/>
    <s v="Clothing"/>
    <x v="373"/>
  </r>
  <r>
    <s v="SALE685"/>
    <d v="2023-12-10T00:00:00"/>
    <x v="376"/>
    <s v="PROD88"/>
    <s v="STORE13"/>
    <n v="4"/>
    <n v="451.41"/>
    <n v="0.06"/>
    <x v="1"/>
    <n v="1697.3016"/>
    <n v="1402145.0776999984"/>
    <n v="1066.2700210646376"/>
    <n v="454"/>
    <s v="High Value"/>
    <s v="Dec-2023"/>
    <s v="Sports Wrist Sweatbands"/>
    <s v="Sports"/>
    <x v="374"/>
  </r>
  <r>
    <s v="SALE686"/>
    <d v="2025-10-12T00:00:00"/>
    <x v="299"/>
    <s v="PROD91"/>
    <s v="STORE9"/>
    <n v="4"/>
    <n v="547.21"/>
    <n v="0.25"/>
    <x v="0"/>
    <n v="1641.63"/>
    <n v="1400447.7760999985"/>
    <n v="1065.7897839421603"/>
    <n v="453"/>
    <s v="High Value"/>
    <s v="Oct-2025"/>
    <s v="Women's High Heels"/>
    <s v="Clothing"/>
    <x v="297"/>
  </r>
  <r>
    <s v="SALE687"/>
    <d v="2025-04-03T00:00:00"/>
    <x v="43"/>
    <s v="PROD87"/>
    <s v="STORE4"/>
    <n v="1"/>
    <n v="979.28"/>
    <n v="0.2"/>
    <x v="1"/>
    <n v="783.42399999999998"/>
    <n v="1398806.1460999984"/>
    <n v="1065.3512156130985"/>
    <n v="453"/>
    <s v="Low Value"/>
    <s v="Apr-2025"/>
    <s v="LED Bedside Lamp"/>
    <s v="Home"/>
    <x v="43"/>
  </r>
  <r>
    <s v="SALE688"/>
    <d v="2024-01-09T00:00:00"/>
    <x v="9"/>
    <s v="PROD56"/>
    <s v="STORE7"/>
    <n v="4"/>
    <n v="263.58999999999997"/>
    <n v="0.04"/>
    <x v="0"/>
    <n v="1012.1856"/>
    <n v="1398022.7220999983"/>
    <n v="1065.5660991615841"/>
    <n v="452"/>
    <s v="High Value"/>
    <s v="Jan-2024"/>
    <s v="Premium Blanket Throw"/>
    <s v="Home"/>
    <x v="9"/>
  </r>
  <r>
    <s v="SALE689"/>
    <d v="2025-08-07T00:00:00"/>
    <x v="93"/>
    <s v="PROD54"/>
    <s v="STORE5"/>
    <n v="1"/>
    <n v="692.75"/>
    <n v="0.11"/>
    <x v="2"/>
    <n v="616.54750000000001"/>
    <n v="1397010.5364999983"/>
    <n v="1065.6068165522488"/>
    <n v="452"/>
    <s v="Low Value"/>
    <s v="Aug-2025"/>
    <s v="Sports Stopwatch Pro"/>
    <s v="Sports"/>
    <x v="92"/>
  </r>
  <r>
    <s v="SALE690"/>
    <d v="2024-01-10T00:00:00"/>
    <x v="300"/>
    <s v="PROD63"/>
    <s v="STORE3"/>
    <n v="3"/>
    <n v="142.83000000000001"/>
    <n v="0.01"/>
    <x v="0"/>
    <n v="424.20510000000002"/>
    <n v="1396393.9889999984"/>
    <n v="1065.9496099236628"/>
    <n v="452"/>
    <s v="Low Value"/>
    <s v="Jan-2024"/>
    <s v="Organic Sunscreen Lotion"/>
    <s v="Beauty"/>
    <x v="298"/>
  </r>
  <r>
    <s v="SALE691"/>
    <d v="2025-07-19T00:00:00"/>
    <x v="377"/>
    <s v="PROD22"/>
    <s v="STORE2"/>
    <n v="2"/>
    <n v="419.25"/>
    <n v="0.17"/>
    <x v="1"/>
    <n v="695.95499999999993"/>
    <n v="1395969.7838999983"/>
    <n v="1066.439865469823"/>
    <n v="452"/>
    <s v="Low Value"/>
    <s v="Jul-2025"/>
    <s v="Carbon Fiber Tennis Racket"/>
    <s v="Sports"/>
    <x v="375"/>
  </r>
  <r>
    <s v="SALE692"/>
    <d v="2024-12-24T00:00:00"/>
    <x v="195"/>
    <s v="PROD26"/>
    <s v="STORE19"/>
    <n v="2"/>
    <n v="800.84"/>
    <n v="0.27"/>
    <x v="2"/>
    <n v="1169.2264"/>
    <n v="1395273.8288999985"/>
    <n v="1066.7231107798154"/>
    <n v="451"/>
    <s v="High Value"/>
    <s v="Dec-2024"/>
    <s v="Wireless Bluetooth Speaker"/>
    <s v="Electronics"/>
    <x v="194"/>
  </r>
  <r>
    <s v="SALE693"/>
    <d v="2024-08-16T00:00:00"/>
    <x v="283"/>
    <s v="PROD48"/>
    <s v="STORE2"/>
    <n v="1"/>
    <n v="301.24"/>
    <n v="0.11"/>
    <x v="1"/>
    <n v="268.10359999999997"/>
    <n v="1394104.6024999984"/>
    <n v="1066.6446843917356"/>
    <n v="451"/>
    <s v="Low Value"/>
    <s v="Aug-2024"/>
    <s v="Car Dashboard Phone Holder"/>
    <s v="Electronics"/>
    <x v="281"/>
  </r>
  <r>
    <s v="SALE694"/>
    <d v="2024-07-24T00:00:00"/>
    <x v="285"/>
    <s v="PROD85"/>
    <s v="STORE5"/>
    <n v="2"/>
    <n v="701.49"/>
    <n v="0.09"/>
    <x v="1"/>
    <n v="1276.7118"/>
    <n v="1393836.4988999984"/>
    <n v="1067.256124732005"/>
    <n v="450"/>
    <s v="High Value"/>
    <s v="Jul-2024"/>
    <s v="Women's Beanie Hat"/>
    <s v="Clothing"/>
    <x v="283"/>
  </r>
  <r>
    <s v="SALE695"/>
    <d v="2024-11-19T00:00:00"/>
    <x v="378"/>
    <s v="PROD26"/>
    <s v="STORE10"/>
    <n v="4"/>
    <n v="413.48"/>
    <n v="0.02"/>
    <x v="1"/>
    <n v="1620.8416"/>
    <n v="1392559.7870999984"/>
    <n v="1067.0956222988493"/>
    <n v="449"/>
    <s v="High Value"/>
    <s v="Nov-2024"/>
    <s v="Wireless Bluetooth Speaker"/>
    <s v="Electronics"/>
    <x v="376"/>
  </r>
  <r>
    <s v="SALE696"/>
    <d v="2024-03-14T00:00:00"/>
    <x v="303"/>
    <s v="PROD8"/>
    <s v="STORE1"/>
    <n v="4"/>
    <n v="167.83"/>
    <n v="0.15"/>
    <x v="0"/>
    <n v="570.62200000000007"/>
    <n v="1390938.9454999985"/>
    <n v="1066.6709704754589"/>
    <n v="448"/>
    <s v="Low Value"/>
    <s v="Mar-2024"/>
    <s v="Wireless Bluetooth Earbuds"/>
    <s v="Electronics"/>
    <x v="301"/>
  </r>
  <r>
    <s v="SALE697"/>
    <d v="2025-06-24T00:00:00"/>
    <x v="379"/>
    <s v="PROD15"/>
    <s v="STORE18"/>
    <n v="2"/>
    <n v="669.12"/>
    <n v="0.22"/>
    <x v="0"/>
    <n v="1043.8271999999999"/>
    <n v="1390368.3234999985"/>
    <n v="1067.051668073675"/>
    <n v="448"/>
    <s v="High Value"/>
    <s v="Jun-2025"/>
    <s v="4K Home Projector"/>
    <s v="Electronics"/>
    <x v="377"/>
  </r>
  <r>
    <s v="SALE698"/>
    <d v="2024-08-26T00:00:00"/>
    <x v="276"/>
    <s v="PROD37"/>
    <s v="STORE7"/>
    <n v="3"/>
    <n v="346.77"/>
    <n v="0.18"/>
    <x v="1"/>
    <n v="853.05420000000004"/>
    <n v="1389324.4962999986"/>
    <n v="1067.0695056067577"/>
    <n v="448"/>
    <s v="Low Value"/>
    <s v="Aug-2024"/>
    <s v="Men's Casual Sneakers"/>
    <s v="Clothing"/>
    <x v="274"/>
  </r>
  <r>
    <s v="SALE699"/>
    <d v="2025-10-09T00:00:00"/>
    <x v="358"/>
    <s v="PROD23"/>
    <s v="STORE19"/>
    <n v="3"/>
    <n v="648.33000000000004"/>
    <n v="0.2"/>
    <x v="2"/>
    <n v="1555.992"/>
    <n v="1388471.4420999987"/>
    <n v="1067.2340062259791"/>
    <n v="447"/>
    <s v="High Value"/>
    <s v="Oct-2025"/>
    <s v="Men's Formal Shirt"/>
    <s v="Clothing"/>
    <x v="356"/>
  </r>
  <r>
    <s v="SALE700"/>
    <d v="2024-04-19T00:00:00"/>
    <x v="380"/>
    <s v="PROD6"/>
    <s v="STORE2"/>
    <n v="4"/>
    <n v="254.94"/>
    <n v="0.06"/>
    <x v="1"/>
    <n v="958.57439999999997"/>
    <n v="1386915.4500999989"/>
    <n v="1066.8580385384607"/>
    <n v="447"/>
    <s v="Low Value"/>
    <s v="Apr-2024"/>
    <s v="Herbal Face Moisturizer"/>
    <s v="Beauty"/>
    <x v="378"/>
  </r>
  <r>
    <s v="SALE701"/>
    <d v="2024-05-08T00:00:00"/>
    <x v="94"/>
    <s v="PROD81"/>
    <s v="STORE4"/>
    <n v="1"/>
    <n v="445.5"/>
    <n v="0.28000000000000003"/>
    <x v="0"/>
    <n v="320.76"/>
    <n v="1385956.8756999988"/>
    <n v="1066.9413977675126"/>
    <n v="446"/>
    <s v="Low Value"/>
    <s v="May-2024"/>
    <s v="Badminton Racket Set"/>
    <s v="Sports"/>
    <x v="93"/>
  </r>
  <r>
    <s v="SALE702"/>
    <d v="2024-06-16T00:00:00"/>
    <x v="70"/>
    <s v="PROD90"/>
    <s v="STORE4"/>
    <n v="1"/>
    <n v="900.94"/>
    <n v="0.1"/>
    <x v="0"/>
    <n v="810.84600000000012"/>
    <n v="1385636.1156999988"/>
    <n v="1067.5162678736508"/>
    <n v="446"/>
    <s v="Low Value"/>
    <s v="Jun-2024"/>
    <s v="Gaming Mouse Pad XL"/>
    <s v="Electronics"/>
    <x v="69"/>
  </r>
  <r>
    <s v="SALE703"/>
    <d v="2024-05-17T00:00:00"/>
    <x v="381"/>
    <s v="PROD15"/>
    <s v="STORE16"/>
    <n v="3"/>
    <n v="262.69"/>
    <n v="0.04"/>
    <x v="1"/>
    <n v="756.54719999999986"/>
    <n v="1384825.2696999989"/>
    <n v="1067.7141632228211"/>
    <n v="446"/>
    <s v="Low Value"/>
    <s v="May-2024"/>
    <s v="4K Home Projector"/>
    <s v="Electronics"/>
    <x v="379"/>
  </r>
  <r>
    <s v="SALE704"/>
    <d v="2024-04-04T00:00:00"/>
    <x v="382"/>
    <s v="PROD68"/>
    <s v="STORE2"/>
    <n v="3"/>
    <n v="212.72"/>
    <n v="0.22"/>
    <x v="1"/>
    <n v="497.76479999999998"/>
    <n v="1384068.722499999"/>
    <n v="1067.9542611882707"/>
    <n v="445"/>
    <s v="Low Value"/>
    <s v="Apr-2024"/>
    <s v="Wooden Nightstand"/>
    <s v="Home"/>
    <x v="380"/>
  </r>
  <r>
    <s v="SALE705"/>
    <d v="2025-05-26T00:00:00"/>
    <x v="383"/>
    <s v="PROD24"/>
    <s v="STORE18"/>
    <n v="4"/>
    <n v="757.9"/>
    <n v="0.22"/>
    <x v="1"/>
    <n v="2364.6480000000001"/>
    <n v="1383570.9576999987"/>
    <n v="1068.3945619305009"/>
    <n v="444"/>
    <s v="High Value"/>
    <s v="May-2025"/>
    <s v="Foldable Camping Chair"/>
    <s v="Sports"/>
    <x v="381"/>
  </r>
  <r>
    <s v="SALE706"/>
    <d v="2024-02-24T00:00:00"/>
    <x v="223"/>
    <s v="PROD80"/>
    <s v="STORE17"/>
    <n v="1"/>
    <n v="846.04"/>
    <n v="0.08"/>
    <x v="1"/>
    <n v="778.35680000000002"/>
    <n v="1381206.3096999987"/>
    <n v="1067.3928204791334"/>
    <n v="443"/>
    <s v="Low Value"/>
    <s v="Feb-2024"/>
    <s v="Wall-Mounted Spice Rack"/>
    <s v="Home"/>
    <x v="222"/>
  </r>
  <r>
    <s v="SALE707"/>
    <d v="2023-12-07T00:00:00"/>
    <x v="287"/>
    <s v="PROD38"/>
    <s v="STORE7"/>
    <n v="3"/>
    <n v="179.7"/>
    <n v="0.17"/>
    <x v="2"/>
    <n v="447.45299999999992"/>
    <n v="1380427.9528999988"/>
    <n v="1067.6163595514299"/>
    <n v="442"/>
    <s v="Low Value"/>
    <s v="Dec-2023"/>
    <s v="Sports Water Hydration Pack"/>
    <s v="Sports"/>
    <x v="285"/>
  </r>
  <r>
    <s v="SALE708"/>
    <d v="2024-10-07T00:00:00"/>
    <x v="384"/>
    <s v="PROD31"/>
    <s v="STORE4"/>
    <n v="4"/>
    <n v="681.08"/>
    <n v="0"/>
    <x v="1"/>
    <n v="2724.32"/>
    <n v="1379980.4998999988"/>
    <n v="1068.0963621517019"/>
    <n v="442"/>
    <s v="High Value"/>
    <s v="Oct-2024"/>
    <s v="Basketball"/>
    <s v="Sports"/>
    <x v="382"/>
  </r>
  <r>
    <s v="SALE709"/>
    <d v="2023-11-22T00:00:00"/>
    <x v="75"/>
    <s v="PROD4"/>
    <s v="STORE7"/>
    <n v="4"/>
    <n v="723.44"/>
    <n v="0.14000000000000001"/>
    <x v="1"/>
    <n v="2488.6336000000001"/>
    <n v="1377256.1798999989"/>
    <n v="1066.813462354763"/>
    <n v="441"/>
    <s v="High Value"/>
    <s v="Nov-2023"/>
    <s v="Women's Yoga Pants"/>
    <s v="Clothing"/>
    <x v="74"/>
  </r>
  <r>
    <s v="SALE710"/>
    <d v="2025-10-09T00:00:00"/>
    <x v="56"/>
    <s v="PROD31"/>
    <s v="STORE14"/>
    <n v="4"/>
    <n v="471.89"/>
    <n v="0.12"/>
    <x v="2"/>
    <n v="1661.0527999999999"/>
    <n v="1374767.5462999991"/>
    <n v="1065.7112762015497"/>
    <n v="440"/>
    <s v="High Value"/>
    <s v="Oct-2025"/>
    <s v="Basketball"/>
    <s v="Sports"/>
    <x v="56"/>
  </r>
  <r>
    <s v="SALE711"/>
    <d v="2024-09-24T00:00:00"/>
    <x v="302"/>
    <s v="PROD71"/>
    <s v="STORE17"/>
    <n v="1"/>
    <n v="613.17999999999995"/>
    <n v="0.14000000000000001"/>
    <x v="2"/>
    <n v="527.33479999999997"/>
    <n v="1373106.4934999992"/>
    <n v="1065.2494131109381"/>
    <n v="440"/>
    <s v="Low Value"/>
    <s v="Sep-2024"/>
    <s v="Hair Repair Oil Treatment"/>
    <s v="Beauty"/>
    <x v="300"/>
  </r>
  <r>
    <s v="SALE712"/>
    <d v="2023-10-30T00:00:00"/>
    <x v="370"/>
    <s v="PROD43"/>
    <s v="STORE4"/>
    <n v="1"/>
    <n v="651.30999999999995"/>
    <n v="0.24"/>
    <x v="1"/>
    <n v="494.99560000000002"/>
    <n v="1372579.1586999991"/>
    <n v="1065.6670486801236"/>
    <n v="440"/>
    <s v="Low Value"/>
    <s v="Oct-2023"/>
    <s v="USB External Hard Drive"/>
    <s v="Electronics"/>
    <x v="368"/>
  </r>
  <r>
    <s v="SALE713"/>
    <d v="2024-02-11T00:00:00"/>
    <x v="385"/>
    <s v="PROD3"/>
    <s v="STORE6"/>
    <n v="2"/>
    <n v="635.14"/>
    <n v="0.1"/>
    <x v="2"/>
    <n v="1143.252"/>
    <n v="1372084.1630999991"/>
    <n v="1066.1104608391602"/>
    <n v="439"/>
    <s v="High Value"/>
    <s v="Feb-2024"/>
    <s v="Men's Running Jacket"/>
    <s v="Clothing"/>
    <x v="383"/>
  </r>
  <r>
    <s v="SALE714"/>
    <d v="2025-04-05T00:00:00"/>
    <x v="386"/>
    <s v="PROD98"/>
    <s v="STORE14"/>
    <n v="4"/>
    <n v="912.61"/>
    <n v="0.14000000000000001"/>
    <x v="0"/>
    <n v="3139.3784000000001"/>
    <n v="1370940.911099999"/>
    <n v="1066.0504751944004"/>
    <n v="439"/>
    <s v="High Value"/>
    <s v="Apr-2025"/>
    <s v="Portable Bluetooth Speaker"/>
    <s v="Electronics"/>
    <x v="384"/>
  </r>
  <r>
    <s v="SALE715"/>
    <d v="2025-05-18T00:00:00"/>
    <x v="387"/>
    <s v="PROD47"/>
    <s v="STORE7"/>
    <n v="3"/>
    <n v="79.77"/>
    <n v="0.09"/>
    <x v="0"/>
    <n v="217.77209999999999"/>
    <n v="1367801.5326999992"/>
    <n v="1064.436990428015"/>
    <n v="439"/>
    <s v="Low Value"/>
    <s v="May-2025"/>
    <s v="Makeup Brush Set"/>
    <s v="Beauty"/>
    <x v="385"/>
  </r>
  <r>
    <s v="SALE716"/>
    <d v="2025-04-08T00:00:00"/>
    <x v="107"/>
    <s v="PROD94"/>
    <s v="STORE15"/>
    <n v="4"/>
    <n v="603.52"/>
    <n v="0.25"/>
    <x v="0"/>
    <n v="1810.56"/>
    <n v="1367583.7605999992"/>
    <n v="1065.096386760124"/>
    <n v="439"/>
    <s v="High Value"/>
    <s v="Apr-2025"/>
    <s v="Vitamin E Body Lotion"/>
    <s v="Beauty"/>
    <x v="106"/>
  </r>
  <r>
    <s v="SALE717"/>
    <d v="2024-11-29T00:00:00"/>
    <x v="259"/>
    <s v="PROD77"/>
    <s v="STORE12"/>
    <n v="4"/>
    <n v="453.12"/>
    <n v="0.23"/>
    <x v="2"/>
    <n v="1395.6096"/>
    <n v="1365773.2005999994"/>
    <n v="1064.5153551052217"/>
    <n v="439"/>
    <s v="High Value"/>
    <s v="Nov-2024"/>
    <s v="WiFi Mesh Router"/>
    <s v="Electronics"/>
    <x v="258"/>
  </r>
  <r>
    <s v="SALE718"/>
    <d v="2024-12-30T00:00:00"/>
    <x v="388"/>
    <s v="PROD33"/>
    <s v="STORE9"/>
    <n v="2"/>
    <n v="974.35"/>
    <n v="0.15"/>
    <x v="0"/>
    <n v="1656.395"/>
    <n v="1364377.5909999993"/>
    <n v="1064.25709126365"/>
    <n v="439"/>
    <s v="High Value"/>
    <s v="Dec-2024"/>
    <s v="Modern Wall Clock"/>
    <s v="Home"/>
    <x v="386"/>
  </r>
  <r>
    <s v="SALE719"/>
    <d v="2025-06-16T00:00:00"/>
    <x v="22"/>
    <s v="PROD95"/>
    <s v="STORE17"/>
    <n v="4"/>
    <n v="52.35"/>
    <n v="0.23"/>
    <x v="2"/>
    <n v="161.238"/>
    <n v="1362721.1959999993"/>
    <n v="1063.7948446526145"/>
    <n v="439"/>
    <s v="Low Value"/>
    <s v="Jun-2025"/>
    <s v="Sports Stopwatch Basic"/>
    <s v="Sports"/>
    <x v="22"/>
  </r>
  <r>
    <s v="SALE720"/>
    <d v="2025-06-16T00:00:00"/>
    <x v="260"/>
    <s v="PROD65"/>
    <s v="STORE17"/>
    <n v="3"/>
    <n v="681.58"/>
    <n v="0.23"/>
    <x v="0"/>
    <n v="1574.4498000000001"/>
    <n v="1362559.9579999994"/>
    <n v="1064.4999671874996"/>
    <n v="439"/>
    <s v="High Value"/>
    <s v="Jun-2025"/>
    <s v="Adjustable Dumbbells 20kg"/>
    <s v="Sports"/>
    <x v="259"/>
  </r>
  <r>
    <s v="SALE721"/>
    <d v="2024-04-02T00:00:00"/>
    <x v="372"/>
    <s v="PROD83"/>
    <s v="STORE15"/>
    <n v="3"/>
    <n v="71.23"/>
    <n v="0.03"/>
    <x v="0"/>
    <n v="207.27930000000001"/>
    <n v="1360985.5081999993"/>
    <n v="1064.1012573885844"/>
    <n v="439"/>
    <s v="Low Value"/>
    <s v="Apr-2024"/>
    <s v="Hydrating Face Cleanser"/>
    <s v="Beauty"/>
    <x v="370"/>
  </r>
  <r>
    <s v="SALE722"/>
    <d v="2024-03-28T00:00:00"/>
    <x v="254"/>
    <s v="PROD15"/>
    <s v="STORE14"/>
    <n v="1"/>
    <n v="31.36"/>
    <n v="0.21"/>
    <x v="2"/>
    <n v="24.7744"/>
    <n v="1360778.2288999993"/>
    <n v="1064.7716971048508"/>
    <n v="439"/>
    <s v="Low Value"/>
    <s v="Mar-2024"/>
    <s v="4K Home Projector"/>
    <s v="Electronics"/>
    <x v="253"/>
  </r>
  <r>
    <s v="SALE723"/>
    <d v="2025-01-17T00:00:00"/>
    <x v="389"/>
    <s v="PROD41"/>
    <s v="STORE13"/>
    <n v="2"/>
    <n v="555.54999999999995"/>
    <n v="0.14000000000000001"/>
    <x v="0"/>
    <n v="955.54599999999994"/>
    <n v="1360753.4544999993"/>
    <n v="1065.5861037588093"/>
    <n v="439"/>
    <s v="Low Value"/>
    <s v="Jan-2025"/>
    <s v="Yoga Exercise Mat"/>
    <s v="Sports"/>
    <x v="387"/>
  </r>
  <r>
    <s v="SALE724"/>
    <d v="2025-04-13T00:00:00"/>
    <x v="243"/>
    <s v="PROD66"/>
    <s v="STORE16"/>
    <n v="4"/>
    <n v="805.99"/>
    <n v="0.06"/>
    <x v="0"/>
    <n v="3030.5223999999998"/>
    <n v="1359797.9084999994"/>
    <n v="1065.672342084639"/>
    <n v="439"/>
    <s v="High Value"/>
    <s v="Apr-2025"/>
    <s v="Women's Hair Dryer Brush"/>
    <s v="Beauty"/>
    <x v="242"/>
  </r>
  <r>
    <s v="SALE725"/>
    <d v="2024-07-01T00:00:00"/>
    <x v="327"/>
    <s v="PROD71"/>
    <s v="STORE1"/>
    <n v="1"/>
    <n v="506.55"/>
    <n v="0.28000000000000003"/>
    <x v="0"/>
    <n v="364.71600000000001"/>
    <n v="1356767.3860999993"/>
    <n v="1064.1312832156857"/>
    <n v="439"/>
    <s v="Low Value"/>
    <s v="Jul-2024"/>
    <s v="Hair Repair Oil Treatment"/>
    <s v="Beauty"/>
    <x v="325"/>
  </r>
  <r>
    <s v="SALE726"/>
    <d v="2024-12-14T00:00:00"/>
    <x v="390"/>
    <s v="PROD41"/>
    <s v="STORE11"/>
    <n v="3"/>
    <n v="28.69"/>
    <n v="0.02"/>
    <x v="0"/>
    <n v="84.348600000000005"/>
    <n v="1356402.6700999993"/>
    <n v="1064.6802748037671"/>
    <n v="439"/>
    <s v="Low Value"/>
    <s v="Dec-2024"/>
    <s v="Yoga Exercise Mat"/>
    <s v="Sports"/>
    <x v="388"/>
  </r>
  <r>
    <s v="SALE727"/>
    <d v="2023-11-23T00:00:00"/>
    <x v="391"/>
    <s v="PROD76"/>
    <s v="STORE4"/>
    <n v="1"/>
    <n v="106.07"/>
    <n v="0.23"/>
    <x v="2"/>
    <n v="81.673900000000003"/>
    <n v="1356318.3214999991"/>
    <n v="1065.4503703849168"/>
    <n v="439"/>
    <s v="Low Value"/>
    <s v="Nov-2023"/>
    <s v="Wireless Mouse"/>
    <s v="Electronics"/>
    <x v="389"/>
  </r>
  <r>
    <s v="SALE728"/>
    <d v="2023-10-26T00:00:00"/>
    <x v="218"/>
    <s v="PROD91"/>
    <s v="STORE0"/>
    <n v="4"/>
    <n v="289.77"/>
    <n v="0.06"/>
    <x v="1"/>
    <n v="1089.5352"/>
    <n v="1356236.6475999993"/>
    <n v="1066.223779559748"/>
    <n v="439"/>
    <s v="High Value"/>
    <s v="Oct-2023"/>
    <s v="Women's High Heels"/>
    <s v="Clothing"/>
    <x v="217"/>
  </r>
  <r>
    <s v="SALE729"/>
    <d v="2023-12-03T00:00:00"/>
    <x v="308"/>
    <s v="PROD83"/>
    <s v="STORE18"/>
    <n v="2"/>
    <n v="354.26"/>
    <n v="0.01"/>
    <x v="2"/>
    <n v="701.4348"/>
    <n v="1355147.1123999991"/>
    <n v="1066.2054385523202"/>
    <n v="438"/>
    <s v="Low Value"/>
    <s v="Dec-2023"/>
    <s v="Hydrating Face Cleanser"/>
    <s v="Beauty"/>
    <x v="306"/>
  </r>
  <r>
    <s v="SALE730"/>
    <d v="2024-09-19T00:00:00"/>
    <x v="392"/>
    <s v="PROD68"/>
    <s v="STORE14"/>
    <n v="1"/>
    <n v="522.72"/>
    <n v="0.25"/>
    <x v="1"/>
    <n v="392.04"/>
    <n v="1354445.6775999991"/>
    <n v="1066.4926595275583"/>
    <n v="438"/>
    <s v="Low Value"/>
    <s v="Sep-2024"/>
    <s v="Wooden Nightstand"/>
    <s v="Home"/>
    <x v="390"/>
  </r>
  <r>
    <s v="SALE731"/>
    <d v="2024-10-04T00:00:00"/>
    <x v="333"/>
    <s v="PROD5"/>
    <s v="STORE9"/>
    <n v="3"/>
    <n v="966.02"/>
    <n v="0.03"/>
    <x v="2"/>
    <n v="2811.1181999999999"/>
    <n v="1354053.6375999991"/>
    <n v="1067.0241431048062"/>
    <n v="437"/>
    <s v="High Value"/>
    <s v="Oct-2024"/>
    <s v="Men's Leather Belt"/>
    <s v="Clothing"/>
    <x v="331"/>
  </r>
  <r>
    <s v="SALE732"/>
    <d v="2023-10-18T00:00:00"/>
    <x v="224"/>
    <s v="PROD50"/>
    <s v="STORE17"/>
    <n v="1"/>
    <n v="498.61"/>
    <n v="0.04"/>
    <x v="1"/>
    <n v="478.66559999999998"/>
    <n v="1351242.5193999992"/>
    <n v="1065.6486746056776"/>
    <n v="437"/>
    <s v="Low Value"/>
    <s v="Oct-2023"/>
    <s v="Boxing Hand Wraps"/>
    <s v="Sports"/>
    <x v="223"/>
  </r>
  <r>
    <s v="SALE733"/>
    <d v="2025-05-06T00:00:00"/>
    <x v="393"/>
    <s v="PROD42"/>
    <s v="STORE6"/>
    <n v="4"/>
    <n v="758.27"/>
    <n v="0.05"/>
    <x v="1"/>
    <n v="2881.4259999999999"/>
    <n v="1350763.8537999992"/>
    <n v="1066.111960378847"/>
    <n v="436"/>
    <s v="High Value"/>
    <s v="May-2025"/>
    <s v="Smart Home WiFi Camera"/>
    <s v="Electronics"/>
    <x v="391"/>
  </r>
  <r>
    <s v="SALE734"/>
    <d v="2024-03-20T00:00:00"/>
    <x v="227"/>
    <s v="PROD3"/>
    <s v="STORE2"/>
    <n v="2"/>
    <n v="371.03"/>
    <n v="0.23"/>
    <x v="1"/>
    <n v="571.38619999999992"/>
    <n v="1347882.4277999988"/>
    <n v="1064.6780630331743"/>
    <n v="435"/>
    <s v="Low Value"/>
    <s v="Mar-2024"/>
    <s v="Men's Running Jacket"/>
    <s v="Clothing"/>
    <x v="226"/>
  </r>
  <r>
    <s v="SALE735"/>
    <d v="2024-06-10T00:00:00"/>
    <x v="394"/>
    <s v="PROD91"/>
    <s v="STORE17"/>
    <n v="1"/>
    <n v="230.32"/>
    <n v="0.05"/>
    <x v="2"/>
    <n v="218.804"/>
    <n v="1347311.0415999989"/>
    <n v="1065.0680170750979"/>
    <n v="434"/>
    <s v="Low Value"/>
    <s v="Jun-2024"/>
    <s v="Women's High Heels"/>
    <s v="Clothing"/>
    <x v="392"/>
  </r>
  <r>
    <s v="SALE736"/>
    <d v="2024-08-22T00:00:00"/>
    <x v="395"/>
    <s v="PROD61"/>
    <s v="STORE6"/>
    <n v="2"/>
    <n v="985.43"/>
    <n v="0.28000000000000003"/>
    <x v="2"/>
    <n v="1419.0192"/>
    <n v="1347092.2375999989"/>
    <n v="1065.7375297468345"/>
    <n v="434"/>
    <s v="High Value"/>
    <s v="Aug-2024"/>
    <s v="Tennis Ball 3-Pack"/>
    <s v="Sports"/>
    <x v="393"/>
  </r>
  <r>
    <s v="SALE737"/>
    <d v="2025-04-09T00:00:00"/>
    <x v="293"/>
    <s v="PROD9"/>
    <s v="STORE4"/>
    <n v="2"/>
    <n v="492.5"/>
    <n v="0.3"/>
    <x v="1"/>
    <n v="689.5"/>
    <n v="1345673.218399999"/>
    <n v="1065.4578134600149"/>
    <n v="434"/>
    <s v="Low Value"/>
    <s v="Apr-2025"/>
    <s v="Adjustable Dumbbell Set"/>
    <s v="Sports"/>
    <x v="291"/>
  </r>
  <r>
    <s v="SALE738"/>
    <d v="2024-12-31T00:00:00"/>
    <x v="190"/>
    <s v="PROD46"/>
    <s v="STORE11"/>
    <n v="2"/>
    <n v="213.69"/>
    <n v="0.28000000000000003"/>
    <x v="1"/>
    <n v="307.71359999999999"/>
    <n v="1344983.718399999"/>
    <n v="1065.7557198098248"/>
    <n v="433"/>
    <s v="Low Value"/>
    <s v="Dec-2024"/>
    <s v="Men's Winter Jacket"/>
    <s v="Clothing"/>
    <x v="189"/>
  </r>
  <r>
    <s v="SALE739"/>
    <d v="2025-02-28T00:00:00"/>
    <x v="10"/>
    <s v="PROD20"/>
    <s v="STORE8"/>
    <n v="4"/>
    <n v="618.83000000000004"/>
    <n v="0.08"/>
    <x v="1"/>
    <n v="2277.2944000000002"/>
    <n v="1344676.0047999988"/>
    <n v="1066.356863441712"/>
    <n v="432"/>
    <s v="High Value"/>
    <s v="Feb-2025"/>
    <s v="Outdoor Sports Water Bottle"/>
    <s v="Sports"/>
    <x v="10"/>
  </r>
  <r>
    <s v="SALE740"/>
    <d v="2024-01-22T00:00:00"/>
    <x v="126"/>
    <s v="PROD59"/>
    <s v="STORE11"/>
    <n v="2"/>
    <n v="81.16"/>
    <n v="0.16"/>
    <x v="1"/>
    <n v="136.34880000000001"/>
    <n v="1342398.7103999988"/>
    <n v="1065.3958019047609"/>
    <n v="431"/>
    <s v="Low Value"/>
    <s v="Jan-2024"/>
    <s v="Men's Hair Styling Gel"/>
    <s v="Beauty"/>
    <x v="125"/>
  </r>
  <r>
    <s v="SALE741"/>
    <d v="2024-03-21T00:00:00"/>
    <x v="93"/>
    <s v="PROD86"/>
    <s v="STORE9"/>
    <n v="1"/>
    <n v="431.69"/>
    <n v="0.09"/>
    <x v="0"/>
    <n v="392.83789999999999"/>
    <n v="1342262.361599999"/>
    <n v="1066.1337264495623"/>
    <n v="430"/>
    <s v="Low Value"/>
    <s v="Mar-2024"/>
    <s v="Kitchen Cutting Board"/>
    <s v="Home"/>
    <x v="92"/>
  </r>
  <r>
    <s v="SALE742"/>
    <d v="2024-12-22T00:00:00"/>
    <x v="131"/>
    <s v="PROD18"/>
    <s v="STORE5"/>
    <n v="3"/>
    <n v="438.65"/>
    <n v="0.28999999999999998"/>
    <x v="1"/>
    <n v="934.32449999999983"/>
    <n v="1341869.5236999989"/>
    <n v="1066.6689377583457"/>
    <n v="430"/>
    <s v="Low Value"/>
    <s v="Dec-2024"/>
    <s v="Women's Denim Jeans"/>
    <s v="Clothing"/>
    <x v="130"/>
  </r>
  <r>
    <s v="SALE743"/>
    <d v="2024-04-02T00:00:00"/>
    <x v="396"/>
    <s v="PROD79"/>
    <s v="STORE3"/>
    <n v="3"/>
    <n v="339.41"/>
    <n v="0.26"/>
    <x v="0"/>
    <n v="753.49019999999996"/>
    <n v="1340935.199199999"/>
    <n v="1066.7742237072387"/>
    <n v="429"/>
    <s v="Low Value"/>
    <s v="Apr-2024"/>
    <s v="Decorative Lamp Shade"/>
    <s v="Home"/>
    <x v="394"/>
  </r>
  <r>
    <s v="SALE744"/>
    <d v="2025-01-30T00:00:00"/>
    <x v="44"/>
    <s v="PROD79"/>
    <s v="STORE9"/>
    <n v="4"/>
    <n v="848.47"/>
    <n v="0.21"/>
    <x v="2"/>
    <n v="2681.1651999999999"/>
    <n v="1340181.7089999989"/>
    <n v="1067.0236536624195"/>
    <n v="429"/>
    <s v="High Value"/>
    <s v="Jan-2025"/>
    <s v="Decorative Lamp Shade"/>
    <s v="Home"/>
    <x v="44"/>
  </r>
  <r>
    <s v="SALE745"/>
    <d v="2025-03-31T00:00:00"/>
    <x v="375"/>
    <s v="PROD67"/>
    <s v="STORE8"/>
    <n v="1"/>
    <n v="664.87"/>
    <n v="0.08"/>
    <x v="1"/>
    <n v="611.68040000000008"/>
    <n v="1337500.5437999992"/>
    <n v="1065.7374850996009"/>
    <n v="429"/>
    <s v="Low Value"/>
    <s v="Mar-2025"/>
    <s v="Smart LED Light Strip"/>
    <s v="Electronics"/>
    <x v="373"/>
  </r>
  <r>
    <s v="SALE746"/>
    <d v="2025-01-30T00:00:00"/>
    <x v="179"/>
    <s v="PROD24"/>
    <s v="STORE7"/>
    <n v="1"/>
    <n v="412.11"/>
    <n v="0.23"/>
    <x v="1"/>
    <n v="317.32470000000001"/>
    <n v="1336888.863399999"/>
    <n v="1066.0995720893134"/>
    <n v="428"/>
    <s v="Low Value"/>
    <s v="Jan-2025"/>
    <s v="Foldable Camping Chair"/>
    <s v="Sports"/>
    <x v="178"/>
  </r>
  <r>
    <s v="SALE747"/>
    <d v="2025-09-16T00:00:00"/>
    <x v="397"/>
    <s v="PROD94"/>
    <s v="STORE1"/>
    <n v="1"/>
    <n v="126.09"/>
    <n v="0.05"/>
    <x v="2"/>
    <n v="119.7855"/>
    <n v="1336571.538699999"/>
    <n v="1066.697157781324"/>
    <n v="427"/>
    <s v="Low Value"/>
    <s v="Sep-2025"/>
    <s v="Vitamin E Body Lotion"/>
    <s v="Beauty"/>
    <x v="395"/>
  </r>
  <r>
    <s v="SALE748"/>
    <d v="2025-09-17T00:00:00"/>
    <x v="227"/>
    <s v="PROD67"/>
    <s v="STORE10"/>
    <n v="4"/>
    <n v="602.39"/>
    <n v="0.19"/>
    <x v="2"/>
    <n v="1951.7436"/>
    <n v="1336451.753199999"/>
    <n v="1067.4534769968043"/>
    <n v="427"/>
    <s v="High Value"/>
    <s v="Sep-2025"/>
    <s v="Smart LED Light Strip"/>
    <s v="Electronics"/>
    <x v="226"/>
  </r>
  <r>
    <s v="SALE749"/>
    <d v="2025-10-11T00:00:00"/>
    <x v="88"/>
    <s v="PROD82"/>
    <s v="STORE3"/>
    <n v="3"/>
    <n v="447.69"/>
    <n v="0.02"/>
    <x v="2"/>
    <n v="1316.2085999999999"/>
    <n v="1334500.0095999988"/>
    <n v="1066.7466103916856"/>
    <n v="427"/>
    <s v="High Value"/>
    <s v="Oct-2025"/>
    <s v="Fitness Resistance Bands"/>
    <s v="Sports"/>
    <x v="87"/>
  </r>
  <r>
    <s v="SALE750"/>
    <d v="2025-05-01T00:00:00"/>
    <x v="201"/>
    <s v="PROD34"/>
    <s v="STORE3"/>
    <n v="3"/>
    <n v="35.159999999999997"/>
    <n v="0.04"/>
    <x v="2"/>
    <n v="101.2608"/>
    <n v="1333183.8009999988"/>
    <n v="1066.547040799999"/>
    <n v="427"/>
    <s v="Low Value"/>
    <s v="May-2025"/>
    <s v="Gaming Mechanical Keyboard"/>
    <s v="Electronics"/>
    <x v="200"/>
  </r>
  <r>
    <s v="SALE751"/>
    <d v="2025-03-24T00:00:00"/>
    <x v="393"/>
    <s v="PROD72"/>
    <s v="STORE11"/>
    <n v="2"/>
    <n v="838.59"/>
    <n v="0.18"/>
    <x v="2"/>
    <n v="1375.2876000000001"/>
    <n v="1333082.5401999988"/>
    <n v="1067.3198880704554"/>
    <n v="427"/>
    <s v="High Value"/>
    <s v="Mar-2025"/>
    <s v="Professional Jump Rope"/>
    <s v="Sports"/>
    <x v="391"/>
  </r>
  <r>
    <s v="SALE752"/>
    <d v="2024-11-02T00:00:00"/>
    <x v="269"/>
    <s v="PROD59"/>
    <s v="STORE6"/>
    <n v="4"/>
    <n v="867.94"/>
    <n v="0.26"/>
    <x v="1"/>
    <n v="2569.1024000000002"/>
    <n v="1331707.2525999988"/>
    <n v="1067.0731190705119"/>
    <n v="427"/>
    <s v="High Value"/>
    <s v="Nov-2024"/>
    <s v="Men's Hair Styling Gel"/>
    <s v="Beauty"/>
    <x v="267"/>
  </r>
  <r>
    <s v="SALE753"/>
    <d v="2024-10-26T00:00:00"/>
    <x v="381"/>
    <s v="PROD39"/>
    <s v="STORE17"/>
    <n v="1"/>
    <n v="623.88"/>
    <n v="0.25"/>
    <x v="0"/>
    <n v="467.91"/>
    <n v="1329138.1501999986"/>
    <n v="1065.8686048115467"/>
    <n v="426"/>
    <s v="Low Value"/>
    <s v="Oct-2024"/>
    <s v="Portable Power Bank"/>
    <s v="Electronics"/>
    <x v="379"/>
  </r>
  <r>
    <s v="SALE754"/>
    <d v="2024-09-11T00:00:00"/>
    <x v="372"/>
    <s v="PROD42"/>
    <s v="STORE14"/>
    <n v="2"/>
    <n v="567.95000000000005"/>
    <n v="0.12"/>
    <x v="1"/>
    <n v="999.5920000000001"/>
    <n v="1328670.2401999987"/>
    <n v="1066.3485073836266"/>
    <n v="426"/>
    <s v="Low Value"/>
    <s v="Sep-2024"/>
    <s v="Smart Home WiFi Camera"/>
    <s v="Electronics"/>
    <x v="370"/>
  </r>
  <r>
    <s v="SALE755"/>
    <d v="2024-07-10T00:00:00"/>
    <x v="162"/>
    <s v="PROD31"/>
    <s v="STORE18"/>
    <n v="2"/>
    <n v="671.69"/>
    <n v="0.19"/>
    <x v="0"/>
    <n v="1088.1378"/>
    <n v="1327670.6481999988"/>
    <n v="1066.4021270682722"/>
    <n v="425"/>
    <s v="High Value"/>
    <s v="Jul-2024"/>
    <s v="Basketball"/>
    <s v="Sports"/>
    <x v="161"/>
  </r>
  <r>
    <s v="SALE756"/>
    <d v="2025-05-09T00:00:00"/>
    <x v="271"/>
    <s v="PROD6"/>
    <s v="STORE7"/>
    <n v="2"/>
    <n v="257.95999999999998"/>
    <n v="0.21"/>
    <x v="1"/>
    <n v="407.57679999999999"/>
    <n v="1326582.5103999989"/>
    <n v="1066.3846546623786"/>
    <n v="425"/>
    <s v="Low Value"/>
    <s v="May-2025"/>
    <s v="Herbal Face Moisturizer"/>
    <s v="Beauty"/>
    <x v="269"/>
  </r>
  <r>
    <s v="SALE757"/>
    <d v="2024-07-02T00:00:00"/>
    <x v="329"/>
    <s v="PROD98"/>
    <s v="STORE19"/>
    <n v="4"/>
    <n v="281.48"/>
    <n v="0.27"/>
    <x v="1"/>
    <n v="821.92160000000001"/>
    <n v="1326174.9335999989"/>
    <n v="1066.9146690265479"/>
    <n v="424"/>
    <s v="Low Value"/>
    <s v="Jul-2024"/>
    <s v="Portable Bluetooth Speaker"/>
    <s v="Electronics"/>
    <x v="327"/>
  </r>
  <r>
    <s v="SALE758"/>
    <d v="2024-06-27T00:00:00"/>
    <x v="214"/>
    <s v="PROD20"/>
    <s v="STORE11"/>
    <n v="1"/>
    <n v="202.13"/>
    <n v="0.13"/>
    <x v="2"/>
    <n v="175.85310000000001"/>
    <n v="1325353.0119999989"/>
    <n v="1067.1119259259251"/>
    <n v="423"/>
    <s v="Low Value"/>
    <s v="Jun-2024"/>
    <s v="Outdoor Sports Water Bottle"/>
    <s v="Sports"/>
    <x v="213"/>
  </r>
  <r>
    <s v="SALE759"/>
    <d v="2023-11-13T00:00:00"/>
    <x v="398"/>
    <s v="PROD74"/>
    <s v="STORE5"/>
    <n v="1"/>
    <n v="370.66"/>
    <n v="0.01"/>
    <x v="1"/>
    <n v="366.95339999999999"/>
    <n v="1325177.1588999988"/>
    <n v="1067.8301038678476"/>
    <n v="423"/>
    <s v="Low Value"/>
    <s v="Nov-2023"/>
    <s v="Bluetooth Car Audio System"/>
    <s v="Electronics"/>
    <x v="396"/>
  </r>
  <r>
    <s v="SALE760"/>
    <d v="2024-02-19T00:00:00"/>
    <x v="399"/>
    <s v="PROD61"/>
    <s v="STORE12"/>
    <n v="4"/>
    <n v="731.53"/>
    <n v="0.12"/>
    <x v="0"/>
    <n v="2574.9856"/>
    <n v="1324810.2054999988"/>
    <n v="1068.395327016128"/>
    <n v="422"/>
    <s v="High Value"/>
    <s v="Feb-2024"/>
    <s v="Tennis Ball 3-Pack"/>
    <s v="Sports"/>
    <x v="397"/>
  </r>
  <r>
    <s v="SALE761"/>
    <d v="2024-03-20T00:00:00"/>
    <x v="255"/>
    <s v="PROD78"/>
    <s v="STORE1"/>
    <n v="3"/>
    <n v="468.25"/>
    <n v="7.0000000000000007E-2"/>
    <x v="1"/>
    <n v="1306.4175"/>
    <n v="1322235.2198999987"/>
    <n v="1067.179354237287"/>
    <n v="422"/>
    <s v="High Value"/>
    <s v="Mar-2024"/>
    <s v="Essential Oil Diffuser"/>
    <s v="Home"/>
    <x v="254"/>
  </r>
  <r>
    <s v="SALE762"/>
    <d v="2024-03-09T00:00:00"/>
    <x v="283"/>
    <s v="PROD67"/>
    <s v="STORE0"/>
    <n v="1"/>
    <n v="928.72"/>
    <n v="0.1"/>
    <x v="2"/>
    <n v="835.84800000000007"/>
    <n v="1320928.8023999988"/>
    <n v="1066.986108562196"/>
    <n v="421"/>
    <s v="Low Value"/>
    <s v="Mar-2024"/>
    <s v="Smart LED Light Strip"/>
    <s v="Electronics"/>
    <x v="281"/>
  </r>
  <r>
    <s v="SALE763"/>
    <d v="2024-07-26T00:00:00"/>
    <x v="210"/>
    <s v="PROD4"/>
    <s v="STORE18"/>
    <n v="3"/>
    <n v="217.22"/>
    <n v="0.06"/>
    <x v="1"/>
    <n v="612.56039999999996"/>
    <n v="1320092.954399999"/>
    <n v="1067.1729623282126"/>
    <n v="421"/>
    <s v="Low Value"/>
    <s v="Jul-2024"/>
    <s v="Women's Yoga Pants"/>
    <s v="Clothing"/>
    <x v="209"/>
  </r>
  <r>
    <s v="SALE764"/>
    <d v="2025-03-29T00:00:00"/>
    <x v="131"/>
    <s v="PROD24"/>
    <s v="STORE3"/>
    <n v="1"/>
    <n v="387.99"/>
    <n v="0.3"/>
    <x v="0"/>
    <n v="271.59300000000002"/>
    <n v="1319480.3939999989"/>
    <n v="1067.5407718446593"/>
    <n v="420"/>
    <s v="Low Value"/>
    <s v="Mar-2025"/>
    <s v="Foldable Camping Chair"/>
    <s v="Sports"/>
    <x v="130"/>
  </r>
  <r>
    <s v="SALE765"/>
    <d v="2025-03-02T00:00:00"/>
    <x v="22"/>
    <s v="PROD18"/>
    <s v="STORE6"/>
    <n v="4"/>
    <n v="186.24"/>
    <n v="0.23"/>
    <x v="0"/>
    <n v="573.61920000000009"/>
    <n v="1319208.800999999"/>
    <n v="1068.1852639676106"/>
    <n v="420"/>
    <s v="Low Value"/>
    <s v="Mar-2025"/>
    <s v="Women's Denim Jeans"/>
    <s v="Clothing"/>
    <x v="22"/>
  </r>
  <r>
    <s v="SALE766"/>
    <d v="2024-06-11T00:00:00"/>
    <x v="272"/>
    <s v="PROD40"/>
    <s v="STORE8"/>
    <n v="4"/>
    <n v="609.05999999999995"/>
    <n v="0.22"/>
    <x v="2"/>
    <n v="1900.2672"/>
    <n v="1318635.1817999992"/>
    <n v="1068.5860468395456"/>
    <n v="420"/>
    <s v="High Value"/>
    <s v="Jun-2024"/>
    <s v="Noise-Canceling Headphones"/>
    <s v="Electronics"/>
    <x v="270"/>
  </r>
  <r>
    <s v="SALE767"/>
    <d v="2024-05-22T00:00:00"/>
    <x v="168"/>
    <s v="PROD33"/>
    <s v="STORE11"/>
    <n v="1"/>
    <n v="827.91"/>
    <n v="0.21"/>
    <x v="1"/>
    <n v="654.0489"/>
    <n v="1316734.9145999989"/>
    <n v="1067.9115284671523"/>
    <n v="420"/>
    <s v="Low Value"/>
    <s v="May-2024"/>
    <s v="Modern Wall Clock"/>
    <s v="Home"/>
    <x v="167"/>
  </r>
  <r>
    <s v="SALE768"/>
    <d v="2024-07-13T00:00:00"/>
    <x v="72"/>
    <s v="PROD83"/>
    <s v="STORE0"/>
    <n v="1"/>
    <n v="303.79000000000002"/>
    <n v="0.24"/>
    <x v="1"/>
    <n v="230.88040000000001"/>
    <n v="1316080.8656999988"/>
    <n v="1068.2474559253237"/>
    <n v="419"/>
    <s v="Low Value"/>
    <s v="Jul-2024"/>
    <s v="Hydrating Face Cleanser"/>
    <s v="Beauty"/>
    <x v="71"/>
  </r>
  <r>
    <s v="SALE769"/>
    <d v="2025-09-02T00:00:00"/>
    <x v="253"/>
    <s v="PROD37"/>
    <s v="STORE6"/>
    <n v="2"/>
    <n v="365.91"/>
    <n v="0.14000000000000001"/>
    <x v="2"/>
    <n v="629.36520000000007"/>
    <n v="1315849.9852999989"/>
    <n v="1068.92768911454"/>
    <n v="418"/>
    <s v="Low Value"/>
    <s v="Sep-2025"/>
    <s v="Men's Casual Sneakers"/>
    <s v="Clothing"/>
    <x v="252"/>
  </r>
  <r>
    <s v="SALE770"/>
    <d v="2025-04-15T00:00:00"/>
    <x v="182"/>
    <s v="PROD25"/>
    <s v="STORE17"/>
    <n v="3"/>
    <n v="852.72"/>
    <n v="0.16"/>
    <x v="0"/>
    <n v="2148.8544000000002"/>
    <n v="1315220.620099999"/>
    <n v="1069.2850569918692"/>
    <n v="418"/>
    <s v="High Value"/>
    <s v="Apr-2025"/>
    <s v="Women's Scarf Set"/>
    <s v="Clothing"/>
    <x v="181"/>
  </r>
  <r>
    <s v="SALE771"/>
    <d v="2025-04-05T00:00:00"/>
    <x v="400"/>
    <s v="PROD10"/>
    <s v="STORE4"/>
    <n v="1"/>
    <n v="768.25"/>
    <n v="0.18"/>
    <x v="0"/>
    <n v="629.96500000000003"/>
    <n v="1313071.7656999989"/>
    <n v="1068.4066441822611"/>
    <n v="418"/>
    <s v="Low Value"/>
    <s v="Apr-2025"/>
    <s v="Ceramic Kitchen Bowl Set"/>
    <s v="Home"/>
    <x v="398"/>
  </r>
  <r>
    <s v="SALE772"/>
    <d v="2023-11-24T00:00:00"/>
    <x v="401"/>
    <s v="PROD92"/>
    <s v="STORE19"/>
    <n v="2"/>
    <n v="318.62"/>
    <n v="0.02"/>
    <x v="2"/>
    <n v="624.49519999999995"/>
    <n v="1312441.8006999991"/>
    <n v="1068.7636813517909"/>
    <n v="418"/>
    <s v="Low Value"/>
    <s v="Nov-2023"/>
    <s v="Microwave Oven"/>
    <s v="Home"/>
    <x v="399"/>
  </r>
  <r>
    <s v="SALE773"/>
    <d v="2025-01-26T00:00:00"/>
    <x v="184"/>
    <s v="PROD76"/>
    <s v="STORE2"/>
    <n v="4"/>
    <n v="402.11"/>
    <n v="0.14000000000000001"/>
    <x v="1"/>
    <n v="1383.2583999999999"/>
    <n v="1311817.3054999991"/>
    <n v="1069.1257583537074"/>
    <n v="418"/>
    <s v="High Value"/>
    <s v="Jan-2025"/>
    <s v="Wireless Mouse"/>
    <s v="Electronics"/>
    <x v="183"/>
  </r>
  <r>
    <s v="SALE774"/>
    <d v="2025-05-27T00:00:00"/>
    <x v="55"/>
    <s v="PROD84"/>
    <s v="STORE17"/>
    <n v="3"/>
    <n v="846.31"/>
    <n v="0.18"/>
    <x v="2"/>
    <n v="2081.9225999999999"/>
    <n v="1310434.0470999992"/>
    <n v="1068.8695327079927"/>
    <n v="417"/>
    <s v="High Value"/>
    <s v="May-2025"/>
    <s v="Wooden Bookshelf"/>
    <s v="Home"/>
    <x v="55"/>
  </r>
  <r>
    <s v="SALE775"/>
    <d v="2025-06-13T00:00:00"/>
    <x v="64"/>
    <s v="PROD94"/>
    <s v="STORE14"/>
    <n v="1"/>
    <n v="269.94"/>
    <n v="7.0000000000000007E-2"/>
    <x v="2"/>
    <n v="251.04419999999999"/>
    <n v="1308352.1244999995"/>
    <n v="1068.0425506122444"/>
    <n v="417"/>
    <s v="Low Value"/>
    <s v="Jun-2025"/>
    <s v="Vitamin E Body Lotion"/>
    <s v="Beauty"/>
    <x v="63"/>
  </r>
  <r>
    <s v="SALE776"/>
    <d v="2024-06-29T00:00:00"/>
    <x v="254"/>
    <s v="PROD20"/>
    <s v="STORE4"/>
    <n v="3"/>
    <n v="909.25"/>
    <n v="0.28999999999999998"/>
    <x v="2"/>
    <n v="1936.7025000000001"/>
    <n v="1308101.0802999993"/>
    <n v="1068.710032924836"/>
    <n v="417"/>
    <s v="High Value"/>
    <s v="Jun-2024"/>
    <s v="Outdoor Sports Water Bottle"/>
    <s v="Sports"/>
    <x v="253"/>
  </r>
  <r>
    <s v="SALE777"/>
    <d v="2024-02-09T00:00:00"/>
    <x v="402"/>
    <s v="PROD91"/>
    <s v="STORE12"/>
    <n v="2"/>
    <n v="229.81"/>
    <n v="0.21"/>
    <x v="2"/>
    <n v="363.09980000000002"/>
    <n v="1306164.3777999994"/>
    <n v="1068.0003089125098"/>
    <n v="417"/>
    <s v="Low Value"/>
    <s v="Feb-2024"/>
    <s v="Women's High Heels"/>
    <s v="Clothing"/>
    <x v="400"/>
  </r>
  <r>
    <s v="SALE778"/>
    <d v="2024-06-08T00:00:00"/>
    <x v="65"/>
    <s v="PROD78"/>
    <s v="STORE15"/>
    <n v="3"/>
    <n v="442.36"/>
    <n v="0.06"/>
    <x v="1"/>
    <n v="1247.4552000000001"/>
    <n v="1305801.2779999995"/>
    <n v="1068.577150572831"/>
    <n v="417"/>
    <s v="High Value"/>
    <s v="Jun-2024"/>
    <s v="Essential Oil Diffuser"/>
    <s v="Home"/>
    <x v="64"/>
  </r>
  <r>
    <s v="SALE779"/>
    <d v="2024-04-04T00:00:00"/>
    <x v="19"/>
    <s v="PROD86"/>
    <s v="STORE3"/>
    <n v="3"/>
    <n v="413.74"/>
    <n v="0.01"/>
    <x v="0"/>
    <n v="1228.8078"/>
    <n v="1304553.8227999995"/>
    <n v="1068.4306493038489"/>
    <n v="416"/>
    <s v="High Value"/>
    <s v="Apr-2024"/>
    <s v="Kitchen Cutting Board"/>
    <s v="Home"/>
    <x v="19"/>
  </r>
  <r>
    <s v="SALE780"/>
    <d v="2024-07-04T00:00:00"/>
    <x v="111"/>
    <s v="PROD89"/>
    <s v="STORE14"/>
    <n v="4"/>
    <n v="79.75"/>
    <n v="0.18"/>
    <x v="1"/>
    <n v="261.58"/>
    <n v="1303325.0149999994"/>
    <n v="1068.2991926229504"/>
    <n v="416"/>
    <s v="Low Value"/>
    <s v="Jul-2024"/>
    <s v="Face Foundation Kit"/>
    <s v="Beauty"/>
    <x v="110"/>
  </r>
  <r>
    <s v="SALE781"/>
    <d v="2024-05-21T00:00:00"/>
    <x v="180"/>
    <s v="PROD40"/>
    <s v="STORE12"/>
    <n v="4"/>
    <n v="95.06"/>
    <n v="0.03"/>
    <x v="0"/>
    <n v="368.83280000000002"/>
    <n v="1303063.4349999994"/>
    <n v="1068.9609803117305"/>
    <n v="415"/>
    <s v="Low Value"/>
    <s v="May-2024"/>
    <s v="Noise-Canceling Headphones"/>
    <s v="Electronics"/>
    <x v="179"/>
  </r>
  <r>
    <s v="SALE782"/>
    <d v="2025-04-12T00:00:00"/>
    <x v="51"/>
    <s v="PROD98"/>
    <s v="STORE7"/>
    <n v="4"/>
    <n v="107.08"/>
    <n v="0.27"/>
    <x v="2"/>
    <n v="312.67360000000002"/>
    <n v="1302694.6021999996"/>
    <n v="1069.53579819376"/>
    <n v="415"/>
    <s v="Low Value"/>
    <s v="Apr-2025"/>
    <s v="Portable Bluetooth Speaker"/>
    <s v="Electronics"/>
    <x v="51"/>
  </r>
  <r>
    <s v="SALE783"/>
    <d v="2025-05-17T00:00:00"/>
    <x v="403"/>
    <s v="PROD99"/>
    <s v="STORE18"/>
    <n v="1"/>
    <n v="873.18"/>
    <n v="0.03"/>
    <x v="2"/>
    <n v="846.98459999999989"/>
    <n v="1302381.9285999995"/>
    <n v="1070.1577063270333"/>
    <n v="415"/>
    <s v="Low Value"/>
    <s v="May-2025"/>
    <s v="Stainless Steel Cookware Set"/>
    <s v="Home"/>
    <x v="401"/>
  </r>
  <r>
    <s v="SALE784"/>
    <d v="2025-04-17T00:00:00"/>
    <x v="146"/>
    <s v="PROD70"/>
    <s v="STORE18"/>
    <n v="1"/>
    <n v="914.75"/>
    <n v="0.1"/>
    <x v="2"/>
    <n v="823.27499999999998"/>
    <n v="1301534.9439999994"/>
    <n v="1070.3412368421048"/>
    <n v="415"/>
    <s v="Low Value"/>
    <s v="Apr-2025"/>
    <s v="Kitchen Storage Rack"/>
    <s v="Home"/>
    <x v="145"/>
  </r>
  <r>
    <s v="SALE785"/>
    <d v="2023-12-19T00:00:00"/>
    <x v="184"/>
    <s v="PROD73"/>
    <s v="STORE13"/>
    <n v="4"/>
    <n v="457.33"/>
    <n v="0.1"/>
    <x v="0"/>
    <n v="1646.3879999999999"/>
    <n v="1300711.6689999993"/>
    <n v="1070.544583539094"/>
    <n v="415"/>
    <s v="High Value"/>
    <s v="Dec-2023"/>
    <s v="Shin Guards – Adult"/>
    <s v="Sports"/>
    <x v="183"/>
  </r>
  <r>
    <s v="SALE786"/>
    <d v="2024-11-06T00:00:00"/>
    <x v="404"/>
    <s v="PROD99"/>
    <s v="STORE3"/>
    <n v="3"/>
    <n v="761.88"/>
    <n v="0.23"/>
    <x v="1"/>
    <n v="1759.9428"/>
    <n v="1299065.2809999993"/>
    <n v="1070.0702479406914"/>
    <n v="415"/>
    <s v="High Value"/>
    <s v="Nov-2024"/>
    <s v="Stainless Steel Cookware Set"/>
    <s v="Home"/>
    <x v="402"/>
  </r>
  <r>
    <s v="SALE787"/>
    <d v="2025-05-16T00:00:00"/>
    <x v="372"/>
    <s v="PROD37"/>
    <s v="STORE19"/>
    <n v="4"/>
    <n v="122.87"/>
    <n v="0.13"/>
    <x v="0"/>
    <n v="427.58760000000001"/>
    <n v="1297305.3381999994"/>
    <n v="1069.5015154163227"/>
    <n v="414"/>
    <s v="Low Value"/>
    <s v="May-2025"/>
    <s v="Men's Casual Sneakers"/>
    <s v="Clothing"/>
    <x v="370"/>
  </r>
  <r>
    <s v="SALE788"/>
    <d v="2025-05-01T00:00:00"/>
    <x v="405"/>
    <s v="PROD73"/>
    <s v="STORE4"/>
    <n v="4"/>
    <n v="753"/>
    <n v="0.28000000000000003"/>
    <x v="2"/>
    <n v="2168.64"/>
    <n v="1296877.7505999994"/>
    <n v="1070.0311473597355"/>
    <n v="414"/>
    <s v="High Value"/>
    <s v="May-2025"/>
    <s v="Shin Guards – Adult"/>
    <s v="Sports"/>
    <x v="403"/>
  </r>
  <r>
    <s v="SALE789"/>
    <d v="2024-02-03T00:00:00"/>
    <x v="260"/>
    <s v="PROD5"/>
    <s v="STORE5"/>
    <n v="2"/>
    <n v="788.05"/>
    <n v="0.21"/>
    <x v="0"/>
    <n v="1245.1189999999999"/>
    <n v="1294709.1105999993"/>
    <n v="1069.1239559042108"/>
    <n v="414"/>
    <s v="High Value"/>
    <s v="Feb-2024"/>
    <s v="Men's Leather Belt"/>
    <s v="Clothing"/>
    <x v="259"/>
  </r>
  <r>
    <s v="SALE790"/>
    <d v="2025-08-06T00:00:00"/>
    <x v="152"/>
    <s v="PROD82"/>
    <s v="STORE10"/>
    <n v="2"/>
    <n v="807.1"/>
    <n v="0.28999999999999998"/>
    <x v="0"/>
    <n v="1146.0820000000001"/>
    <n v="1293463.9915999994"/>
    <n v="1068.978505454545"/>
    <n v="414"/>
    <s v="High Value"/>
    <s v="Aug-2025"/>
    <s v="Fitness Resistance Bands"/>
    <s v="Sports"/>
    <x v="151"/>
  </r>
  <r>
    <s v="SALE791"/>
    <d v="2024-01-29T00:00:00"/>
    <x v="211"/>
    <s v="PROD8"/>
    <s v="STORE1"/>
    <n v="2"/>
    <n v="443.09"/>
    <n v="0.02"/>
    <x v="1"/>
    <n v="868.45639999999992"/>
    <n v="1292317.9095999997"/>
    <n v="1068.9147308519434"/>
    <n v="414"/>
    <s v="Low Value"/>
    <s v="Jan-2024"/>
    <s v="Wireless Bluetooth Earbuds"/>
    <s v="Electronics"/>
    <x v="210"/>
  </r>
  <r>
    <s v="SALE792"/>
    <d v="2025-08-01T00:00:00"/>
    <x v="228"/>
    <s v="PROD19"/>
    <s v="STORE15"/>
    <n v="1"/>
    <n v="512.16"/>
    <n v="0.02"/>
    <x v="2"/>
    <n v="501.91680000000002"/>
    <n v="1291449.4531999996"/>
    <n v="1069.0806731788077"/>
    <n v="413"/>
    <s v="Low Value"/>
    <s v="Aug-2025"/>
    <s v="Knee Support Brace"/>
    <s v="Sports"/>
    <x v="227"/>
  </r>
  <r>
    <s v="SALE793"/>
    <d v="2024-10-12T00:00:00"/>
    <x v="266"/>
    <s v="PROD41"/>
    <s v="STORE18"/>
    <n v="2"/>
    <n v="602.54999999999995"/>
    <n v="0.23"/>
    <x v="2"/>
    <n v="927.92699999999991"/>
    <n v="1290947.5363999994"/>
    <n v="1069.5505686826839"/>
    <n v="413"/>
    <s v="Low Value"/>
    <s v="Oct-2024"/>
    <s v="Yoga Exercise Mat"/>
    <s v="Sports"/>
    <x v="123"/>
  </r>
  <r>
    <s v="SALE794"/>
    <d v="2025-03-29T00:00:00"/>
    <x v="112"/>
    <s v="PROD42"/>
    <s v="STORE0"/>
    <n v="3"/>
    <n v="846.19"/>
    <n v="0.09"/>
    <x v="2"/>
    <n v="2310.0987"/>
    <n v="1290019.6093999995"/>
    <n v="1069.6680011608619"/>
    <n v="413"/>
    <s v="High Value"/>
    <s v="Mar-2025"/>
    <s v="Smart Home WiFi Camera"/>
    <s v="Electronics"/>
    <x v="111"/>
  </r>
  <r>
    <s v="SALE795"/>
    <d v="2025-04-25T00:00:00"/>
    <x v="215"/>
    <s v="PROD69"/>
    <s v="STORE8"/>
    <n v="1"/>
    <n v="506.73"/>
    <n v="0.28999999999999998"/>
    <x v="0"/>
    <n v="359.7783"/>
    <n v="1287709.5106999995"/>
    <n v="1068.638598091286"/>
    <n v="413"/>
    <s v="Low Value"/>
    <s v="Apr-2025"/>
    <s v="Men's Sports Shorts"/>
    <s v="Clothing"/>
    <x v="214"/>
  </r>
  <r>
    <s v="SALE796"/>
    <d v="2024-01-08T00:00:00"/>
    <x v="406"/>
    <s v="PROD51"/>
    <s v="STORE16"/>
    <n v="1"/>
    <n v="408.66"/>
    <n v="0.13"/>
    <x v="2"/>
    <n v="355.5342"/>
    <n v="1287349.7323999994"/>
    <n v="1069.2273524916939"/>
    <n v="413"/>
    <s v="Low Value"/>
    <s v="Jan-2024"/>
    <s v="HDMI Cable – 2m"/>
    <s v="Electronics"/>
    <x v="404"/>
  </r>
  <r>
    <s v="SALE797"/>
    <d v="2024-06-04T00:00:00"/>
    <x v="407"/>
    <s v="PROD8"/>
    <s v="STORE17"/>
    <n v="3"/>
    <n v="170.48"/>
    <n v="0.06"/>
    <x v="2"/>
    <n v="480.75359999999989"/>
    <n v="1286994.1981999995"/>
    <n v="1069.8206136325848"/>
    <n v="413"/>
    <s v="Low Value"/>
    <s v="Jun-2024"/>
    <s v="Wireless Bluetooth Earbuds"/>
    <s v="Electronics"/>
    <x v="405"/>
  </r>
  <r>
    <s v="SALE798"/>
    <d v="2025-03-01T00:00:00"/>
    <x v="90"/>
    <s v="PROD18"/>
    <s v="STORE9"/>
    <n v="1"/>
    <n v="423.48"/>
    <n v="0.18"/>
    <x v="1"/>
    <n v="347.25360000000012"/>
    <n v="1286513.4445999993"/>
    <n v="1070.310686023294"/>
    <n v="413"/>
    <s v="Low Value"/>
    <s v="Mar-2025"/>
    <s v="Women's Denim Jeans"/>
    <s v="Clothing"/>
    <x v="89"/>
  </r>
  <r>
    <s v="SALE799"/>
    <d v="2023-10-14T00:00:00"/>
    <x v="328"/>
    <s v="PROD92"/>
    <s v="STORE11"/>
    <n v="4"/>
    <n v="23.57"/>
    <n v="0.1"/>
    <x v="0"/>
    <n v="84.852000000000004"/>
    <n v="1286166.1909999994"/>
    <n v="1070.9127318900912"/>
    <n v="412"/>
    <s v="Low Value"/>
    <s v="Oct-2023"/>
    <s v="Microwave Oven"/>
    <s v="Home"/>
    <x v="326"/>
  </r>
  <r>
    <s v="SALE800"/>
    <d v="2025-06-29T00:00:00"/>
    <x v="25"/>
    <s v="PROD42"/>
    <s v="STORE18"/>
    <n v="2"/>
    <n v="953.26"/>
    <n v="0.1"/>
    <x v="2"/>
    <n v="1715.8679999999999"/>
    <n v="1286081.3389999995"/>
    <n v="1071.7344491666663"/>
    <n v="412"/>
    <s v="High Value"/>
    <s v="Jun-2025"/>
    <s v="Smart Home WiFi Camera"/>
    <s v="Electronics"/>
    <x v="25"/>
  </r>
  <r>
    <s v="SALE801"/>
    <d v="2023-12-17T00:00:00"/>
    <x v="268"/>
    <s v="PROD73"/>
    <s v="STORE7"/>
    <n v="3"/>
    <n v="405.13"/>
    <n v="0.14000000000000001"/>
    <x v="2"/>
    <n v="1045.2354"/>
    <n v="1284365.4709999994"/>
    <n v="1071.1972235195992"/>
    <n v="412"/>
    <s v="High Value"/>
    <s v="Dec-2023"/>
    <s v="Shin Guards – Adult"/>
    <s v="Sports"/>
    <x v="266"/>
  </r>
  <r>
    <s v="SALE802"/>
    <d v="2023-11-18T00:00:00"/>
    <x v="350"/>
    <s v="PROD2"/>
    <s v="STORE4"/>
    <n v="2"/>
    <n v="333.83"/>
    <n v="0.26"/>
    <x v="1"/>
    <n v="494.0684"/>
    <n v="1283320.2355999993"/>
    <n v="1071.2188944908175"/>
    <n v="412"/>
    <s v="Low Value"/>
    <s v="Nov-2023"/>
    <s v="Women's Casual Hoodie"/>
    <s v="Clothing"/>
    <x v="348"/>
  </r>
  <r>
    <s v="SALE803"/>
    <d v="2025-03-25T00:00:00"/>
    <x v="203"/>
    <s v="PROD91"/>
    <s v="STORE3"/>
    <n v="2"/>
    <n v="727.18"/>
    <n v="0.22"/>
    <x v="1"/>
    <n v="1134.4007999999999"/>
    <n v="1282826.1671999993"/>
    <n v="1071.701058646616"/>
    <n v="411"/>
    <s v="High Value"/>
    <s v="Mar-2025"/>
    <s v="Women's High Heels"/>
    <s v="Clothing"/>
    <x v="202"/>
  </r>
  <r>
    <s v="SALE804"/>
    <d v="2025-05-01T00:00:00"/>
    <x v="408"/>
    <s v="PROD5"/>
    <s v="STORE10"/>
    <n v="2"/>
    <n v="516.02"/>
    <n v="0.19"/>
    <x v="2"/>
    <n v="835.95240000000001"/>
    <n v="1281691.7663999994"/>
    <n v="1071.6486341137118"/>
    <n v="410"/>
    <s v="Low Value"/>
    <s v="May-2025"/>
    <s v="Men's Leather Belt"/>
    <s v="Clothing"/>
    <x v="406"/>
  </r>
  <r>
    <s v="SALE805"/>
    <d v="2024-03-10T00:00:00"/>
    <x v="125"/>
    <s v="PROD42"/>
    <s v="STORE11"/>
    <n v="2"/>
    <n v="705.61"/>
    <n v="0.28000000000000003"/>
    <x v="0"/>
    <n v="1016.0784"/>
    <n v="1280855.8139999995"/>
    <n v="1071.8458694560666"/>
    <n v="410"/>
    <s v="High Value"/>
    <s v="Mar-2024"/>
    <s v="Smart Home WiFi Camera"/>
    <s v="Electronics"/>
    <x v="124"/>
  </r>
  <r>
    <s v="SALE806"/>
    <d v="2024-05-02T00:00:00"/>
    <x v="185"/>
    <s v="PROD84"/>
    <s v="STORE8"/>
    <n v="3"/>
    <n v="654.47"/>
    <n v="0.18"/>
    <x v="2"/>
    <n v="1609.9962"/>
    <n v="1279839.7355999995"/>
    <n v="1071.8925758793966"/>
    <n v="410"/>
    <s v="High Value"/>
    <s v="May-2024"/>
    <s v="Wooden Bookshelf"/>
    <s v="Home"/>
    <x v="184"/>
  </r>
  <r>
    <s v="SALE807"/>
    <d v="2025-03-18T00:00:00"/>
    <x v="120"/>
    <s v="PROD88"/>
    <s v="STORE15"/>
    <n v="2"/>
    <n v="315.27"/>
    <n v="0.23"/>
    <x v="0"/>
    <n v="485.51580000000001"/>
    <n v="1278229.7393999994"/>
    <n v="1071.4415250628663"/>
    <n v="410"/>
    <s v="Low Value"/>
    <s v="Mar-2025"/>
    <s v="Sports Wrist Sweatbands"/>
    <s v="Sports"/>
    <x v="119"/>
  </r>
  <r>
    <s v="SALE808"/>
    <d v="2024-11-27T00:00:00"/>
    <x v="248"/>
    <s v="PROD28"/>
    <s v="STORE2"/>
    <n v="1"/>
    <n v="974.47"/>
    <n v="0.05"/>
    <x v="0"/>
    <n v="925.74649999999997"/>
    <n v="1277744.2235999994"/>
    <n v="1071.9330734899324"/>
    <n v="410"/>
    <s v="Low Value"/>
    <s v="Nov-2024"/>
    <s v="Sports Stopwatch Timer"/>
    <s v="Sports"/>
    <x v="247"/>
  </r>
  <r>
    <s v="SALE809"/>
    <d v="2024-02-18T00:00:00"/>
    <x v="101"/>
    <s v="PROD2"/>
    <s v="STORE4"/>
    <n v="2"/>
    <n v="803.3"/>
    <n v="0.17"/>
    <x v="0"/>
    <n v="1333.4780000000001"/>
    <n v="1276818.4770999996"/>
    <n v="1072.0558162048694"/>
    <n v="410"/>
    <s v="High Value"/>
    <s v="Feb-2024"/>
    <s v="Women's Casual Hoodie"/>
    <s v="Clothing"/>
    <x v="100"/>
  </r>
  <r>
    <s v="SALE810"/>
    <d v="2024-06-04T00:00:00"/>
    <x v="199"/>
    <s v="PROD2"/>
    <s v="STORE10"/>
    <n v="4"/>
    <n v="863.87"/>
    <n v="0.21"/>
    <x v="2"/>
    <n v="2729.8292000000001"/>
    <n v="1275484.9990999994"/>
    <n v="1071.8361336974785"/>
    <n v="410"/>
    <s v="High Value"/>
    <s v="Jun-2024"/>
    <s v="Women's Casual Hoodie"/>
    <s v="Clothing"/>
    <x v="198"/>
  </r>
  <r>
    <s v="SALE811"/>
    <d v="2024-08-09T00:00:00"/>
    <x v="262"/>
    <s v="PROD80"/>
    <s v="STORE18"/>
    <n v="1"/>
    <n v="450.11"/>
    <n v="0.17"/>
    <x v="0"/>
    <n v="373.59129999999999"/>
    <n v="1272755.1698999994"/>
    <n v="1070.4416904121106"/>
    <n v="410"/>
    <s v="Low Value"/>
    <s v="Aug-2024"/>
    <s v="Wall-Mounted Spice Rack"/>
    <s v="Home"/>
    <x v="261"/>
  </r>
  <r>
    <s v="SALE812"/>
    <d v="2024-07-13T00:00:00"/>
    <x v="409"/>
    <s v="PROD68"/>
    <s v="STORE13"/>
    <n v="1"/>
    <n v="289.82"/>
    <n v="0.18"/>
    <x v="2"/>
    <n v="237.6524"/>
    <n v="1272381.5785999994"/>
    <n v="1071.0282648148143"/>
    <n v="410"/>
    <s v="Low Value"/>
    <s v="Jul-2024"/>
    <s v="Wooden Nightstand"/>
    <s v="Home"/>
    <x v="407"/>
  </r>
  <r>
    <s v="SALE813"/>
    <d v="2025-08-21T00:00:00"/>
    <x v="159"/>
    <s v="PROD54"/>
    <s v="STORE10"/>
    <n v="4"/>
    <n v="250.64"/>
    <n v="0.1"/>
    <x v="1"/>
    <n v="902.30399999999997"/>
    <n v="1272143.9261999994"/>
    <n v="1071.7303506318444"/>
    <n v="410"/>
    <s v="Low Value"/>
    <s v="Aug-2025"/>
    <s v="Sports Stopwatch Pro"/>
    <s v="Sports"/>
    <x v="158"/>
  </r>
  <r>
    <s v="SALE814"/>
    <d v="2025-08-07T00:00:00"/>
    <x v="86"/>
    <s v="PROD69"/>
    <s v="STORE19"/>
    <n v="4"/>
    <n v="373.49"/>
    <n v="0.16"/>
    <x v="2"/>
    <n v="1254.9264000000001"/>
    <n v="1271241.6221999992"/>
    <n v="1071.8732059021916"/>
    <n v="409"/>
    <s v="High Value"/>
    <s v="Aug-2025"/>
    <s v="Men's Sports Shorts"/>
    <s v="Clothing"/>
    <x v="85"/>
  </r>
  <r>
    <s v="SALE815"/>
    <d v="2024-04-16T00:00:00"/>
    <x v="149"/>
    <s v="PROD3"/>
    <s v="STORE9"/>
    <n v="4"/>
    <n v="348.91"/>
    <n v="0.18"/>
    <x v="1"/>
    <n v="1144.4248"/>
    <n v="1269986.6957999992"/>
    <n v="1071.7187306329106"/>
    <n v="409"/>
    <s v="High Value"/>
    <s v="Apr-2024"/>
    <s v="Men's Running Jacket"/>
    <s v="Clothing"/>
    <x v="148"/>
  </r>
  <r>
    <s v="SALE816"/>
    <d v="2024-04-08T00:00:00"/>
    <x v="407"/>
    <s v="PROD94"/>
    <s v="STORE17"/>
    <n v="4"/>
    <n v="212.96"/>
    <n v="0.17"/>
    <x v="0"/>
    <n v="707.02719999999999"/>
    <n v="1268842.2709999993"/>
    <n v="1071.657323479729"/>
    <n v="408"/>
    <s v="Low Value"/>
    <s v="Apr-2024"/>
    <s v="Vitamin E Body Lotion"/>
    <s v="Beauty"/>
    <x v="405"/>
  </r>
  <r>
    <s v="SALE817"/>
    <d v="2024-04-24T00:00:00"/>
    <x v="410"/>
    <s v="PROD27"/>
    <s v="STORE19"/>
    <n v="3"/>
    <n v="871.34"/>
    <n v="0.11"/>
    <x v="2"/>
    <n v="2326.4778000000001"/>
    <n v="1268135.2437999991"/>
    <n v="1071.9655484361786"/>
    <n v="408"/>
    <s v="High Value"/>
    <s v="Apr-2024"/>
    <s v="Decorative Floor Vase"/>
    <s v="Home"/>
    <x v="408"/>
  </r>
  <r>
    <s v="SALE818"/>
    <d v="2025-07-06T00:00:00"/>
    <x v="323"/>
    <s v="PROD94"/>
    <s v="STORE0"/>
    <n v="2"/>
    <n v="698.94"/>
    <n v="0.06"/>
    <x v="0"/>
    <n v="1314.0072"/>
    <n v="1265808.7659999994"/>
    <n v="1070.9042013536373"/>
    <n v="408"/>
    <s v="High Value"/>
    <s v="Jul-2025"/>
    <s v="Vitamin E Body Lotion"/>
    <s v="Beauty"/>
    <x v="321"/>
  </r>
  <r>
    <s v="SALE819"/>
    <d v="2025-02-09T00:00:00"/>
    <x v="214"/>
    <s v="PROD74"/>
    <s v="STORE0"/>
    <n v="1"/>
    <n v="719.94"/>
    <n v="0.23"/>
    <x v="2"/>
    <n v="554.35380000000009"/>
    <n v="1264494.758799999"/>
    <n v="1070.6983563082126"/>
    <n v="408"/>
    <s v="Low Value"/>
    <s v="Feb-2025"/>
    <s v="Bluetooth Car Audio System"/>
    <s v="Electronics"/>
    <x v="213"/>
  </r>
  <r>
    <s v="SALE820"/>
    <d v="2024-11-11T00:00:00"/>
    <x v="279"/>
    <s v="PROD28"/>
    <s v="STORE4"/>
    <n v="2"/>
    <n v="278.16000000000003"/>
    <n v="0.22"/>
    <x v="1"/>
    <n v="433.92960000000011"/>
    <n v="1263940.4049999991"/>
    <n v="1071.1359364406771"/>
    <n v="408"/>
    <s v="Low Value"/>
    <s v="Nov-2024"/>
    <s v="Sports Stopwatch Timer"/>
    <s v="Sports"/>
    <x v="277"/>
  </r>
  <r>
    <s v="SALE821"/>
    <d v="2024-01-16T00:00:00"/>
    <x v="286"/>
    <s v="PROD49"/>
    <s v="STORE5"/>
    <n v="1"/>
    <n v="678.9"/>
    <n v="0.17"/>
    <x v="0"/>
    <n v="563.48699999999997"/>
    <n v="1263506.4753999989"/>
    <n v="1071.6763998303638"/>
    <n v="407"/>
    <s v="Low Value"/>
    <s v="Jan-2024"/>
    <s v="Men's Roll-On Perfume"/>
    <s v="Beauty"/>
    <x v="284"/>
  </r>
  <r>
    <s v="SALE822"/>
    <d v="2024-08-16T00:00:00"/>
    <x v="270"/>
    <s v="PROD25"/>
    <s v="STORE15"/>
    <n v="4"/>
    <n v="94.13"/>
    <n v="0.15"/>
    <x v="0"/>
    <n v="320.04199999999997"/>
    <n v="1262942.988399999"/>
    <n v="1072.1077999999991"/>
    <n v="407"/>
    <s v="Low Value"/>
    <s v="Aug-2024"/>
    <s v="Women's Scarf Set"/>
    <s v="Clothing"/>
    <x v="268"/>
  </r>
  <r>
    <s v="SALE823"/>
    <d v="2025-10-03T00:00:00"/>
    <x v="411"/>
    <s v="PROD44"/>
    <s v="STORE1"/>
    <n v="4"/>
    <n v="415.02"/>
    <n v="0.01"/>
    <x v="1"/>
    <n v="1643.4792"/>
    <n v="1262622.9463999991"/>
    <n v="1072.7467683942218"/>
    <n v="407"/>
    <s v="High Value"/>
    <s v="Oct-2025"/>
    <s v="Adjustable Jump Rope"/>
    <s v="Sports"/>
    <x v="409"/>
  </r>
  <r>
    <s v="SALE824"/>
    <d v="2025-07-03T00:00:00"/>
    <x v="370"/>
    <s v="PROD11"/>
    <s v="STORE4"/>
    <n v="4"/>
    <n v="780.07"/>
    <n v="0.03"/>
    <x v="0"/>
    <n v="3026.6716000000001"/>
    <n v="1260979.4671999994"/>
    <n v="1072.2614517006798"/>
    <n v="406"/>
    <s v="High Value"/>
    <s v="Jul-2025"/>
    <s v="HD Smart TV Stick"/>
    <s v="Electronics"/>
    <x v="368"/>
  </r>
  <r>
    <s v="SALE825"/>
    <d v="2025-08-08T00:00:00"/>
    <x v="155"/>
    <s v="PROD37"/>
    <s v="STORE15"/>
    <n v="4"/>
    <n v="184.57"/>
    <n v="0.28000000000000003"/>
    <x v="0"/>
    <n v="531.5616"/>
    <n v="1257952.7955999989"/>
    <n v="1070.5981239148928"/>
    <n v="406"/>
    <s v="Low Value"/>
    <s v="Aug-2025"/>
    <s v="Men's Casual Sneakers"/>
    <s v="Clothing"/>
    <x v="154"/>
  </r>
  <r>
    <s v="SALE826"/>
    <d v="2024-08-28T00:00:00"/>
    <x v="86"/>
    <s v="PROD65"/>
    <s v="STORE4"/>
    <n v="4"/>
    <n v="277.58"/>
    <n v="0.22"/>
    <x v="1"/>
    <n v="866.04959999999994"/>
    <n v="1257421.233999999"/>
    <n v="1071.0572691652462"/>
    <n v="406"/>
    <s v="Low Value"/>
    <s v="Aug-2024"/>
    <s v="Adjustable Dumbbells 20kg"/>
    <s v="Sports"/>
    <x v="85"/>
  </r>
  <r>
    <s v="SALE827"/>
    <d v="2025-03-18T00:00:00"/>
    <x v="253"/>
    <s v="PROD31"/>
    <s v="STORE3"/>
    <n v="1"/>
    <n v="36.799999999999997"/>
    <n v="0.18"/>
    <x v="0"/>
    <n v="30.175999999999998"/>
    <n v="1256555.184399999"/>
    <n v="1071.2320412617212"/>
    <n v="405"/>
    <s v="Low Value"/>
    <s v="Mar-2025"/>
    <s v="Basketball"/>
    <s v="Sports"/>
    <x v="252"/>
  </r>
  <r>
    <s v="SALE828"/>
    <d v="2025-06-01T00:00:00"/>
    <x v="412"/>
    <s v="PROD88"/>
    <s v="STORE6"/>
    <n v="1"/>
    <n v="539.37"/>
    <n v="0.14000000000000001"/>
    <x v="0"/>
    <n v="463.85820000000001"/>
    <n v="1256525.008399999"/>
    <n v="1072.1203143344701"/>
    <n v="405"/>
    <s v="Low Value"/>
    <s v="Jun-2025"/>
    <s v="Sports Wrist Sweatbands"/>
    <s v="Sports"/>
    <x v="410"/>
  </r>
  <r>
    <s v="SALE829"/>
    <d v="2025-04-13T00:00:00"/>
    <x v="269"/>
    <s v="PROD20"/>
    <s v="STORE18"/>
    <n v="1"/>
    <n v="27.83"/>
    <n v="0.3"/>
    <x v="1"/>
    <n v="19.481000000000002"/>
    <n v="1256061.1501999991"/>
    <n v="1072.6397525192135"/>
    <n v="405"/>
    <s v="Low Value"/>
    <s v="Apr-2025"/>
    <s v="Outdoor Sports Water Bottle"/>
    <s v="Sports"/>
    <x v="267"/>
  </r>
  <r>
    <s v="SALE830"/>
    <d v="2024-06-13T00:00:00"/>
    <x v="413"/>
    <s v="PROD70"/>
    <s v="STORE4"/>
    <n v="3"/>
    <n v="698.72"/>
    <n v="0.28000000000000003"/>
    <x v="2"/>
    <n v="1509.2352000000001"/>
    <n v="1256041.6691999992"/>
    <n v="1073.5398882051275"/>
    <n v="404"/>
    <s v="High Value"/>
    <s v="Jun-2024"/>
    <s v="Kitchen Storage Rack"/>
    <s v="Home"/>
    <x v="411"/>
  </r>
  <r>
    <s v="SALE831"/>
    <d v="2025-02-10T00:00:00"/>
    <x v="172"/>
    <s v="PROD76"/>
    <s v="STORE13"/>
    <n v="4"/>
    <n v="528.23"/>
    <n v="0.15"/>
    <x v="2"/>
    <n v="1795.982"/>
    <n v="1254532.4339999992"/>
    <n v="1073.16718049615"/>
    <n v="404"/>
    <s v="High Value"/>
    <s v="Feb-2025"/>
    <s v="Wireless Mouse"/>
    <s v="Electronics"/>
    <x v="171"/>
  </r>
  <r>
    <s v="SALE832"/>
    <d v="2024-09-13T00:00:00"/>
    <x v="36"/>
    <s v="PROD46"/>
    <s v="STORE16"/>
    <n v="2"/>
    <n v="780.9"/>
    <n v="0.24"/>
    <x v="1"/>
    <n v="1186.9680000000001"/>
    <n v="1252736.4519999993"/>
    <n v="1072.5483321917802"/>
    <n v="404"/>
    <s v="High Value"/>
    <s v="Sep-2024"/>
    <s v="Men's Winter Jacket"/>
    <s v="Clothing"/>
    <x v="36"/>
  </r>
  <r>
    <s v="SALE833"/>
    <d v="2023-11-06T00:00:00"/>
    <x v="367"/>
    <s v="PROD21"/>
    <s v="STORE14"/>
    <n v="1"/>
    <n v="977.97"/>
    <n v="0.06"/>
    <x v="2"/>
    <n v="919.29179999999997"/>
    <n v="1251549.4839999995"/>
    <n v="1072.4502862039412"/>
    <n v="403"/>
    <s v="Low Value"/>
    <s v="Nov-2023"/>
    <s v="Multi-Purpose Storage Box"/>
    <s v="Home"/>
    <x v="365"/>
  </r>
  <r>
    <s v="SALE834"/>
    <d v="2024-01-19T00:00:00"/>
    <x v="89"/>
    <s v="PROD83"/>
    <s v="STORE12"/>
    <n v="4"/>
    <n v="354.65"/>
    <n v="0.19"/>
    <x v="0"/>
    <n v="1149.066"/>
    <n v="1250630.1921999995"/>
    <n v="1072.5816399656942"/>
    <n v="403"/>
    <s v="High Value"/>
    <s v="Jan-2024"/>
    <s v="Hydrating Face Cleanser"/>
    <s v="Beauty"/>
    <x v="88"/>
  </r>
  <r>
    <s v="SALE835"/>
    <d v="2024-03-25T00:00:00"/>
    <x v="413"/>
    <s v="PROD68"/>
    <s v="STORE19"/>
    <n v="1"/>
    <n v="671.62"/>
    <n v="0.09"/>
    <x v="2"/>
    <n v="611.17420000000004"/>
    <n v="1249481.1261999991"/>
    <n v="1072.5159881545057"/>
    <n v="403"/>
    <s v="Low Value"/>
    <s v="Mar-2024"/>
    <s v="Wooden Nightstand"/>
    <s v="Home"/>
    <x v="411"/>
  </r>
  <r>
    <s v="SALE836"/>
    <d v="2025-09-14T00:00:00"/>
    <x v="352"/>
    <s v="PROD82"/>
    <s v="STORE3"/>
    <n v="1"/>
    <n v="867.32"/>
    <n v="0.28999999999999998"/>
    <x v="1"/>
    <n v="615.79719999999998"/>
    <n v="1248869.9519999991"/>
    <n v="1072.9123298969064"/>
    <n v="403"/>
    <s v="Low Value"/>
    <s v="Sep-2025"/>
    <s v="Fitness Resistance Bands"/>
    <s v="Sports"/>
    <x v="350"/>
  </r>
  <r>
    <s v="SALE837"/>
    <d v="2024-02-14T00:00:00"/>
    <x v="150"/>
    <s v="PROD10"/>
    <s v="STORE12"/>
    <n v="3"/>
    <n v="240.27"/>
    <n v="0.15"/>
    <x v="1"/>
    <n v="612.68850000000009"/>
    <n v="1248254.1547999992"/>
    <n v="1073.3053781599306"/>
    <n v="402"/>
    <s v="Low Value"/>
    <s v="Feb-2024"/>
    <s v="Ceramic Kitchen Bowl Set"/>
    <s v="Home"/>
    <x v="149"/>
  </r>
  <r>
    <s v="SALE838"/>
    <d v="2025-03-12T00:00:00"/>
    <x v="178"/>
    <s v="PROD28"/>
    <s v="STORE16"/>
    <n v="2"/>
    <n v="619.12"/>
    <n v="0.28000000000000003"/>
    <x v="2"/>
    <n v="891.53279999999995"/>
    <n v="1247641.466299999"/>
    <n v="1073.7017782271937"/>
    <n v="401"/>
    <s v="Low Value"/>
    <s v="Mar-2025"/>
    <s v="Sports Stopwatch Timer"/>
    <s v="Sports"/>
    <x v="177"/>
  </r>
  <r>
    <s v="SALE839"/>
    <d v="2025-04-08T00:00:00"/>
    <x v="26"/>
    <s v="PROD87"/>
    <s v="STORE0"/>
    <n v="3"/>
    <n v="693.42"/>
    <n v="0.08"/>
    <x v="1"/>
    <n v="1913.8391999999999"/>
    <n v="1246749.9334999993"/>
    <n v="1073.8586851851846"/>
    <n v="401"/>
    <s v="High Value"/>
    <s v="Apr-2025"/>
    <s v="LED Bedside Lamp"/>
    <s v="Home"/>
    <x v="26"/>
  </r>
  <r>
    <s v="SALE840"/>
    <d v="2025-02-07T00:00:00"/>
    <x v="140"/>
    <s v="PROD48"/>
    <s v="STORE10"/>
    <n v="4"/>
    <n v="751.63"/>
    <n v="0.28000000000000003"/>
    <x v="2"/>
    <n v="2164.6943999999999"/>
    <n v="1244836.0942999993"/>
    <n v="1073.1345640517236"/>
    <n v="400"/>
    <s v="High Value"/>
    <s v="Feb-2025"/>
    <s v="Car Dashboard Phone Holder"/>
    <s v="Electronics"/>
    <x v="139"/>
  </r>
  <r>
    <s v="SALE841"/>
    <d v="2024-03-29T00:00:00"/>
    <x v="407"/>
    <s v="PROD31"/>
    <s v="STORE15"/>
    <n v="3"/>
    <n v="108.14"/>
    <n v="0.19"/>
    <x v="2"/>
    <n v="262.78019999999998"/>
    <n v="1242671.3998999991"/>
    <n v="1072.192752286453"/>
    <n v="400"/>
    <s v="Low Value"/>
    <s v="Mar-2024"/>
    <s v="Basketball"/>
    <s v="Sports"/>
    <x v="405"/>
  </r>
  <r>
    <s v="SALE842"/>
    <d v="2024-06-03T00:00:00"/>
    <x v="142"/>
    <s v="PROD27"/>
    <s v="STORE4"/>
    <n v="1"/>
    <n v="964.11"/>
    <n v="0.17"/>
    <x v="2"/>
    <n v="800.21129999999994"/>
    <n v="1242408.619699999"/>
    <n v="1072.8917268566486"/>
    <n v="400"/>
    <s v="Low Value"/>
    <s v="Jun-2024"/>
    <s v="Decorative Floor Vase"/>
    <s v="Home"/>
    <x v="141"/>
  </r>
  <r>
    <s v="SALE843"/>
    <d v="2024-08-21T00:00:00"/>
    <x v="87"/>
    <s v="PROD19"/>
    <s v="STORE0"/>
    <n v="1"/>
    <n v="346.2"/>
    <n v="0.28999999999999998"/>
    <x v="0"/>
    <n v="245.80199999999999"/>
    <n v="1241608.4083999989"/>
    <n v="1073.127405704407"/>
    <n v="400"/>
    <s v="Low Value"/>
    <s v="Aug-2024"/>
    <s v="Knee Support Brace"/>
    <s v="Sports"/>
    <x v="86"/>
  </r>
  <r>
    <s v="SALE844"/>
    <d v="2024-08-23T00:00:00"/>
    <x v="414"/>
    <s v="PROD43"/>
    <s v="STORE15"/>
    <n v="3"/>
    <n v="791.75"/>
    <n v="0.28999999999999998"/>
    <x v="0"/>
    <n v="1686.4275"/>
    <n v="1241362.606399999"/>
    <n v="1073.8430851211065"/>
    <n v="400"/>
    <s v="High Value"/>
    <s v="Aug-2024"/>
    <s v="USB External Hard Drive"/>
    <s v="Electronics"/>
    <x v="412"/>
  </r>
  <r>
    <s v="SALE845"/>
    <d v="2023-12-05T00:00:00"/>
    <x v="133"/>
    <s v="PROD39"/>
    <s v="STORE13"/>
    <n v="1"/>
    <n v="529.84"/>
    <n v="0.13"/>
    <x v="1"/>
    <n v="460.96080000000001"/>
    <n v="1239676.1788999988"/>
    <n v="1073.3127090043279"/>
    <n v="400"/>
    <s v="Low Value"/>
    <s v="Dec-2023"/>
    <s v="Portable Power Bank"/>
    <s v="Electronics"/>
    <x v="132"/>
  </r>
  <r>
    <s v="SALE846"/>
    <d v="2025-10-06T00:00:00"/>
    <x v="198"/>
    <s v="PROD54"/>
    <s v="STORE3"/>
    <n v="3"/>
    <n v="582.57000000000005"/>
    <n v="0.11"/>
    <x v="1"/>
    <n v="1555.4619"/>
    <n v="1239215.2180999988"/>
    <n v="1073.8433432409001"/>
    <n v="399"/>
    <s v="High Value"/>
    <s v="Oct-2025"/>
    <s v="Sports Stopwatch Pro"/>
    <s v="Sports"/>
    <x v="197"/>
  </r>
  <r>
    <s v="SALE847"/>
    <d v="2023-11-12T00:00:00"/>
    <x v="225"/>
    <s v="PROD95"/>
    <s v="STORE17"/>
    <n v="1"/>
    <n v="219.81"/>
    <n v="0.22"/>
    <x v="2"/>
    <n v="171.45179999999999"/>
    <n v="1237659.7561999988"/>
    <n v="1073.4256341717248"/>
    <n v="398"/>
    <s v="Low Value"/>
    <s v="Nov-2023"/>
    <s v="Sports Stopwatch Basic"/>
    <s v="Sports"/>
    <x v="224"/>
  </r>
  <r>
    <s v="SALE848"/>
    <d v="2024-05-25T00:00:00"/>
    <x v="388"/>
    <s v="PROD70"/>
    <s v="STORE18"/>
    <n v="4"/>
    <n v="883.31"/>
    <n v="0.27"/>
    <x v="0"/>
    <n v="2579.2651999999998"/>
    <n v="1237488.3043999986"/>
    <n v="1074.2085975694433"/>
    <n v="398"/>
    <s v="High Value"/>
    <s v="May-2024"/>
    <s v="Kitchen Storage Rack"/>
    <s v="Home"/>
    <x v="386"/>
  </r>
  <r>
    <s v="SALE849"/>
    <d v="2024-12-01T00:00:00"/>
    <x v="241"/>
    <s v="PROD17"/>
    <s v="STORE14"/>
    <n v="4"/>
    <n v="329.06"/>
    <n v="0.04"/>
    <x v="2"/>
    <n v="1263.5904"/>
    <n v="1234909.0391999984"/>
    <n v="1072.9009897480437"/>
    <n v="398"/>
    <s v="High Value"/>
    <s v="Dec-2024"/>
    <s v="Soccer Training Cone Set"/>
    <s v="Sports"/>
    <x v="240"/>
  </r>
  <r>
    <s v="SALE850"/>
    <d v="2025-01-21T00:00:00"/>
    <x v="102"/>
    <s v="PROD68"/>
    <s v="STORE11"/>
    <n v="1"/>
    <n v="935.78"/>
    <n v="0.03"/>
    <x v="1"/>
    <n v="907.70659999999998"/>
    <n v="1233645.4487999985"/>
    <n v="1072.7351728695639"/>
    <n v="398"/>
    <s v="Low Value"/>
    <s v="Jan-2025"/>
    <s v="Wooden Nightstand"/>
    <s v="Home"/>
    <x v="101"/>
  </r>
  <r>
    <s v="SALE851"/>
    <d v="2024-07-11T00:00:00"/>
    <x v="11"/>
    <s v="PROD60"/>
    <s v="STORE10"/>
    <n v="4"/>
    <n v="597.79999999999995"/>
    <n v="0.2"/>
    <x v="0"/>
    <n v="1912.96"/>
    <n v="1232737.7421999983"/>
    <n v="1072.8788008703207"/>
    <n v="397"/>
    <s v="High Value"/>
    <s v="Jul-2024"/>
    <s v="Luxury Perfume Spray"/>
    <s v="Beauty"/>
    <x v="11"/>
  </r>
  <r>
    <s v="SALE852"/>
    <d v="2025-02-12T00:00:00"/>
    <x v="415"/>
    <s v="PROD13"/>
    <s v="STORE18"/>
    <n v="4"/>
    <n v="266.98"/>
    <n v="0.16"/>
    <x v="0"/>
    <n v="897.05280000000005"/>
    <n v="1230824.7821999984"/>
    <n v="1072.1470228222981"/>
    <n v="397"/>
    <s v="Low Value"/>
    <s v="Feb-2025"/>
    <s v="USB-C Fast Charger"/>
    <s v="Electronics"/>
    <x v="413"/>
  </r>
  <r>
    <s v="SALE853"/>
    <d v="2025-08-04T00:00:00"/>
    <x v="416"/>
    <s v="PROD70"/>
    <s v="STORE15"/>
    <n v="3"/>
    <n v="360.18"/>
    <n v="0.03"/>
    <x v="0"/>
    <n v="1048.1238000000001"/>
    <n v="1229927.7293999982"/>
    <n v="1072.2996768962496"/>
    <n v="397"/>
    <s v="High Value"/>
    <s v="Aug-2025"/>
    <s v="Kitchen Storage Rack"/>
    <s v="Home"/>
    <x v="414"/>
  </r>
  <r>
    <s v="SALE854"/>
    <d v="2025-07-22T00:00:00"/>
    <x v="402"/>
    <s v="PROD56"/>
    <s v="STORE0"/>
    <n v="3"/>
    <n v="247.41"/>
    <n v="0.05"/>
    <x v="2"/>
    <n v="705.11850000000004"/>
    <n v="1228879.605599998"/>
    <n v="1072.3207727748675"/>
    <n v="397"/>
    <s v="Low Value"/>
    <s v="Jul-2025"/>
    <s v="Premium Blanket Throw"/>
    <s v="Home"/>
    <x v="400"/>
  </r>
  <r>
    <s v="SALE855"/>
    <d v="2023-11-05T00:00:00"/>
    <x v="417"/>
    <s v="PROD45"/>
    <s v="STORE15"/>
    <n v="3"/>
    <n v="674.66"/>
    <n v="0.23"/>
    <x v="0"/>
    <n v="1558.4646"/>
    <n v="1228174.4870999982"/>
    <n v="1072.6414734497801"/>
    <n v="397"/>
    <s v="High Value"/>
    <s v="Nov-2023"/>
    <s v="High-Grip Football"/>
    <s v="Sports"/>
    <x v="415"/>
  </r>
  <r>
    <s v="SALE856"/>
    <d v="2025-08-05T00:00:00"/>
    <x v="139"/>
    <s v="PROD42"/>
    <s v="STORE4"/>
    <n v="1"/>
    <n v="913.98"/>
    <n v="0.27"/>
    <x v="1"/>
    <n v="667.20539999999994"/>
    <n v="1226616.0224999983"/>
    <n v="1072.216802884614"/>
    <n v="397"/>
    <s v="Low Value"/>
    <s v="Aug-2025"/>
    <s v="Smart Home WiFi Camera"/>
    <s v="Electronics"/>
    <x v="138"/>
  </r>
  <r>
    <s v="SALE857"/>
    <d v="2025-04-22T00:00:00"/>
    <x v="130"/>
    <s v="PROD93"/>
    <s v="STORE10"/>
    <n v="4"/>
    <n v="370.5"/>
    <n v="0.13"/>
    <x v="1"/>
    <n v="1289.3399999999999"/>
    <n v="1225948.8170999982"/>
    <n v="1072.5711435695523"/>
    <n v="396"/>
    <s v="High Value"/>
    <s v="Apr-2025"/>
    <s v="USB-C Laptop Charger"/>
    <s v="Electronics"/>
    <x v="129"/>
  </r>
  <r>
    <s v="SALE858"/>
    <d v="2024-11-23T00:00:00"/>
    <x v="237"/>
    <s v="PROD72"/>
    <s v="STORE13"/>
    <n v="1"/>
    <n v="735.1"/>
    <n v="0.1"/>
    <x v="1"/>
    <n v="661.59"/>
    <n v="1224659.4770999984"/>
    <n v="1072.3813284588427"/>
    <n v="395"/>
    <s v="Low Value"/>
    <s v="Nov-2024"/>
    <s v="Professional Jump Rope"/>
    <s v="Sports"/>
    <x v="236"/>
  </r>
  <r>
    <s v="SALE859"/>
    <d v="2024-11-18T00:00:00"/>
    <x v="163"/>
    <s v="PROD79"/>
    <s v="STORE2"/>
    <n v="3"/>
    <n v="448.55"/>
    <n v="0.05"/>
    <x v="0"/>
    <n v="1278.3675000000001"/>
    <n v="1223997.8870999985"/>
    <n v="1072.741355915862"/>
    <n v="394"/>
    <s v="High Value"/>
    <s v="Nov-2024"/>
    <s v="Decorative Lamp Shade"/>
    <s v="Home"/>
    <x v="162"/>
  </r>
  <r>
    <s v="SALE860"/>
    <d v="2025-02-03T00:00:00"/>
    <x v="358"/>
    <s v="PROD84"/>
    <s v="STORE13"/>
    <n v="3"/>
    <n v="904.96"/>
    <n v="7.0000000000000007E-2"/>
    <x v="2"/>
    <n v="2524.8384000000001"/>
    <n v="1222719.5195999986"/>
    <n v="1072.5609821052619"/>
    <n v="394"/>
    <s v="High Value"/>
    <s v="Feb-2025"/>
    <s v="Wooden Bookshelf"/>
    <s v="Home"/>
    <x v="356"/>
  </r>
  <r>
    <s v="SALE861"/>
    <d v="2024-11-12T00:00:00"/>
    <x v="386"/>
    <s v="PROD68"/>
    <s v="STORE13"/>
    <n v="4"/>
    <n v="408.72"/>
    <n v="0.16"/>
    <x v="2"/>
    <n v="1373.2991999999999"/>
    <n v="1220194.6811999988"/>
    <n v="1071.2859360842833"/>
    <n v="394"/>
    <s v="High Value"/>
    <s v="Nov-2024"/>
    <s v="Wooden Nightstand"/>
    <s v="Home"/>
    <x v="384"/>
  </r>
  <r>
    <s v="SALE862"/>
    <d v="2024-04-30T00:00:00"/>
    <x v="205"/>
    <s v="PROD71"/>
    <s v="STORE3"/>
    <n v="4"/>
    <n v="770.65"/>
    <n v="0.27"/>
    <x v="0"/>
    <n v="2250.2979999999998"/>
    <n v="1218821.3819999986"/>
    <n v="1071.0205465729337"/>
    <n v="394"/>
    <s v="High Value"/>
    <s v="Apr-2024"/>
    <s v="Hair Repair Oil Treatment"/>
    <s v="Beauty"/>
    <x v="204"/>
  </r>
  <r>
    <s v="SALE863"/>
    <d v="2025-04-20T00:00:00"/>
    <x v="43"/>
    <s v="PROD30"/>
    <s v="STORE6"/>
    <n v="1"/>
    <n v="649.22"/>
    <n v="0.03"/>
    <x v="2"/>
    <n v="629.74340000000007"/>
    <n v="1216571.0839999986"/>
    <n v="1069.9833632365862"/>
    <n v="394"/>
    <s v="Low Value"/>
    <s v="Apr-2025"/>
    <s v="Stainless Steel Cutlery Set"/>
    <s v="Home"/>
    <x v="43"/>
  </r>
  <r>
    <s v="SALE864"/>
    <d v="2024-05-16T00:00:00"/>
    <x v="14"/>
    <s v="PROD33"/>
    <s v="STORE10"/>
    <n v="2"/>
    <n v="379.78"/>
    <n v="0.2"/>
    <x v="0"/>
    <n v="607.64800000000002"/>
    <n v="1215941.3405999988"/>
    <n v="1070.3708984154919"/>
    <n v="394"/>
    <s v="Low Value"/>
    <s v="May-2024"/>
    <s v="Modern Wall Clock"/>
    <s v="Home"/>
    <x v="14"/>
  </r>
  <r>
    <s v="SALE865"/>
    <d v="2025-04-23T00:00:00"/>
    <x v="201"/>
    <s v="PROD43"/>
    <s v="STORE8"/>
    <n v="3"/>
    <n v="924.15"/>
    <n v="0.1"/>
    <x v="1"/>
    <n v="2495.2049999999999"/>
    <n v="1215333.6925999986"/>
    <n v="1070.7785837885449"/>
    <n v="394"/>
    <s v="High Value"/>
    <s v="Apr-2025"/>
    <s v="USB External Hard Drive"/>
    <s v="Electronics"/>
    <x v="200"/>
  </r>
  <r>
    <s v="SALE866"/>
    <d v="2024-10-06T00:00:00"/>
    <x v="262"/>
    <s v="PROD45"/>
    <s v="STORE17"/>
    <n v="3"/>
    <n v="144.66999999999999"/>
    <n v="0.28999999999999998"/>
    <x v="2"/>
    <n v="308.14710000000002"/>
    <n v="1212838.4875999987"/>
    <n v="1069.5224758377415"/>
    <n v="393"/>
    <s v="Low Value"/>
    <s v="Oct-2024"/>
    <s v="High-Grip Football"/>
    <s v="Sports"/>
    <x v="261"/>
  </r>
  <r>
    <s v="SALE867"/>
    <d v="2025-02-12T00:00:00"/>
    <x v="418"/>
    <s v="PROD33"/>
    <s v="STORE15"/>
    <n v="2"/>
    <n v="667.17"/>
    <n v="0.1"/>
    <x v="1"/>
    <n v="1200.9059999999999"/>
    <n v="1212530.3404999988"/>
    <n v="1070.194475286848"/>
    <n v="393"/>
    <s v="High Value"/>
    <s v="Feb-2025"/>
    <s v="Modern Wall Clock"/>
    <s v="Home"/>
    <x v="416"/>
  </r>
  <r>
    <s v="SALE868"/>
    <d v="2024-03-31T00:00:00"/>
    <x v="363"/>
    <s v="PROD66"/>
    <s v="STORE3"/>
    <n v="1"/>
    <n v="984.6"/>
    <n v="0.22"/>
    <x v="0"/>
    <n v="767.98800000000006"/>
    <n v="1211329.4344999988"/>
    <n v="1070.0790057420484"/>
    <n v="392"/>
    <s v="Low Value"/>
    <s v="Mar-2024"/>
    <s v="Women's Hair Dryer Brush"/>
    <s v="Beauty"/>
    <x v="361"/>
  </r>
  <r>
    <s v="SALE869"/>
    <d v="2023-11-30T00:00:00"/>
    <x v="419"/>
    <s v="PROD13"/>
    <s v="STORE8"/>
    <n v="1"/>
    <n v="139.29"/>
    <n v="0"/>
    <x v="0"/>
    <n v="139.29"/>
    <n v="1210561.4464999989"/>
    <n v="1070.3461065428814"/>
    <n v="392"/>
    <s v="Low Value"/>
    <s v="Nov-2023"/>
    <s v="USB-C Fast Charger"/>
    <s v="Electronics"/>
    <x v="417"/>
  </r>
  <r>
    <s v="SALE870"/>
    <d v="2025-02-14T00:00:00"/>
    <x v="153"/>
    <s v="PROD16"/>
    <s v="STORE8"/>
    <n v="3"/>
    <n v="459.57"/>
    <n v="0.1"/>
    <x v="2"/>
    <n v="1240.8389999999999"/>
    <n v="1210422.1564999989"/>
    <n v="1071.170049999999"/>
    <n v="392"/>
    <s v="High Value"/>
    <s v="Feb-2025"/>
    <s v="Beard Grooming Kit"/>
    <s v="Beauty"/>
    <x v="152"/>
  </r>
  <r>
    <s v="SALE871"/>
    <d v="2024-01-11T00:00:00"/>
    <x v="149"/>
    <s v="PROD40"/>
    <s v="STORE15"/>
    <n v="1"/>
    <n v="517.82000000000005"/>
    <n v="0.28999999999999998"/>
    <x v="0"/>
    <n v="367.65219999999999"/>
    <n v="1209181.317499999"/>
    <n v="1071.0197674933561"/>
    <n v="392"/>
    <s v="Low Value"/>
    <s v="Jan-2024"/>
    <s v="Noise-Canceling Headphones"/>
    <s v="Electronics"/>
    <x v="148"/>
  </r>
  <r>
    <s v="SALE872"/>
    <d v="2024-12-27T00:00:00"/>
    <x v="273"/>
    <s v="PROD76"/>
    <s v="STORE6"/>
    <n v="4"/>
    <n v="282.45"/>
    <n v="0.28999999999999998"/>
    <x v="2"/>
    <n v="802.1579999999999"/>
    <n v="1208813.6652999988"/>
    <n v="1071.6433203014174"/>
    <n v="392"/>
    <s v="Low Value"/>
    <s v="Dec-2024"/>
    <s v="Wireless Mouse"/>
    <s v="Electronics"/>
    <x v="271"/>
  </r>
  <r>
    <s v="SALE873"/>
    <d v="2023-11-20T00:00:00"/>
    <x v="264"/>
    <s v="PROD87"/>
    <s v="STORE7"/>
    <n v="2"/>
    <n v="386.46"/>
    <n v="0.23"/>
    <x v="2"/>
    <n v="595.14840000000004"/>
    <n v="1208011.5072999988"/>
    <n v="1071.8824377107353"/>
    <n v="392"/>
    <s v="Low Value"/>
    <s v="Nov-2023"/>
    <s v="LED Bedside Lamp"/>
    <s v="Home"/>
    <x v="263"/>
  </r>
  <r>
    <s v="SALE874"/>
    <d v="2025-01-04T00:00:00"/>
    <x v="420"/>
    <s v="PROD19"/>
    <s v="STORE3"/>
    <n v="1"/>
    <n v="270.45"/>
    <n v="0.15"/>
    <x v="2"/>
    <n v="229.88249999999999"/>
    <n v="1207416.3588999989"/>
    <n v="1072.3058249555941"/>
    <n v="392"/>
    <s v="Low Value"/>
    <s v="Jan-2025"/>
    <s v="Knee Support Brace"/>
    <s v="Sports"/>
    <x v="418"/>
  </r>
  <r>
    <s v="SALE875"/>
    <d v="2024-07-20T00:00:00"/>
    <x v="95"/>
    <s v="PROD76"/>
    <s v="STORE10"/>
    <n v="4"/>
    <n v="762.94"/>
    <n v="0.09"/>
    <x v="2"/>
    <n v="2777.1016"/>
    <n v="1207186.4763999989"/>
    <n v="1073.0546456888878"/>
    <n v="392"/>
    <s v="High Value"/>
    <s v="Jul-2024"/>
    <s v="Wireless Mouse"/>
    <s v="Electronics"/>
    <x v="94"/>
  </r>
  <r>
    <s v="SALE876"/>
    <d v="2023-11-12T00:00:00"/>
    <x v="187"/>
    <s v="PROD41"/>
    <s v="STORE13"/>
    <n v="1"/>
    <n v="409.03"/>
    <n v="0.25"/>
    <x v="2"/>
    <n v="306.77249999999998"/>
    <n v="1204409.3747999989"/>
    <n v="1071.5385896797143"/>
    <n v="392"/>
    <s v="Low Value"/>
    <s v="Nov-2023"/>
    <s v="Yoga Exercise Mat"/>
    <s v="Sports"/>
    <x v="186"/>
  </r>
  <r>
    <s v="SALE877"/>
    <d v="2024-04-29T00:00:00"/>
    <x v="209"/>
    <s v="PROD96"/>
    <s v="STORE18"/>
    <n v="2"/>
    <n v="891.13"/>
    <n v="0.13"/>
    <x v="0"/>
    <n v="1550.5662"/>
    <n v="1204102.602299999"/>
    <n v="1072.2195924309874"/>
    <n v="392"/>
    <s v="High Value"/>
    <s v="Apr-2024"/>
    <s v="Women's Formal Blazer"/>
    <s v="Clothing"/>
    <x v="208"/>
  </r>
  <r>
    <s v="SALE878"/>
    <d v="2024-10-28T00:00:00"/>
    <x v="326"/>
    <s v="PROD92"/>
    <s v="STORE16"/>
    <n v="1"/>
    <n v="553.38"/>
    <n v="0.21"/>
    <x v="1"/>
    <n v="437.17020000000002"/>
    <n v="1202552.0360999987"/>
    <n v="1071.7932585561487"/>
    <n v="392"/>
    <s v="Low Value"/>
    <s v="Oct-2024"/>
    <s v="Microwave Oven"/>
    <s v="Home"/>
    <x v="324"/>
  </r>
  <r>
    <s v="SALE879"/>
    <d v="2023-12-21T00:00:00"/>
    <x v="318"/>
    <s v="PROD85"/>
    <s v="STORE13"/>
    <n v="2"/>
    <n v="652.29999999999995"/>
    <n v="0.16"/>
    <x v="2"/>
    <n v="1095.864"/>
    <n v="1202114.8658999987"/>
    <n v="1072.3593808206947"/>
    <n v="391"/>
    <s v="High Value"/>
    <s v="Dec-2023"/>
    <s v="Women's Beanie Hat"/>
    <s v="Clothing"/>
    <x v="316"/>
  </r>
  <r>
    <s v="SALE880"/>
    <d v="2024-10-10T00:00:00"/>
    <x v="397"/>
    <s v="PROD42"/>
    <s v="STORE9"/>
    <n v="4"/>
    <n v="194.36"/>
    <n v="0.18"/>
    <x v="2"/>
    <n v="637.50080000000014"/>
    <n v="1201019.0018999989"/>
    <n v="1072.3383945535704"/>
    <n v="391"/>
    <s v="Low Value"/>
    <s v="Oct-2024"/>
    <s v="Smart Home WiFi Camera"/>
    <s v="Electronics"/>
    <x v="395"/>
  </r>
  <r>
    <s v="SALE881"/>
    <d v="2025-01-03T00:00:00"/>
    <x v="175"/>
    <s v="PROD92"/>
    <s v="STORE1"/>
    <n v="3"/>
    <n v="476.37"/>
    <n v="0.21"/>
    <x v="2"/>
    <n v="1128.9969000000001"/>
    <n v="1200381.5010999988"/>
    <n v="1072.7269893655039"/>
    <n v="391"/>
    <s v="High Value"/>
    <s v="Jan-2025"/>
    <s v="Microwave Oven"/>
    <s v="Home"/>
    <x v="174"/>
  </r>
  <r>
    <s v="SALE882"/>
    <d v="2024-03-09T00:00:00"/>
    <x v="317"/>
    <s v="PROD40"/>
    <s v="STORE5"/>
    <n v="3"/>
    <n v="174.57"/>
    <n v="0"/>
    <x v="1"/>
    <n v="523.71"/>
    <n v="1199252.5041999987"/>
    <n v="1072.6766584973154"/>
    <n v="391"/>
    <s v="Low Value"/>
    <s v="Mar-2024"/>
    <s v="Noise-Canceling Headphones"/>
    <s v="Electronics"/>
    <x v="315"/>
  </r>
  <r>
    <s v="SALE883"/>
    <d v="2024-08-22T00:00:00"/>
    <x v="97"/>
    <s v="PROD85"/>
    <s v="STORE0"/>
    <n v="3"/>
    <n v="762"/>
    <n v="0.02"/>
    <x v="1"/>
    <n v="2240.2800000000002"/>
    <n v="1198728.7941999987"/>
    <n v="1073.1681237242603"/>
    <n v="390"/>
    <s v="High Value"/>
    <s v="Aug-2024"/>
    <s v="Women's Beanie Hat"/>
    <s v="Clothing"/>
    <x v="96"/>
  </r>
  <r>
    <s v="SALE884"/>
    <d v="2024-04-13T00:00:00"/>
    <x v="353"/>
    <s v="PROD72"/>
    <s v="STORE19"/>
    <n v="1"/>
    <n v="44.08"/>
    <n v="0.05"/>
    <x v="0"/>
    <n v="41.875999999999998"/>
    <n v="1196488.5141999987"/>
    <n v="1072.1223245519702"/>
    <n v="389"/>
    <s v="Low Value"/>
    <s v="Apr-2024"/>
    <s v="Professional Jump Rope"/>
    <s v="Sports"/>
    <x v="351"/>
  </r>
  <r>
    <s v="SALE885"/>
    <d v="2024-06-23T00:00:00"/>
    <x v="180"/>
    <s v="PROD59"/>
    <s v="STORE13"/>
    <n v="1"/>
    <n v="992.37"/>
    <n v="0.24"/>
    <x v="2"/>
    <n v="754.20119999999997"/>
    <n v="1196446.6381999988"/>
    <n v="1073.0463122869944"/>
    <n v="389"/>
    <s v="Low Value"/>
    <s v="Jun-2024"/>
    <s v="Men's Hair Styling Gel"/>
    <s v="Beauty"/>
    <x v="179"/>
  </r>
  <r>
    <s v="SALE886"/>
    <d v="2025-08-07T00:00:00"/>
    <x v="114"/>
    <s v="PROD31"/>
    <s v="STORE10"/>
    <n v="3"/>
    <n v="465.4"/>
    <n v="0.28999999999999998"/>
    <x v="2"/>
    <n v="991.30199999999979"/>
    <n v="1195692.4369999988"/>
    <n v="1073.3325287253131"/>
    <n v="389"/>
    <s v="Low Value"/>
    <s v="Aug-2025"/>
    <s v="Basketball"/>
    <s v="Sports"/>
    <x v="113"/>
  </r>
  <r>
    <s v="SALE887"/>
    <d v="2025-03-08T00:00:00"/>
    <x v="119"/>
    <s v="PROD16"/>
    <s v="STORE10"/>
    <n v="2"/>
    <n v="693.61"/>
    <n v="0.15"/>
    <x v="1"/>
    <n v="1179.1369999999999"/>
    <n v="1194701.1349999986"/>
    <n v="1073.4062309074561"/>
    <n v="389"/>
    <s v="High Value"/>
    <s v="Mar-2025"/>
    <s v="Beard Grooming Kit"/>
    <s v="Beauty"/>
    <x v="118"/>
  </r>
  <r>
    <s v="SALE888"/>
    <d v="2025-05-24T00:00:00"/>
    <x v="421"/>
    <s v="PROD67"/>
    <s v="STORE8"/>
    <n v="2"/>
    <n v="995.11"/>
    <n v="0.13"/>
    <x v="1"/>
    <n v="1731.4914000000001"/>
    <n v="1193521.9979999987"/>
    <n v="1073.3111492805745"/>
    <n v="388"/>
    <s v="High Value"/>
    <s v="May-2025"/>
    <s v="Smart LED Light Strip"/>
    <s v="Electronics"/>
    <x v="419"/>
  </r>
  <r>
    <s v="SALE889"/>
    <d v="2025-04-02T00:00:00"/>
    <x v="25"/>
    <s v="PROD23"/>
    <s v="STORE4"/>
    <n v="3"/>
    <n v="70.97"/>
    <n v="0.06"/>
    <x v="2"/>
    <n v="200.1354"/>
    <n v="1191790.5065999988"/>
    <n v="1072.7187278127801"/>
    <n v="387"/>
    <s v="Low Value"/>
    <s v="Apr-2025"/>
    <s v="Men's Formal Shirt"/>
    <s v="Clothing"/>
    <x v="25"/>
  </r>
  <r>
    <s v="SALE890"/>
    <d v="2024-02-03T00:00:00"/>
    <x v="121"/>
    <s v="PROD83"/>
    <s v="STORE9"/>
    <n v="3"/>
    <n v="470.42"/>
    <n v="0.16"/>
    <x v="0"/>
    <n v="1185.4584"/>
    <n v="1191590.3711999988"/>
    <n v="1073.5048389189178"/>
    <n v="387"/>
    <s v="High Value"/>
    <s v="Feb-2024"/>
    <s v="Hydrating Face Cleanser"/>
    <s v="Beauty"/>
    <x v="120"/>
  </r>
  <r>
    <s v="SALE891"/>
    <d v="2025-10-02T00:00:00"/>
    <x v="130"/>
    <s v="PROD86"/>
    <s v="STORE16"/>
    <n v="2"/>
    <n v="215.59"/>
    <n v="0.18"/>
    <x v="0"/>
    <n v="353.56760000000003"/>
    <n v="1190404.9127999989"/>
    <n v="1073.4038889089259"/>
    <n v="387"/>
    <s v="Low Value"/>
    <s v="Oct-2025"/>
    <s v="Kitchen Cutting Board"/>
    <s v="Home"/>
    <x v="129"/>
  </r>
  <r>
    <s v="SALE892"/>
    <d v="2025-08-26T00:00:00"/>
    <x v="19"/>
    <s v="PROD92"/>
    <s v="STORE0"/>
    <n v="1"/>
    <n v="533.79999999999995"/>
    <n v="0.27"/>
    <x v="2"/>
    <n v="389.67399999999998"/>
    <n v="1190051.3451999989"/>
    <n v="1074.0535606498186"/>
    <n v="387"/>
    <s v="Low Value"/>
    <s v="Aug-2025"/>
    <s v="Microwave Oven"/>
    <s v="Home"/>
    <x v="19"/>
  </r>
  <r>
    <s v="SALE893"/>
    <d v="2024-11-18T00:00:00"/>
    <x v="126"/>
    <s v="PROD32"/>
    <s v="STORE3"/>
    <n v="2"/>
    <n v="732.67"/>
    <n v="0.24"/>
    <x v="1"/>
    <n v="1113.6584"/>
    <n v="1189661.6711999991"/>
    <n v="1074.6717897018962"/>
    <n v="387"/>
    <s v="High Value"/>
    <s v="Nov-2024"/>
    <s v="Vitamin C Face Serum"/>
    <s v="Beauty"/>
    <x v="125"/>
  </r>
  <r>
    <s v="SALE894"/>
    <d v="2023-11-17T00:00:00"/>
    <x v="154"/>
    <s v="PROD60"/>
    <s v="STORE13"/>
    <n v="4"/>
    <n v="106.48"/>
    <n v="0.1"/>
    <x v="2"/>
    <n v="383.32799999999997"/>
    <n v="1188548.012799999"/>
    <n v="1074.636539602169"/>
    <n v="386"/>
    <s v="Low Value"/>
    <s v="Nov-2023"/>
    <s v="Luxury Perfume Spray"/>
    <s v="Beauty"/>
    <x v="153"/>
  </r>
  <r>
    <s v="SALE895"/>
    <d v="2025-02-08T00:00:00"/>
    <x v="102"/>
    <s v="PROD57"/>
    <s v="STORE3"/>
    <n v="1"/>
    <n v="38.950000000000003"/>
    <n v="0.28000000000000003"/>
    <x v="0"/>
    <n v="28.044"/>
    <n v="1188164.684799999"/>
    <n v="1075.2621581900444"/>
    <n v="386"/>
    <s v="Low Value"/>
    <s v="Feb-2025"/>
    <s v="Foam Roller"/>
    <s v="Sports"/>
    <x v="101"/>
  </r>
  <r>
    <s v="SALE896"/>
    <d v="2024-01-03T00:00:00"/>
    <x v="38"/>
    <s v="PROD96"/>
    <s v="STORE16"/>
    <n v="1"/>
    <n v="835.17"/>
    <n v="0.02"/>
    <x v="2"/>
    <n v="818.46659999999997"/>
    <n v="1188136.640799999"/>
    <n v="1076.210725362318"/>
    <n v="386"/>
    <s v="Low Value"/>
    <s v="Jan-2024"/>
    <s v="Women's Formal Blazer"/>
    <s v="Clothing"/>
    <x v="38"/>
  </r>
  <r>
    <s v="SALE897"/>
    <d v="2024-04-07T00:00:00"/>
    <x v="211"/>
    <s v="PROD83"/>
    <s v="STORE3"/>
    <n v="1"/>
    <n v="113.07"/>
    <n v="0.24"/>
    <x v="0"/>
    <n v="85.933199999999999"/>
    <n v="1187318.1741999991"/>
    <n v="1076.4444009066174"/>
    <n v="386"/>
    <s v="Low Value"/>
    <s v="Apr-2024"/>
    <s v="Hydrating Face Cleanser"/>
    <s v="Beauty"/>
    <x v="210"/>
  </r>
  <r>
    <s v="SALE898"/>
    <d v="2025-09-30T00:00:00"/>
    <x v="220"/>
    <s v="PROD94"/>
    <s v="STORE12"/>
    <n v="2"/>
    <n v="451.33"/>
    <n v="0.23"/>
    <x v="2"/>
    <n v="695.04819999999995"/>
    <n v="1187232.240999999"/>
    <n v="1077.3432313974583"/>
    <n v="386"/>
    <s v="Low Value"/>
    <s v="Sep-2025"/>
    <s v="Vitamin E Body Lotion"/>
    <s v="Beauty"/>
    <x v="219"/>
  </r>
  <r>
    <s v="SALE899"/>
    <d v="2024-06-13T00:00:00"/>
    <x v="61"/>
    <s v="PROD86"/>
    <s v="STORE6"/>
    <n v="3"/>
    <n v="619.80999999999995"/>
    <n v="0.16"/>
    <x v="2"/>
    <n v="1561.9212"/>
    <n v="1186537.1927999989"/>
    <n v="1077.6904566757482"/>
    <n v="386"/>
    <s v="High Value"/>
    <s v="Jun-2024"/>
    <s v="Kitchen Cutting Board"/>
    <s v="Home"/>
    <x v="60"/>
  </r>
  <r>
    <s v="SALE900"/>
    <d v="2025-02-25T00:00:00"/>
    <x v="140"/>
    <s v="PROD62"/>
    <s v="STORE7"/>
    <n v="4"/>
    <n v="46.97"/>
    <n v="0.26"/>
    <x v="1"/>
    <n v="139.03120000000001"/>
    <n v="1184975.2715999989"/>
    <n v="1077.25024690909"/>
    <n v="386"/>
    <s v="Low Value"/>
    <s v="Feb-2025"/>
    <s v="Laptop Cooling Pad"/>
    <s v="Electronics"/>
    <x v="139"/>
  </r>
  <r>
    <s v="SALE901"/>
    <d v="2025-05-07T00:00:00"/>
    <x v="170"/>
    <s v="PROD46"/>
    <s v="STORE2"/>
    <n v="2"/>
    <n v="71.48"/>
    <n v="0.14000000000000001"/>
    <x v="2"/>
    <n v="122.9456"/>
    <n v="1184836.2403999988"/>
    <n v="1078.1039494085521"/>
    <n v="385"/>
    <s v="Low Value"/>
    <s v="May-2025"/>
    <s v="Men's Winter Jacket"/>
    <s v="Clothing"/>
    <x v="169"/>
  </r>
  <r>
    <s v="SALE902"/>
    <d v="2025-06-04T00:00:00"/>
    <x v="267"/>
    <s v="PROD56"/>
    <s v="STORE19"/>
    <n v="2"/>
    <n v="404.08"/>
    <n v="7.0000000000000007E-2"/>
    <x v="0"/>
    <n v="751.58879999999988"/>
    <n v="1184713.2947999989"/>
    <n v="1078.9738568306"/>
    <n v="385"/>
    <s v="Low Value"/>
    <s v="Jun-2025"/>
    <s v="Premium Blanket Throw"/>
    <s v="Home"/>
    <x v="265"/>
  </r>
  <r>
    <s v="SALE903"/>
    <d v="2024-12-27T00:00:00"/>
    <x v="105"/>
    <s v="PROD17"/>
    <s v="STORE16"/>
    <n v="1"/>
    <n v="519.91"/>
    <n v="0.05"/>
    <x v="2"/>
    <n v="493.91449999999992"/>
    <n v="1183961.7059999991"/>
    <n v="1079.2722935278023"/>
    <n v="385"/>
    <s v="Low Value"/>
    <s v="Dec-2024"/>
    <s v="Soccer Training Cone Set"/>
    <s v="Sports"/>
    <x v="104"/>
  </r>
  <r>
    <s v="SALE904"/>
    <d v="2025-01-15T00:00:00"/>
    <x v="281"/>
    <s v="PROD48"/>
    <s v="STORE13"/>
    <n v="3"/>
    <n v="566.16"/>
    <n v="0.05"/>
    <x v="1"/>
    <n v="1613.556"/>
    <n v="1183467.7914999991"/>
    <n v="1079.8063791058387"/>
    <n v="385"/>
    <s v="High Value"/>
    <s v="Jan-2025"/>
    <s v="Car Dashboard Phone Holder"/>
    <s v="Electronics"/>
    <x v="279"/>
  </r>
  <r>
    <s v="SALE905"/>
    <d v="2025-05-22T00:00:00"/>
    <x v="422"/>
    <s v="PROD52"/>
    <s v="STORE10"/>
    <n v="2"/>
    <n v="295.12"/>
    <n v="0.09"/>
    <x v="2"/>
    <n v="537.11840000000007"/>
    <n v="1181854.2354999993"/>
    <n v="1079.3189365296796"/>
    <n v="384"/>
    <s v="Low Value"/>
    <s v="May-2025"/>
    <s v="Rugby Ball"/>
    <s v="Sports"/>
    <x v="420"/>
  </r>
  <r>
    <s v="SALE906"/>
    <d v="2025-07-10T00:00:00"/>
    <x v="423"/>
    <s v="PROD34"/>
    <s v="STORE11"/>
    <n v="2"/>
    <n v="414.18"/>
    <n v="0.25"/>
    <x v="1"/>
    <n v="621.27"/>
    <n v="1181317.1170999992"/>
    <n v="1079.8145494515531"/>
    <n v="384"/>
    <s v="Low Value"/>
    <s v="Jul-2025"/>
    <s v="Gaming Mechanical Keyboard"/>
    <s v="Electronics"/>
    <x v="421"/>
  </r>
  <r>
    <s v="SALE907"/>
    <d v="2025-09-18T00:00:00"/>
    <x v="424"/>
    <s v="PROD58"/>
    <s v="STORE8"/>
    <n v="2"/>
    <n v="433.75"/>
    <n v="0"/>
    <x v="0"/>
    <n v="867.5"/>
    <n v="1180695.8470999992"/>
    <n v="1080.2340778591026"/>
    <n v="383"/>
    <s v="Low Value"/>
    <s v="Sep-2025"/>
    <s v="Womens Cotton Scarf"/>
    <s v="Clothing"/>
    <x v="422"/>
  </r>
  <r>
    <s v="SALE908"/>
    <d v="2023-12-28T00:00:00"/>
    <x v="373"/>
    <s v="PROD85"/>
    <s v="STORE19"/>
    <n v="3"/>
    <n v="104.33"/>
    <n v="0.13"/>
    <x v="2"/>
    <n v="272.30130000000003"/>
    <n v="1179828.3470999992"/>
    <n v="1080.4288892857135"/>
    <n v="383"/>
    <s v="Low Value"/>
    <s v="Dec-2023"/>
    <s v="Women's Beanie Hat"/>
    <s v="Clothing"/>
    <x v="371"/>
  </r>
  <r>
    <s v="SALE909"/>
    <d v="2024-07-04T00:00:00"/>
    <x v="9"/>
    <s v="PROD4"/>
    <s v="STORE12"/>
    <n v="1"/>
    <n v="221.7"/>
    <n v="0.04"/>
    <x v="0"/>
    <n v="212.83199999999999"/>
    <n v="1179556.0457999993"/>
    <n v="1081.1696111824008"/>
    <n v="383"/>
    <s v="Low Value"/>
    <s v="Jul-2024"/>
    <s v="Women's Yoga Pants"/>
    <s v="Clothing"/>
    <x v="9"/>
  </r>
  <r>
    <s v="SALE910"/>
    <d v="2025-05-19T00:00:00"/>
    <x v="225"/>
    <s v="PROD67"/>
    <s v="STORE5"/>
    <n v="2"/>
    <n v="491.26"/>
    <n v="0.14000000000000001"/>
    <x v="2"/>
    <n v="844.96719999999993"/>
    <n v="1179343.2137999991"/>
    <n v="1081.9662511926597"/>
    <n v="383"/>
    <s v="Low Value"/>
    <s v="May-2025"/>
    <s v="Smart LED Light Strip"/>
    <s v="Electronics"/>
    <x v="224"/>
  </r>
  <r>
    <s v="SALE911"/>
    <d v="2024-12-04T00:00:00"/>
    <x v="282"/>
    <s v="PROD37"/>
    <s v="STORE8"/>
    <n v="4"/>
    <n v="923.14"/>
    <n v="0.15"/>
    <x v="0"/>
    <n v="3138.6759999999999"/>
    <n v="1178498.2465999995"/>
    <n v="1082.1838811753898"/>
    <n v="383"/>
    <s v="High Value"/>
    <s v="Dec-2024"/>
    <s v="Men's Casual Sneakers"/>
    <s v="Clothing"/>
    <x v="280"/>
  </r>
  <r>
    <s v="SALE912"/>
    <d v="2024-11-29T00:00:00"/>
    <x v="425"/>
    <s v="PROD64"/>
    <s v="STORE7"/>
    <n v="2"/>
    <n v="747.65"/>
    <n v="0.08"/>
    <x v="0"/>
    <n v="1375.6759999999999"/>
    <n v="1175359.5705999997"/>
    <n v="1080.2937229779409"/>
    <n v="383"/>
    <s v="High Value"/>
    <s v="Nov-2024"/>
    <s v="Matte Lipstick Set"/>
    <s v="Beauty"/>
    <x v="423"/>
  </r>
  <r>
    <s v="SALE913"/>
    <d v="2025-04-26T00:00:00"/>
    <x v="423"/>
    <s v="PROD42"/>
    <s v="STORE7"/>
    <n v="3"/>
    <n v="94.55"/>
    <n v="0.13"/>
    <x v="2"/>
    <n v="246.77549999999999"/>
    <n v="1173983.8945999995"/>
    <n v="1080.0219821527135"/>
    <n v="383"/>
    <s v="Low Value"/>
    <s v="Apr-2025"/>
    <s v="Smart Home WiFi Camera"/>
    <s v="Electronics"/>
    <x v="421"/>
  </r>
  <r>
    <s v="SALE914"/>
    <d v="2024-01-17T00:00:00"/>
    <x v="276"/>
    <s v="PROD15"/>
    <s v="STORE19"/>
    <n v="3"/>
    <n v="620.12"/>
    <n v="0.06"/>
    <x v="0"/>
    <n v="1748.7384"/>
    <n v="1173737.1190999995"/>
    <n v="1080.7892441068136"/>
    <n v="383"/>
    <s v="High Value"/>
    <s v="Jan-2024"/>
    <s v="4K Home Projector"/>
    <s v="Electronics"/>
    <x v="274"/>
  </r>
  <r>
    <s v="SALE915"/>
    <d v="2025-07-31T00:00:00"/>
    <x v="371"/>
    <s v="PROD69"/>
    <s v="STORE6"/>
    <n v="2"/>
    <n v="354.09"/>
    <n v="0.12"/>
    <x v="2"/>
    <n v="623.19839999999999"/>
    <n v="1171988.3806999996"/>
    <n v="1080.1736227649767"/>
    <n v="383"/>
    <s v="Low Value"/>
    <s v="Jul-2025"/>
    <s v="Men's Sports Shorts"/>
    <s v="Clothing"/>
    <x v="369"/>
  </r>
  <r>
    <s v="SALE916"/>
    <d v="2024-11-25T00:00:00"/>
    <x v="390"/>
    <s v="PROD53"/>
    <s v="STORE5"/>
    <n v="3"/>
    <n v="214.94"/>
    <n v="0.22"/>
    <x v="2"/>
    <n v="502.95960000000002"/>
    <n v="1171365.1822999998"/>
    <n v="1080.595186623616"/>
    <n v="383"/>
    <s v="Low Value"/>
    <s v="Nov-2024"/>
    <s v="Men's Track Pants"/>
    <s v="Clothing"/>
    <x v="388"/>
  </r>
  <r>
    <s v="SALE917"/>
    <d v="2024-05-16T00:00:00"/>
    <x v="174"/>
    <s v="PROD9"/>
    <s v="STORE12"/>
    <n v="2"/>
    <n v="309.77999999999997"/>
    <n v="0.16"/>
    <x v="0"/>
    <n v="520.43039999999996"/>
    <n v="1170862.2226999998"/>
    <n v="1081.1285528162509"/>
    <n v="383"/>
    <s v="Low Value"/>
    <s v="May-2024"/>
    <s v="Adjustable Dumbbell Set"/>
    <s v="Sports"/>
    <x v="173"/>
  </r>
  <r>
    <s v="SALE918"/>
    <d v="2025-05-30T00:00:00"/>
    <x v="182"/>
    <s v="PROD13"/>
    <s v="STORE3"/>
    <n v="2"/>
    <n v="183.85"/>
    <n v="0.14000000000000001"/>
    <x v="1"/>
    <n v="316.22199999999998"/>
    <n v="1170341.7922999999"/>
    <n v="1081.6467581330867"/>
    <n v="383"/>
    <s v="Low Value"/>
    <s v="May-2025"/>
    <s v="USB-C Fast Charger"/>
    <s v="Electronics"/>
    <x v="181"/>
  </r>
  <r>
    <s v="SALE919"/>
    <d v="2023-11-08T00:00:00"/>
    <x v="0"/>
    <s v="PROD70"/>
    <s v="STORE0"/>
    <n v="1"/>
    <n v="550.05999999999995"/>
    <n v="0.01"/>
    <x v="0"/>
    <n v="544.55939999999998"/>
    <n v="1170025.5702999998"/>
    <n v="1082.3548291396853"/>
    <n v="382"/>
    <s v="Low Value"/>
    <s v="Nov-2023"/>
    <s v="Kitchen Storage Rack"/>
    <s v="Home"/>
    <x v="0"/>
  </r>
  <r>
    <s v="SALE920"/>
    <d v="2023-11-23T00:00:00"/>
    <x v="92"/>
    <s v="PROD79"/>
    <s v="STORE4"/>
    <n v="2"/>
    <n v="32.19"/>
    <n v="0.13"/>
    <x v="2"/>
    <n v="56.010599999999997"/>
    <n v="1169481.0108999999"/>
    <n v="1082.8527878703703"/>
    <n v="382"/>
    <s v="Low Value"/>
    <s v="Nov-2023"/>
    <s v="Decorative Lamp Shade"/>
    <s v="Home"/>
    <x v="91"/>
  </r>
  <r>
    <s v="SALE921"/>
    <d v="2024-06-17T00:00:00"/>
    <x v="160"/>
    <s v="PROD33"/>
    <s v="STORE19"/>
    <n v="2"/>
    <n v="892.06"/>
    <n v="0.08"/>
    <x v="0"/>
    <n v="1641.3904"/>
    <n v="1169425.0003"/>
    <n v="1083.8044488415198"/>
    <n v="382"/>
    <s v="High Value"/>
    <s v="Jun-2024"/>
    <s v="Modern Wall Clock"/>
    <s v="Home"/>
    <x v="159"/>
  </r>
  <r>
    <s v="SALE922"/>
    <d v="2024-12-02T00:00:00"/>
    <x v="167"/>
    <s v="PROD58"/>
    <s v="STORE6"/>
    <n v="1"/>
    <n v="127.47"/>
    <n v="0.16"/>
    <x v="2"/>
    <n v="107.0748"/>
    <n v="1167783.6099"/>
    <n v="1083.2872076994433"/>
    <n v="382"/>
    <s v="Low Value"/>
    <s v="Dec-2024"/>
    <s v="Womens Cotton Scarf"/>
    <s v="Clothing"/>
    <x v="166"/>
  </r>
  <r>
    <s v="SALE923"/>
    <d v="2025-05-01T00:00:00"/>
    <x v="327"/>
    <s v="PROD77"/>
    <s v="STORE14"/>
    <n v="3"/>
    <n v="212.87"/>
    <n v="0.18"/>
    <x v="0"/>
    <n v="523.66020000000003"/>
    <n v="1167676.5351"/>
    <n v="1084.1936259052925"/>
    <n v="382"/>
    <s v="Low Value"/>
    <s v="May-2025"/>
    <s v="WiFi Mesh Router"/>
    <s v="Electronics"/>
    <x v="325"/>
  </r>
  <r>
    <s v="SALE924"/>
    <d v="2024-06-28T00:00:00"/>
    <x v="282"/>
    <s v="PROD81"/>
    <s v="STORE7"/>
    <n v="1"/>
    <n v="26.37"/>
    <n v="0.3"/>
    <x v="2"/>
    <n v="18.459"/>
    <n v="1167152.8748999999"/>
    <n v="1084.7145677509293"/>
    <n v="382"/>
    <s v="Low Value"/>
    <s v="Jun-2024"/>
    <s v="Badminton Racket Set"/>
    <s v="Sports"/>
    <x v="280"/>
  </r>
  <r>
    <s v="SALE925"/>
    <d v="2025-04-23T00:00:00"/>
    <x v="220"/>
    <s v="PROD34"/>
    <s v="STORE18"/>
    <n v="4"/>
    <n v="953.98"/>
    <n v="0.16"/>
    <x v="0"/>
    <n v="3205.3728000000001"/>
    <n v="1167134.4158999999"/>
    <n v="1085.7064333953488"/>
    <n v="382"/>
    <s v="High Value"/>
    <s v="Apr-2025"/>
    <s v="Gaming Mechanical Keyboard"/>
    <s v="Electronics"/>
    <x v="219"/>
  </r>
  <r>
    <s v="SALE926"/>
    <d v="2024-03-18T00:00:00"/>
    <x v="295"/>
    <s v="PROD67"/>
    <s v="STORE19"/>
    <n v="3"/>
    <n v="968.88"/>
    <n v="0.15"/>
    <x v="0"/>
    <n v="2470.6439999999998"/>
    <n v="1163929.0431000001"/>
    <n v="1083.7328148044694"/>
    <n v="382"/>
    <s v="High Value"/>
    <s v="Mar-2024"/>
    <s v="Smart LED Light Strip"/>
    <s v="Electronics"/>
    <x v="293"/>
  </r>
  <r>
    <s v="SALE927"/>
    <d v="2025-09-10T00:00:00"/>
    <x v="8"/>
    <s v="PROD76"/>
    <s v="STORE18"/>
    <n v="1"/>
    <n v="533.04999999999995"/>
    <n v="0.11"/>
    <x v="1"/>
    <n v="474.41449999999998"/>
    <n v="1161458.3991"/>
    <n v="1082.4402601118361"/>
    <n v="382"/>
    <s v="Low Value"/>
    <s v="Sep-2025"/>
    <s v="Wireless Mouse"/>
    <s v="Electronics"/>
    <x v="8"/>
  </r>
  <r>
    <s v="SALE928"/>
    <d v="2024-12-11T00:00:00"/>
    <x v="25"/>
    <s v="PROD81"/>
    <s v="STORE1"/>
    <n v="3"/>
    <n v="138.86000000000001"/>
    <n v="0.11"/>
    <x v="1"/>
    <n v="370.75619999999998"/>
    <n v="1160983.9846000001"/>
    <n v="1083.0074483208955"/>
    <n v="381"/>
    <s v="Low Value"/>
    <s v="Dec-2024"/>
    <s v="Badminton Racket Set"/>
    <s v="Sports"/>
    <x v="25"/>
  </r>
  <r>
    <s v="SALE929"/>
    <d v="2025-02-18T00:00:00"/>
    <x v="287"/>
    <s v="PROD22"/>
    <s v="STORE0"/>
    <n v="1"/>
    <n v="588.92999999999995"/>
    <n v="0.03"/>
    <x v="2"/>
    <n v="571.26209999999992"/>
    <n v="1160613.2284000001"/>
    <n v="1083.6724821661999"/>
    <n v="380"/>
    <s v="Low Value"/>
    <s v="Feb-2025"/>
    <s v="Carbon Fiber Tennis Racket"/>
    <s v="Sports"/>
    <x v="285"/>
  </r>
  <r>
    <s v="SALE930"/>
    <d v="2024-09-22T00:00:00"/>
    <x v="75"/>
    <s v="PROD52"/>
    <s v="STORE5"/>
    <n v="2"/>
    <n v="576.83000000000004"/>
    <n v="0.19"/>
    <x v="1"/>
    <n v="934.46460000000013"/>
    <n v="1160041.9663"/>
    <n v="1084.1513703738317"/>
    <n v="380"/>
    <s v="Low Value"/>
    <s v="Sep-2024"/>
    <s v="Rugby Ball"/>
    <s v="Sports"/>
    <x v="74"/>
  </r>
  <r>
    <s v="SALE931"/>
    <d v="2024-02-16T00:00:00"/>
    <x v="162"/>
    <s v="PROD65"/>
    <s v="STORE12"/>
    <n v="1"/>
    <n v="681.3"/>
    <n v="0.05"/>
    <x v="0"/>
    <n v="647.2349999999999"/>
    <n v="1159107.5017000001"/>
    <n v="1084.2913954162771"/>
    <n v="379"/>
    <s v="Low Value"/>
    <s v="Feb-2024"/>
    <s v="Adjustable Dumbbells 20kg"/>
    <s v="Sports"/>
    <x v="161"/>
  </r>
  <r>
    <s v="SALE932"/>
    <d v="2024-05-29T00:00:00"/>
    <x v="414"/>
    <s v="PROD25"/>
    <s v="STORE15"/>
    <n v="3"/>
    <n v="504.97"/>
    <n v="0.3"/>
    <x v="0"/>
    <n v="1060.4369999999999"/>
    <n v="1158460.2667"/>
    <n v="1084.7006242509365"/>
    <n v="379"/>
    <s v="High Value"/>
    <s v="May-2024"/>
    <s v="Women's Scarf Set"/>
    <s v="Clothing"/>
    <x v="412"/>
  </r>
  <r>
    <s v="SALE933"/>
    <d v="2024-04-14T00:00:00"/>
    <x v="426"/>
    <s v="PROD38"/>
    <s v="STORE11"/>
    <n v="3"/>
    <n v="649.78"/>
    <n v="0.1"/>
    <x v="1"/>
    <n v="1754.4059999999999"/>
    <n v="1157399.8297000001"/>
    <n v="1084.7233642924086"/>
    <n v="379"/>
    <s v="High Value"/>
    <s v="Apr-2024"/>
    <s v="Sports Water Hydration Pack"/>
    <s v="Sports"/>
    <x v="424"/>
  </r>
  <r>
    <s v="SALE934"/>
    <d v="2024-01-26T00:00:00"/>
    <x v="427"/>
    <s v="PROD39"/>
    <s v="STORE9"/>
    <n v="2"/>
    <n v="986.73"/>
    <n v="0.05"/>
    <x v="1"/>
    <n v="1874.787"/>
    <n v="1155645.4236999999"/>
    <n v="1084.0951441838649"/>
    <n v="378"/>
    <s v="High Value"/>
    <s v="Jan-2024"/>
    <s v="Portable Power Bank"/>
    <s v="Electronics"/>
    <x v="425"/>
  </r>
  <r>
    <s v="SALE935"/>
    <d v="2023-11-05T00:00:00"/>
    <x v="97"/>
    <s v="PROD13"/>
    <s v="STORE15"/>
    <n v="2"/>
    <n v="65.44"/>
    <n v="0.05"/>
    <x v="1"/>
    <n v="124.336"/>
    <n v="1153770.6366999999"/>
    <n v="1083.3527105164319"/>
    <n v="377"/>
    <s v="Low Value"/>
    <s v="Nov-2023"/>
    <s v="USB-C Fast Charger"/>
    <s v="Electronics"/>
    <x v="96"/>
  </r>
  <r>
    <s v="SALE936"/>
    <d v="2025-06-16T00:00:00"/>
    <x v="280"/>
    <s v="PROD63"/>
    <s v="STORE13"/>
    <n v="3"/>
    <n v="953.74"/>
    <n v="0.04"/>
    <x v="0"/>
    <n v="2746.7712000000001"/>
    <n v="1153646.3007"/>
    <n v="1084.2540420112782"/>
    <n v="376"/>
    <s v="High Value"/>
    <s v="Jun-2025"/>
    <s v="Organic Sunscreen Lotion"/>
    <s v="Beauty"/>
    <x v="278"/>
  </r>
  <r>
    <s v="SALE937"/>
    <d v="2024-09-08T00:00:00"/>
    <x v="101"/>
    <s v="PROD76"/>
    <s v="STORE10"/>
    <n v="3"/>
    <n v="904.48"/>
    <n v="0.21"/>
    <x v="1"/>
    <n v="2143.6176"/>
    <n v="1150899.5294999997"/>
    <n v="1082.6900559736591"/>
    <n v="376"/>
    <s v="High Value"/>
    <s v="Sep-2024"/>
    <s v="Wireless Mouse"/>
    <s v="Electronics"/>
    <x v="100"/>
  </r>
  <r>
    <s v="SALE938"/>
    <d v="2024-10-30T00:00:00"/>
    <x v="36"/>
    <s v="PROD62"/>
    <s v="STORE15"/>
    <n v="3"/>
    <n v="920.82"/>
    <n v="0.1"/>
    <x v="1"/>
    <n v="2486.2139999999999"/>
    <n v="1148755.9118999999"/>
    <n v="1081.6910658192089"/>
    <n v="375"/>
    <s v="High Value"/>
    <s v="Oct-2024"/>
    <s v="Laptop Cooling Pad"/>
    <s v="Electronics"/>
    <x v="36"/>
  </r>
  <r>
    <s v="SALE939"/>
    <d v="2025-05-26T00:00:00"/>
    <x v="428"/>
    <s v="PROD28"/>
    <s v="STORE1"/>
    <n v="1"/>
    <n v="182.28"/>
    <n v="0.15"/>
    <x v="2"/>
    <n v="154.93799999999999"/>
    <n v="1146269.6978999996"/>
    <n v="1080.3672930254472"/>
    <n v="374"/>
    <s v="Low Value"/>
    <s v="May-2025"/>
    <s v="Sports Stopwatch Timer"/>
    <s v="Sports"/>
    <x v="426"/>
  </r>
  <r>
    <s v="SALE940"/>
    <d v="2025-08-11T00:00:00"/>
    <x v="312"/>
    <s v="PROD31"/>
    <s v="STORE16"/>
    <n v="3"/>
    <n v="938.68"/>
    <n v="0.14000000000000001"/>
    <x v="0"/>
    <n v="2421.7944000000002"/>
    <n v="1146114.7598999995"/>
    <n v="1081.2403395283013"/>
    <n v="374"/>
    <s v="High Value"/>
    <s v="Aug-2025"/>
    <s v="Basketball"/>
    <s v="Sports"/>
    <x v="310"/>
  </r>
  <r>
    <s v="SALE941"/>
    <d v="2025-02-02T00:00:00"/>
    <x v="150"/>
    <s v="PROD91"/>
    <s v="STORE5"/>
    <n v="3"/>
    <n v="219.96"/>
    <n v="0.18"/>
    <x v="1"/>
    <n v="541.10160000000008"/>
    <n v="1143692.9654999995"/>
    <n v="1079.9744716713876"/>
    <n v="374"/>
    <s v="Low Value"/>
    <s v="Feb-2025"/>
    <s v="Women's High Heels"/>
    <s v="Clothing"/>
    <x v="149"/>
  </r>
  <r>
    <s v="SALE942"/>
    <d v="2025-07-03T00:00:00"/>
    <x v="117"/>
    <s v="PROD71"/>
    <s v="STORE18"/>
    <n v="3"/>
    <n v="385.74"/>
    <n v="0.27"/>
    <x v="0"/>
    <n v="844.77059999999994"/>
    <n v="1143151.8638999995"/>
    <n v="1080.483803308128"/>
    <n v="373"/>
    <s v="Low Value"/>
    <s v="Jul-2025"/>
    <s v="Hair Repair Oil Treatment"/>
    <s v="Beauty"/>
    <x v="116"/>
  </r>
  <r>
    <s v="SALE943"/>
    <d v="2024-03-29T00:00:00"/>
    <x v="32"/>
    <s v="PROD81"/>
    <s v="STORE18"/>
    <n v="2"/>
    <n v="830.94"/>
    <n v="0.28000000000000003"/>
    <x v="1"/>
    <n v="1196.5536"/>
    <n v="1142307.0932999994"/>
    <n v="1080.70680539262"/>
    <n v="373"/>
    <s v="High Value"/>
    <s v="Mar-2024"/>
    <s v="Badminton Racket Set"/>
    <s v="Sports"/>
    <x v="32"/>
  </r>
  <r>
    <s v="SALE944"/>
    <d v="2024-07-30T00:00:00"/>
    <x v="280"/>
    <s v="PROD3"/>
    <s v="STORE9"/>
    <n v="3"/>
    <n v="462.75"/>
    <n v="0.22"/>
    <x v="1"/>
    <n v="1082.835"/>
    <n v="1141110.5396999996"/>
    <n v="1080.597101988636"/>
    <n v="372"/>
    <s v="High Value"/>
    <s v="Jul-2024"/>
    <s v="Men's Running Jacket"/>
    <s v="Clothing"/>
    <x v="278"/>
  </r>
  <r>
    <s v="SALE945"/>
    <d v="2024-10-02T00:00:00"/>
    <x v="101"/>
    <s v="PROD14"/>
    <s v="STORE15"/>
    <n v="4"/>
    <n v="973.9"/>
    <n v="0.02"/>
    <x v="2"/>
    <n v="3817.6880000000001"/>
    <n v="1140027.7046999994"/>
    <n v="1080.5949807582933"/>
    <n v="371"/>
    <s v="High Value"/>
    <s v="Oct-2024"/>
    <s v="Decorative Wall Mirror"/>
    <s v="Home"/>
    <x v="100"/>
  </r>
  <r>
    <s v="SALE946"/>
    <d v="2024-11-04T00:00:00"/>
    <x v="429"/>
    <s v="PROD35"/>
    <s v="STORE1"/>
    <n v="2"/>
    <n v="157.18"/>
    <n v="0.15"/>
    <x v="0"/>
    <n v="267.20600000000002"/>
    <n v="1136210.0166999991"/>
    <n v="1077.9981183111945"/>
    <n v="371"/>
    <s v="Low Value"/>
    <s v="Nov-2024"/>
    <s v="Bedroom Table Lamp"/>
    <s v="Home"/>
    <x v="427"/>
  </r>
  <r>
    <s v="SALE947"/>
    <d v="2024-05-03T00:00:00"/>
    <x v="199"/>
    <s v="PROD73"/>
    <s v="STORE13"/>
    <n v="3"/>
    <n v="239.57"/>
    <n v="0.16"/>
    <x v="0"/>
    <n v="603.71640000000002"/>
    <n v="1135942.8106999991"/>
    <n v="1078.7681013295339"/>
    <n v="371"/>
    <s v="Low Value"/>
    <s v="May-2024"/>
    <s v="Shin Guards – Adult"/>
    <s v="Sports"/>
    <x v="198"/>
  </r>
  <r>
    <s v="SALE948"/>
    <d v="2024-02-21T00:00:00"/>
    <x v="78"/>
    <s v="PROD9"/>
    <s v="STORE16"/>
    <n v="4"/>
    <n v="583.21"/>
    <n v="0.2"/>
    <x v="0"/>
    <n v="1866.2719999999999"/>
    <n v="1135339.0942999991"/>
    <n v="1079.2196713878318"/>
    <n v="371"/>
    <s v="High Value"/>
    <s v="Feb-2024"/>
    <s v="Adjustable Dumbbell Set"/>
    <s v="Sports"/>
    <x v="77"/>
  </r>
  <r>
    <s v="SALE949"/>
    <d v="2024-04-17T00:00:00"/>
    <x v="275"/>
    <s v="PROD81"/>
    <s v="STORE8"/>
    <n v="3"/>
    <n v="758.75"/>
    <n v="0.27"/>
    <x v="1"/>
    <n v="1661.6624999999999"/>
    <n v="1133472.8222999994"/>
    <n v="1078.4708109419594"/>
    <n v="371"/>
    <s v="High Value"/>
    <s v="Apr-2024"/>
    <s v="Badminton Racket Set"/>
    <s v="Sports"/>
    <x v="273"/>
  </r>
  <r>
    <s v="SALE950"/>
    <d v="2025-02-01T00:00:00"/>
    <x v="430"/>
    <s v="PROD61"/>
    <s v="STORE5"/>
    <n v="4"/>
    <n v="372.42"/>
    <n v="0.19"/>
    <x v="0"/>
    <n v="1206.6407999999999"/>
    <n v="1131811.1597999993"/>
    <n v="1077.9153902857136"/>
    <n v="370"/>
    <s v="High Value"/>
    <s v="Feb-2025"/>
    <s v="Tennis Ball 3-Pack"/>
    <s v="Sports"/>
    <x v="428"/>
  </r>
  <r>
    <s v="SALE951"/>
    <d v="2025-02-11T00:00:00"/>
    <x v="431"/>
    <s v="PROD63"/>
    <s v="STORE19"/>
    <n v="4"/>
    <n v="286.27999999999997"/>
    <n v="0.28000000000000003"/>
    <x v="1"/>
    <n v="824.48639999999989"/>
    <n v="1130604.5189999996"/>
    <n v="1077.7926777883695"/>
    <n v="370"/>
    <s v="Low Value"/>
    <s v="Feb-2025"/>
    <s v="Organic Sunscreen Lotion"/>
    <s v="Beauty"/>
    <x v="429"/>
  </r>
  <r>
    <s v="SALE952"/>
    <d v="2025-01-06T00:00:00"/>
    <x v="419"/>
    <s v="PROD73"/>
    <s v="STORE11"/>
    <n v="3"/>
    <n v="488.37"/>
    <n v="0.27"/>
    <x v="2"/>
    <n v="1069.5302999999999"/>
    <n v="1129780.0325999996"/>
    <n v="1078.034382251908"/>
    <n v="369"/>
    <s v="High Value"/>
    <s v="Jan-2025"/>
    <s v="Shin Guards – Adult"/>
    <s v="Sports"/>
    <x v="417"/>
  </r>
  <r>
    <s v="SALE953"/>
    <d v="2024-03-26T00:00:00"/>
    <x v="262"/>
    <s v="PROD87"/>
    <s v="STORE8"/>
    <n v="3"/>
    <n v="662.82"/>
    <n v="0.01"/>
    <x v="2"/>
    <n v="1968.5753999999999"/>
    <n v="1128710.5022999994"/>
    <n v="1078.0425045845266"/>
    <n v="369"/>
    <s v="High Value"/>
    <s v="Mar-2024"/>
    <s v="LED Bedside Lamp"/>
    <s v="Home"/>
    <x v="261"/>
  </r>
  <r>
    <s v="SALE954"/>
    <d v="2024-04-30T00:00:00"/>
    <x v="388"/>
    <s v="PROD6"/>
    <s v="STORE16"/>
    <n v="2"/>
    <n v="824.34"/>
    <n v="0.1"/>
    <x v="2"/>
    <n v="1483.8119999999999"/>
    <n v="1126741.9268999994"/>
    <n v="1077.1911347036323"/>
    <n v="369"/>
    <s v="High Value"/>
    <s v="Apr-2024"/>
    <s v="Herbal Face Moisturizer"/>
    <s v="Beauty"/>
    <x v="386"/>
  </r>
  <r>
    <s v="SALE955"/>
    <d v="2024-02-27T00:00:00"/>
    <x v="121"/>
    <s v="PROD59"/>
    <s v="STORE8"/>
    <n v="1"/>
    <n v="437.12"/>
    <n v="0.21"/>
    <x v="0"/>
    <n v="345.32479999999998"/>
    <n v="1125258.1148999995"/>
    <n v="1076.8020238277506"/>
    <n v="369"/>
    <s v="Low Value"/>
    <s v="Feb-2024"/>
    <s v="Men's Hair Styling Gel"/>
    <s v="Beauty"/>
    <x v="120"/>
  </r>
  <r>
    <s v="SALE956"/>
    <d v="2024-07-13T00:00:00"/>
    <x v="374"/>
    <s v="PROD88"/>
    <s v="STORE6"/>
    <n v="3"/>
    <n v="23.37"/>
    <n v="0.15"/>
    <x v="1"/>
    <n v="59.593499999999999"/>
    <n v="1124912.7900999994"/>
    <n v="1077.5026725095779"/>
    <n v="369"/>
    <s v="Low Value"/>
    <s v="Jul-2024"/>
    <s v="Sports Wrist Sweatbands"/>
    <s v="Sports"/>
    <x v="372"/>
  </r>
  <r>
    <s v="SALE957"/>
    <d v="2025-04-14T00:00:00"/>
    <x v="8"/>
    <s v="PROD36"/>
    <s v="STORE8"/>
    <n v="1"/>
    <n v="579.69000000000005"/>
    <n v="0.02"/>
    <x v="0"/>
    <n v="568.09620000000007"/>
    <n v="1124853.1965999994"/>
    <n v="1078.4786161073821"/>
    <n v="368"/>
    <s v="Low Value"/>
    <s v="Apr-2025"/>
    <s v="Women's Summer Dress"/>
    <s v="Clothing"/>
    <x v="8"/>
  </r>
  <r>
    <s v="SALE958"/>
    <d v="2024-12-13T00:00:00"/>
    <x v="351"/>
    <s v="PROD78"/>
    <s v="STORE14"/>
    <n v="3"/>
    <n v="240.51"/>
    <n v="7.0000000000000007E-2"/>
    <x v="0"/>
    <n v="671.02289999999994"/>
    <n v="1124285.1003999994"/>
    <n v="1078.9684264875234"/>
    <n v="368"/>
    <s v="Low Value"/>
    <s v="Dec-2024"/>
    <s v="Essential Oil Diffuser"/>
    <s v="Home"/>
    <x v="349"/>
  </r>
  <r>
    <s v="SALE959"/>
    <d v="2025-08-24T00:00:00"/>
    <x v="157"/>
    <s v="PROD25"/>
    <s v="STORE14"/>
    <n v="2"/>
    <n v="855.4"/>
    <n v="0.08"/>
    <x v="2"/>
    <n v="1573.9359999999999"/>
    <n v="1123614.0774999997"/>
    <n v="1079.3603049951967"/>
    <n v="368"/>
    <s v="High Value"/>
    <s v="Aug-2025"/>
    <s v="Women's Scarf Set"/>
    <s v="Clothing"/>
    <x v="156"/>
  </r>
  <r>
    <s v="SALE960"/>
    <d v="2023-10-28T00:00:00"/>
    <x v="69"/>
    <s v="PROD90"/>
    <s v="STORE7"/>
    <n v="1"/>
    <n v="537.26"/>
    <n v="0.09"/>
    <x v="0"/>
    <n v="488.90660000000003"/>
    <n v="1122040.1414999997"/>
    <n v="1078.8847514423073"/>
    <n v="368"/>
    <s v="Low Value"/>
    <s v="Oct-2023"/>
    <s v="Gaming Mouse Pad XL"/>
    <s v="Electronics"/>
    <x v="68"/>
  </r>
  <r>
    <s v="SALE961"/>
    <d v="2024-12-11T00:00:00"/>
    <x v="304"/>
    <s v="PROD51"/>
    <s v="STORE10"/>
    <n v="3"/>
    <n v="918.26"/>
    <n v="0.17"/>
    <x v="2"/>
    <n v="2286.4674"/>
    <n v="1121551.2348999996"/>
    <n v="1079.4525841193451"/>
    <n v="368"/>
    <s v="High Value"/>
    <s v="Dec-2024"/>
    <s v="HDMI Cable – 2m"/>
    <s v="Electronics"/>
    <x v="302"/>
  </r>
  <r>
    <s v="SALE962"/>
    <d v="2024-06-29T00:00:00"/>
    <x v="50"/>
    <s v="PROD6"/>
    <s v="STORE9"/>
    <n v="4"/>
    <n v="579.70000000000005"/>
    <n v="0.18"/>
    <x v="1"/>
    <n v="1901.4159999999999"/>
    <n v="1119264.7674999996"/>
    <n v="1078.2897567437376"/>
    <n v="368"/>
    <s v="High Value"/>
    <s v="Jun-2024"/>
    <s v="Herbal Face Moisturizer"/>
    <s v="Beauty"/>
    <x v="50"/>
  </r>
  <r>
    <s v="SALE963"/>
    <d v="2025-02-22T00:00:00"/>
    <x v="281"/>
    <s v="PROD43"/>
    <s v="STORE6"/>
    <n v="1"/>
    <n v="824.32"/>
    <n v="0.18"/>
    <x v="0"/>
    <n v="675.94240000000013"/>
    <n v="1117363.3514999999"/>
    <n v="1077.4959995178399"/>
    <n v="367"/>
    <s v="Low Value"/>
    <s v="Feb-2025"/>
    <s v="USB External Hard Drive"/>
    <s v="Electronics"/>
    <x v="279"/>
  </r>
  <r>
    <s v="SALE964"/>
    <d v="2025-01-25T00:00:00"/>
    <x v="423"/>
    <s v="PROD46"/>
    <s v="STORE15"/>
    <n v="4"/>
    <n v="614.99"/>
    <n v="0.16"/>
    <x v="1"/>
    <n v="2066.3663999999999"/>
    <n v="1116687.4090999996"/>
    <n v="1077.883599517374"/>
    <n v="367"/>
    <s v="High Value"/>
    <s v="Jan-2025"/>
    <s v="Men's Winter Jacket"/>
    <s v="Clothing"/>
    <x v="421"/>
  </r>
  <r>
    <s v="SALE965"/>
    <d v="2025-03-14T00:00:00"/>
    <x v="147"/>
    <s v="PROD62"/>
    <s v="STORE0"/>
    <n v="4"/>
    <n v="189.21"/>
    <n v="0.06"/>
    <x v="2"/>
    <n v="711.42959999999994"/>
    <n v="1114621.0426999996"/>
    <n v="1076.9285436714972"/>
    <n v="366"/>
    <s v="Low Value"/>
    <s v="Mar-2025"/>
    <s v="Laptop Cooling Pad"/>
    <s v="Electronics"/>
    <x v="146"/>
  </r>
  <r>
    <s v="SALE966"/>
    <d v="2024-12-03T00:00:00"/>
    <x v="431"/>
    <s v="PROD62"/>
    <s v="STORE14"/>
    <n v="2"/>
    <n v="233.33"/>
    <n v="0.05"/>
    <x v="0"/>
    <n v="443.327"/>
    <n v="1113909.6130999997"/>
    <n v="1077.2820242746614"/>
    <n v="366"/>
    <s v="Low Value"/>
    <s v="Dec-2024"/>
    <s v="Laptop Cooling Pad"/>
    <s v="Electronics"/>
    <x v="429"/>
  </r>
  <r>
    <s v="SALE967"/>
    <d v="2025-05-06T00:00:00"/>
    <x v="201"/>
    <s v="PROD39"/>
    <s v="STORE18"/>
    <n v="3"/>
    <n v="529.89"/>
    <n v="0.21"/>
    <x v="0"/>
    <n v="1255.8393000000001"/>
    <n v="1113466.2860999997"/>
    <n v="1077.8957271055176"/>
    <n v="366"/>
    <s v="High Value"/>
    <s v="May-2025"/>
    <s v="Portable Power Bank"/>
    <s v="Electronics"/>
    <x v="200"/>
  </r>
  <r>
    <s v="SALE968"/>
    <d v="2024-08-14T00:00:00"/>
    <x v="154"/>
    <s v="PROD92"/>
    <s v="STORE1"/>
    <n v="2"/>
    <n v="954.1"/>
    <n v="0.17"/>
    <x v="1"/>
    <n v="1583.806"/>
    <n v="1112210.4468"/>
    <n v="1077.7233011627907"/>
    <n v="366"/>
    <s v="High Value"/>
    <s v="Aug-2024"/>
    <s v="Microwave Oven"/>
    <s v="Home"/>
    <x v="153"/>
  </r>
  <r>
    <s v="SALE969"/>
    <d v="2023-12-14T00:00:00"/>
    <x v="162"/>
    <s v="PROD65"/>
    <s v="STORE7"/>
    <n v="1"/>
    <n v="370.04"/>
    <n v="0.04"/>
    <x v="2"/>
    <n v="355.23840000000001"/>
    <n v="1110626.6408000002"/>
    <n v="1077.2324353055287"/>
    <n v="365"/>
    <s v="Low Value"/>
    <s v="Dec-2023"/>
    <s v="Adjustable Dumbbells 20kg"/>
    <s v="Sports"/>
    <x v="161"/>
  </r>
  <r>
    <s v="SALE970"/>
    <d v="2024-01-06T00:00:00"/>
    <x v="252"/>
    <s v="PROD96"/>
    <s v="STORE19"/>
    <n v="4"/>
    <n v="492.71"/>
    <n v="0.08"/>
    <x v="0"/>
    <n v="1813.1728000000001"/>
    <n v="1110271.4024"/>
    <n v="1077.9334003883496"/>
    <n v="365"/>
    <s v="High Value"/>
    <s v="Jan-2024"/>
    <s v="Women's Formal Blazer"/>
    <s v="Clothing"/>
    <x v="251"/>
  </r>
  <r>
    <s v="SALE971"/>
    <d v="2024-08-26T00:00:00"/>
    <x v="432"/>
    <s v="PROD91"/>
    <s v="STORE13"/>
    <n v="4"/>
    <n v="853.26"/>
    <n v="0.24"/>
    <x v="2"/>
    <n v="2593.9104000000002"/>
    <n v="1108458.2295999997"/>
    <n v="1077.2188820213796"/>
    <n v="365"/>
    <s v="High Value"/>
    <s v="Aug-2024"/>
    <s v="Women's High Heels"/>
    <s v="Clothing"/>
    <x v="430"/>
  </r>
  <r>
    <s v="SALE972"/>
    <d v="2025-03-24T00:00:00"/>
    <x v="82"/>
    <s v="PROD3"/>
    <s v="STORE16"/>
    <n v="1"/>
    <n v="402.47"/>
    <n v="0.19"/>
    <x v="1"/>
    <n v="326.00070000000011"/>
    <n v="1105864.3191999998"/>
    <n v="1075.7435011673149"/>
    <n v="365"/>
    <s v="Low Value"/>
    <s v="Mar-2025"/>
    <s v="Men's Running Jacket"/>
    <s v="Clothing"/>
    <x v="81"/>
  </r>
  <r>
    <s v="SALE973"/>
    <d v="2024-01-20T00:00:00"/>
    <x v="363"/>
    <s v="PROD54"/>
    <s v="STORE18"/>
    <n v="2"/>
    <n v="528.29999999999995"/>
    <n v="0.24"/>
    <x v="0"/>
    <n v="803.01599999999996"/>
    <n v="1105538.3184999998"/>
    <n v="1076.4735331061343"/>
    <n v="364"/>
    <s v="Low Value"/>
    <s v="Jan-2024"/>
    <s v="Sports Stopwatch Pro"/>
    <s v="Sports"/>
    <x v="361"/>
  </r>
  <r>
    <s v="SALE974"/>
    <d v="2025-01-10T00:00:00"/>
    <x v="433"/>
    <s v="PROD10"/>
    <s v="STORE6"/>
    <n v="4"/>
    <n v="599.85"/>
    <n v="0.25"/>
    <x v="0"/>
    <n v="1799.55"/>
    <n v="1104735.3024999995"/>
    <n v="1076.7400609161789"/>
    <n v="364"/>
    <s v="High Value"/>
    <s v="Jan-2025"/>
    <s v="Ceramic Kitchen Bowl Set"/>
    <s v="Home"/>
    <x v="431"/>
  </r>
  <r>
    <s v="SALE975"/>
    <d v="2023-12-21T00:00:00"/>
    <x v="77"/>
    <s v="PROD16"/>
    <s v="STORE9"/>
    <n v="2"/>
    <n v="61.42"/>
    <n v="0.08"/>
    <x v="1"/>
    <n v="113.0128"/>
    <n v="1102935.7524999997"/>
    <n v="1076.0348804878047"/>
    <n v="364"/>
    <s v="Low Value"/>
    <s v="Dec-2023"/>
    <s v="Beard Grooming Kit"/>
    <s v="Beauty"/>
    <x v="76"/>
  </r>
  <r>
    <s v="SALE976"/>
    <d v="2025-02-05T00:00:00"/>
    <x v="434"/>
    <s v="PROD19"/>
    <s v="STORE10"/>
    <n v="2"/>
    <n v="466.42"/>
    <n v="0.12"/>
    <x v="1"/>
    <n v="820.89920000000006"/>
    <n v="1102822.7396999998"/>
    <n v="1076.9753317382811"/>
    <n v="363"/>
    <s v="Low Value"/>
    <s v="Feb-2025"/>
    <s v="Knee Support Brace"/>
    <s v="Sports"/>
    <x v="432"/>
  </r>
  <r>
    <s v="SALE977"/>
    <d v="2025-07-19T00:00:00"/>
    <x v="179"/>
    <s v="PROD31"/>
    <s v="STORE5"/>
    <n v="4"/>
    <n v="540.69000000000005"/>
    <n v="0.09"/>
    <x v="2"/>
    <n v="1968.1116"/>
    <n v="1102001.8404999997"/>
    <n v="1077.225650537634"/>
    <n v="362"/>
    <s v="High Value"/>
    <s v="Jul-2025"/>
    <s v="Basketball"/>
    <s v="Sports"/>
    <x v="178"/>
  </r>
  <r>
    <s v="SALE978"/>
    <d v="2025-03-21T00:00:00"/>
    <x v="83"/>
    <s v="PROD19"/>
    <s v="STORE13"/>
    <n v="3"/>
    <n v="677.46"/>
    <n v="0.05"/>
    <x v="0"/>
    <n v="1930.761"/>
    <n v="1100033.7288999998"/>
    <n v="1076.3539421722112"/>
    <n v="362"/>
    <s v="High Value"/>
    <s v="Mar-2025"/>
    <s v="Knee Support Brace"/>
    <s v="Sports"/>
    <x v="82"/>
  </r>
  <r>
    <s v="SALE979"/>
    <d v="2025-04-24T00:00:00"/>
    <x v="342"/>
    <s v="PROD21"/>
    <s v="STORE1"/>
    <n v="3"/>
    <n v="614.63"/>
    <n v="0.06"/>
    <x v="1"/>
    <n v="1733.2565999999999"/>
    <n v="1098102.9678999998"/>
    <n v="1075.5171086190007"/>
    <n v="362"/>
    <s v="High Value"/>
    <s v="Apr-2025"/>
    <s v="Multi-Purpose Storage Box"/>
    <s v="Home"/>
    <x v="340"/>
  </r>
  <r>
    <s v="SALE980"/>
    <d v="2023-12-12T00:00:00"/>
    <x v="309"/>
    <s v="PROD66"/>
    <s v="STORE8"/>
    <n v="4"/>
    <n v="649.52"/>
    <n v="0.11"/>
    <x v="0"/>
    <n v="2312.2912000000001"/>
    <n v="1096369.7113000001"/>
    <n v="1074.8722659803923"/>
    <n v="361"/>
    <s v="High Value"/>
    <s v="Dec-2023"/>
    <s v="Women's Hair Dryer Brush"/>
    <s v="Beauty"/>
    <x v="307"/>
  </r>
  <r>
    <s v="SALE981"/>
    <d v="2024-07-08T00:00:00"/>
    <x v="312"/>
    <s v="PROD85"/>
    <s v="STORE8"/>
    <n v="2"/>
    <n v="943.93"/>
    <n v="0.22"/>
    <x v="1"/>
    <n v="1472.5308"/>
    <n v="1094057.4201000002"/>
    <n v="1073.6579196270857"/>
    <n v="361"/>
    <s v="High Value"/>
    <s v="Jul-2024"/>
    <s v="Women's Beanie Hat"/>
    <s v="Clothing"/>
    <x v="310"/>
  </r>
  <r>
    <s v="SALE982"/>
    <d v="2023-10-29T00:00:00"/>
    <x v="255"/>
    <s v="PROD31"/>
    <s v="STORE8"/>
    <n v="4"/>
    <n v="538.73"/>
    <n v="0.03"/>
    <x v="0"/>
    <n v="2090.2723999999998"/>
    <n v="1092584.8893000002"/>
    <n v="1073.2660995088411"/>
    <n v="360"/>
    <s v="High Value"/>
    <s v="Oct-2023"/>
    <s v="Basketball"/>
    <s v="Sports"/>
    <x v="254"/>
  </r>
  <r>
    <s v="SALE983"/>
    <d v="2024-05-20T00:00:00"/>
    <x v="236"/>
    <s v="PROD66"/>
    <s v="STORE8"/>
    <n v="2"/>
    <n v="853.93"/>
    <n v="0.01"/>
    <x v="1"/>
    <n v="1690.7814000000001"/>
    <n v="1090494.6169"/>
    <n v="1072.2660933136676"/>
    <n v="360"/>
    <s v="High Value"/>
    <s v="May-2024"/>
    <s v="Women's Hair Dryer Brush"/>
    <s v="Beauty"/>
    <x v="235"/>
  </r>
  <r>
    <s v="SALE984"/>
    <d v="2025-09-14T00:00:00"/>
    <x v="354"/>
    <s v="PROD29"/>
    <s v="STORE4"/>
    <n v="4"/>
    <n v="465.42"/>
    <n v="0.26"/>
    <x v="2"/>
    <n v="1377.6432"/>
    <n v="1088803.8355000003"/>
    <n v="1071.6573184055121"/>
    <n v="359"/>
    <s v="High Value"/>
    <s v="Sep-2025"/>
    <s v="Fabric Sofa Throw Blanket"/>
    <s v="Home"/>
    <x v="352"/>
  </r>
  <r>
    <s v="SALE985"/>
    <d v="2025-04-11T00:00:00"/>
    <x v="366"/>
    <s v="PROD1"/>
    <s v="STORE11"/>
    <n v="4"/>
    <n v="880.26"/>
    <n v="0.11"/>
    <x v="2"/>
    <n v="3133.7256000000002"/>
    <n v="1087426.1923000002"/>
    <n v="1071.3558544827588"/>
    <n v="359"/>
    <s v="High Value"/>
    <s v="Apr-2025"/>
    <s v="Men's Graphic T-Shirt"/>
    <s v="Clothing"/>
    <x v="364"/>
  </r>
  <r>
    <s v="SALE986"/>
    <d v="2024-05-17T00:00:00"/>
    <x v="60"/>
    <s v="PROD51"/>
    <s v="STORE11"/>
    <n v="3"/>
    <n v="461.02"/>
    <n v="0.28999999999999998"/>
    <x v="1"/>
    <n v="981.97259999999994"/>
    <n v="1084292.4667000002"/>
    <n v="1069.3219592702171"/>
    <n v="359"/>
    <s v="Low Value"/>
    <s v="May-2024"/>
    <s v="HDMI Cable – 2m"/>
    <s v="Electronics"/>
    <x v="0"/>
  </r>
  <r>
    <s v="SALE987"/>
    <d v="2024-10-13T00:00:00"/>
    <x v="339"/>
    <s v="PROD25"/>
    <s v="STORE13"/>
    <n v="1"/>
    <n v="531.99"/>
    <n v="0.17"/>
    <x v="1"/>
    <n v="441.55169999999998"/>
    <n v="1083310.4941000002"/>
    <n v="1069.4081876604148"/>
    <n v="358"/>
    <s v="Low Value"/>
    <s v="Oct-2024"/>
    <s v="Women's Scarf Set"/>
    <s v="Clothing"/>
    <x v="337"/>
  </r>
  <r>
    <s v="SALE988"/>
    <d v="2024-07-13T00:00:00"/>
    <x v="435"/>
    <s v="PROD47"/>
    <s v="STORE17"/>
    <n v="2"/>
    <n v="274.08999999999997"/>
    <n v="0.13"/>
    <x v="1"/>
    <n v="476.91660000000002"/>
    <n v="1082868.9424000003"/>
    <n v="1070.0285992094864"/>
    <n v="357"/>
    <s v="Low Value"/>
    <s v="Jul-2024"/>
    <s v="Makeup Brush Set"/>
    <s v="Beauty"/>
    <x v="433"/>
  </r>
  <r>
    <s v="SALE989"/>
    <d v="2025-02-06T00:00:00"/>
    <x v="13"/>
    <s v="PROD88"/>
    <s v="STORE10"/>
    <n v="1"/>
    <n v="66.14"/>
    <n v="0.14000000000000001"/>
    <x v="2"/>
    <n v="56.880400000000002"/>
    <n v="1082392.0258000002"/>
    <n v="1070.6152579624136"/>
    <n v="356"/>
    <s v="Low Value"/>
    <s v="Feb-2025"/>
    <s v="Sports Wrist Sweatbands"/>
    <s v="Sports"/>
    <x v="13"/>
  </r>
  <r>
    <s v="SALE990"/>
    <d v="2025-08-06T00:00:00"/>
    <x v="259"/>
    <s v="PROD20"/>
    <s v="STORE9"/>
    <n v="3"/>
    <n v="955.82"/>
    <n v="0.16"/>
    <x v="2"/>
    <n v="2408.6664000000001"/>
    <n v="1082335.1454000003"/>
    <n v="1071.6189558415845"/>
    <n v="356"/>
    <s v="High Value"/>
    <s v="Aug-2025"/>
    <s v="Outdoor Sports Water Bottle"/>
    <s v="Sports"/>
    <x v="258"/>
  </r>
  <r>
    <s v="SALE991"/>
    <d v="2024-05-20T00:00:00"/>
    <x v="133"/>
    <s v="PROD22"/>
    <s v="STORE12"/>
    <n v="1"/>
    <n v="904.92"/>
    <n v="0.13"/>
    <x v="0"/>
    <n v="787.28039999999999"/>
    <n v="1079926.4790000003"/>
    <n v="1070.293834489594"/>
    <n v="356"/>
    <s v="Low Value"/>
    <s v="May-2024"/>
    <s v="Carbon Fiber Tennis Racket"/>
    <s v="Sports"/>
    <x v="132"/>
  </r>
  <r>
    <s v="SALE992"/>
    <d v="2024-10-10T00:00:00"/>
    <x v="267"/>
    <s v="PROD40"/>
    <s v="STORE7"/>
    <n v="3"/>
    <n v="490.02"/>
    <n v="0.26"/>
    <x v="0"/>
    <n v="1087.8444"/>
    <n v="1079139.1986000002"/>
    <n v="1070.5746017857145"/>
    <n v="356"/>
    <s v="High Value"/>
    <s v="Oct-2024"/>
    <s v="Noise-Canceling Headphones"/>
    <s v="Electronics"/>
    <x v="265"/>
  </r>
  <r>
    <s v="SALE993"/>
    <d v="2024-02-18T00:00:00"/>
    <x v="402"/>
    <s v="PROD19"/>
    <s v="STORE6"/>
    <n v="2"/>
    <n v="957.54"/>
    <n v="0.1"/>
    <x v="2"/>
    <n v="1723.5719999999999"/>
    <n v="1078051.3542000004"/>
    <n v="1070.5574520357502"/>
    <n v="356"/>
    <s v="High Value"/>
    <s v="Feb-2024"/>
    <s v="Knee Support Brace"/>
    <s v="Sports"/>
    <x v="400"/>
  </r>
  <r>
    <s v="SALE994"/>
    <d v="2025-09-26T00:00:00"/>
    <x v="113"/>
    <s v="PROD99"/>
    <s v="STORE13"/>
    <n v="2"/>
    <n v="314.39999999999998"/>
    <n v="7.0000000000000007E-2"/>
    <x v="1"/>
    <n v="584.78399999999988"/>
    <n v="1076327.7822000002"/>
    <n v="1069.9083322067597"/>
    <n v="356"/>
    <s v="Low Value"/>
    <s v="Sep-2025"/>
    <s v="Stainless Steel Cookware Set"/>
    <s v="Home"/>
    <x v="112"/>
  </r>
  <r>
    <s v="SALE995"/>
    <d v="2024-03-22T00:00:00"/>
    <x v="134"/>
    <s v="PROD24"/>
    <s v="STORE6"/>
    <n v="3"/>
    <n v="480.11"/>
    <n v="0.11"/>
    <x v="1"/>
    <n v="1281.8937000000001"/>
    <n v="1075742.9982000005"/>
    <n v="1070.391042985075"/>
    <n v="355"/>
    <s v="High Value"/>
    <s v="Mar-2024"/>
    <s v="Foldable Camping Chair"/>
    <s v="Sports"/>
    <x v="133"/>
  </r>
  <r>
    <s v="SALE996"/>
    <d v="2024-10-14T00:00:00"/>
    <x v="327"/>
    <s v="PROD48"/>
    <s v="STORE6"/>
    <n v="4"/>
    <n v="826.55"/>
    <n v="0.28000000000000003"/>
    <x v="0"/>
    <n v="2380.4639999999999"/>
    <n v="1074461.1045000004"/>
    <n v="1070.1803829681278"/>
    <n v="354"/>
    <s v="High Value"/>
    <s v="Oct-2024"/>
    <s v="Car Dashboard Phone Holder"/>
    <s v="Electronics"/>
    <x v="325"/>
  </r>
  <r>
    <s v="SALE997"/>
    <d v="2025-05-28T00:00:00"/>
    <x v="410"/>
    <s v="PROD27"/>
    <s v="STORE3"/>
    <n v="3"/>
    <n v="530.16999999999996"/>
    <n v="0.18"/>
    <x v="1"/>
    <n v="1304.2182"/>
    <n v="1072080.6405000004"/>
    <n v="1068.8740184446665"/>
    <n v="354"/>
    <s v="High Value"/>
    <s v="May-2025"/>
    <s v="Decorative Floor Vase"/>
    <s v="Home"/>
    <x v="408"/>
  </r>
  <r>
    <s v="SALE998"/>
    <d v="2024-08-18T00:00:00"/>
    <x v="416"/>
    <s v="PROD34"/>
    <s v="STORE17"/>
    <n v="3"/>
    <n v="336.17"/>
    <n v="0.04"/>
    <x v="2"/>
    <n v="968.16959999999995"/>
    <n v="1070776.4223000004"/>
    <n v="1068.6391440119764"/>
    <n v="353"/>
    <s v="Low Value"/>
    <s v="Aug-2024"/>
    <s v="Gaming Mechanical Keyboard"/>
    <s v="Electronics"/>
    <x v="414"/>
  </r>
  <r>
    <s v="SALE999"/>
    <d v="2024-01-13T00:00:00"/>
    <x v="436"/>
    <s v="PROD81"/>
    <s v="STORE8"/>
    <n v="4"/>
    <n v="22.51"/>
    <n v="0.27"/>
    <x v="1"/>
    <n v="65.729200000000006"/>
    <n v="1069808.2527000008"/>
    <n v="1068.7395131868141"/>
    <n v="353"/>
    <s v="Low Value"/>
    <s v="Jan-2024"/>
    <s v="Badminton Racket Set"/>
    <s v="Sports"/>
    <x v="434"/>
  </r>
  <r>
    <s v="SALE1000"/>
    <d v="2024-06-13T00:00:00"/>
    <x v="410"/>
    <s v="PROD59"/>
    <s v="STORE2"/>
    <n v="2"/>
    <n v="909.51"/>
    <n v="0.27"/>
    <x v="0"/>
    <n v="1327.8846000000001"/>
    <n v="1069742.5235000006"/>
    <n v="1069.7425235000005"/>
    <n v="352"/>
    <s v="High Value"/>
    <s v="Jun-2024"/>
    <s v="Men's Hair Styling Gel"/>
    <s v="Beauty"/>
    <x v="408"/>
  </r>
  <r>
    <s v="SALE1001"/>
    <d v="2025-04-29T00:00:00"/>
    <x v="406"/>
    <s v="PROD69"/>
    <s v="STORE14"/>
    <n v="4"/>
    <n v="593.84"/>
    <n v="0.24"/>
    <x v="1"/>
    <n v="1805.2736"/>
    <n v="1068414.6389000006"/>
    <n v="1069.4841230230236"/>
    <n v="352"/>
    <s v="High Value"/>
    <s v="Apr-2025"/>
    <s v="Men's Sports Shorts"/>
    <s v="Clothing"/>
    <x v="404"/>
  </r>
  <r>
    <s v="SALE1002"/>
    <d v="2024-10-01T00:00:00"/>
    <x v="423"/>
    <s v="PROD73"/>
    <s v="STORE10"/>
    <n v="3"/>
    <n v="909.11"/>
    <n v="0.23"/>
    <x v="2"/>
    <n v="2100.0441000000001"/>
    <n v="1066609.3653000006"/>
    <n v="1068.7468590180367"/>
    <n v="351"/>
    <s v="High Value"/>
    <s v="Oct-2024"/>
    <s v="Shin Guards – Adult"/>
    <s v="Sports"/>
    <x v="421"/>
  </r>
  <r>
    <s v="SALE1003"/>
    <d v="2024-09-07T00:00:00"/>
    <x v="122"/>
    <s v="PROD24"/>
    <s v="STORE1"/>
    <n v="4"/>
    <n v="996.85"/>
    <n v="0.24"/>
    <x v="1"/>
    <n v="3030.424"/>
    <n v="1064509.3212000008"/>
    <n v="1067.7124585757281"/>
    <n v="351"/>
    <s v="High Value"/>
    <s v="Sep-2024"/>
    <s v="Foldable Camping Chair"/>
    <s v="Sports"/>
    <x v="121"/>
  </r>
  <r>
    <s v="SALE1004"/>
    <d v="2025-06-26T00:00:00"/>
    <x v="301"/>
    <s v="PROD0"/>
    <s v="STORE17"/>
    <n v="1"/>
    <n v="522.69000000000005"/>
    <n v="0.06"/>
    <x v="2"/>
    <n v="491.32860000000011"/>
    <n v="1061478.8972000007"/>
    <n v="1065.7418646586352"/>
    <n v="350"/>
    <s v="Low Value"/>
    <s v="Jun-2025"/>
    <s v="Brother Laser Printer"/>
    <s v="Electronics"/>
    <x v="299"/>
  </r>
  <r>
    <s v="SALE1005"/>
    <d v="2024-04-23T00:00:00"/>
    <x v="437"/>
    <s v="PROD54"/>
    <s v="STORE3"/>
    <n v="3"/>
    <n v="261.05"/>
    <n v="0.12"/>
    <x v="1"/>
    <n v="689.17200000000014"/>
    <n v="1060987.5686000006"/>
    <n v="1066.319164422111"/>
    <n v="350"/>
    <s v="Low Value"/>
    <s v="Apr-2024"/>
    <s v="Sports Stopwatch Pro"/>
    <s v="Sports"/>
    <x v="435"/>
  </r>
  <r>
    <s v="SALE1006"/>
    <d v="2025-09-18T00:00:00"/>
    <x v="98"/>
    <s v="PROD23"/>
    <s v="STORE17"/>
    <n v="3"/>
    <n v="644.73"/>
    <n v="0.01"/>
    <x v="2"/>
    <n v="1914.8480999999999"/>
    <n v="1060298.3966000006"/>
    <n v="1066.6985881287733"/>
    <n v="349"/>
    <s v="High Value"/>
    <s v="Sep-2025"/>
    <s v="Men's Formal Shirt"/>
    <s v="Clothing"/>
    <x v="97"/>
  </r>
  <r>
    <s v="SALE1007"/>
    <d v="2023-10-18T00:00:00"/>
    <x v="227"/>
    <s v="PROD75"/>
    <s v="STORE2"/>
    <n v="2"/>
    <n v="541.52"/>
    <n v="0.26"/>
    <x v="1"/>
    <n v="801.44959999999992"/>
    <n v="1058383.5485000005"/>
    <n v="1065.8444597180267"/>
    <n v="349"/>
    <s v="Low Value"/>
    <s v="Oct-2023"/>
    <s v="Women's Ankle Boots"/>
    <s v="Clothing"/>
    <x v="226"/>
  </r>
  <r>
    <s v="SALE1008"/>
    <d v="2023-11-29T00:00:00"/>
    <x v="438"/>
    <s v="PROD63"/>
    <s v="STORE10"/>
    <n v="1"/>
    <n v="395.18"/>
    <n v="0.09"/>
    <x v="1"/>
    <n v="359.61380000000003"/>
    <n v="1057582.0989000003"/>
    <n v="1066.1109867943551"/>
    <n v="348"/>
    <s v="Low Value"/>
    <s v="Nov-2023"/>
    <s v="Organic Sunscreen Lotion"/>
    <s v="Beauty"/>
    <x v="436"/>
  </r>
  <r>
    <s v="SALE1009"/>
    <d v="2025-03-24T00:00:00"/>
    <x v="323"/>
    <s v="PROD8"/>
    <s v="STORE8"/>
    <n v="4"/>
    <n v="56.37"/>
    <n v="0.17"/>
    <x v="0"/>
    <n v="187.14840000000001"/>
    <n v="1057222.4851000002"/>
    <n v="1066.8239002018165"/>
    <n v="347"/>
    <s v="Low Value"/>
    <s v="Mar-2025"/>
    <s v="Wireless Bluetooth Earbuds"/>
    <s v="Electronics"/>
    <x v="321"/>
  </r>
  <r>
    <s v="SALE1010"/>
    <d v="2025-09-08T00:00:00"/>
    <x v="204"/>
    <s v="PROD79"/>
    <s v="STORE9"/>
    <n v="4"/>
    <n v="202.59"/>
    <n v="0.06"/>
    <x v="2"/>
    <n v="761.73839999999996"/>
    <n v="1057035.3367000003"/>
    <n v="1067.7124613131316"/>
    <n v="347"/>
    <s v="Low Value"/>
    <s v="Sep-2025"/>
    <s v="Decorative Lamp Shade"/>
    <s v="Home"/>
    <x v="203"/>
  </r>
  <r>
    <s v="SALE1011"/>
    <d v="2024-11-05T00:00:00"/>
    <x v="435"/>
    <s v="PROD81"/>
    <s v="STORE5"/>
    <n v="2"/>
    <n v="358.36"/>
    <n v="0.05"/>
    <x v="1"/>
    <n v="680.88400000000001"/>
    <n v="1056273.5983000004"/>
    <n v="1068.0218385237617"/>
    <n v="347"/>
    <s v="Low Value"/>
    <s v="Nov-2024"/>
    <s v="Badminton Racket Set"/>
    <s v="Sports"/>
    <x v="433"/>
  </r>
  <r>
    <s v="SALE1012"/>
    <d v="2024-08-31T00:00:00"/>
    <x v="39"/>
    <s v="PROD37"/>
    <s v="STORE18"/>
    <n v="4"/>
    <n v="85.62"/>
    <n v="0.28000000000000003"/>
    <x v="2"/>
    <n v="246.5856"/>
    <n v="1055592.7143000003"/>
    <n v="1068.4136784412958"/>
    <n v="346"/>
    <s v="Low Value"/>
    <s v="Aug-2024"/>
    <s v="Men's Casual Sneakers"/>
    <s v="Clothing"/>
    <x v="39"/>
  </r>
  <r>
    <s v="SALE1013"/>
    <d v="2024-06-16T00:00:00"/>
    <x v="169"/>
    <s v="PROD7"/>
    <s v="STORE17"/>
    <n v="4"/>
    <n v="929.26"/>
    <n v="0.23"/>
    <x v="1"/>
    <n v="2862.1208000000001"/>
    <n v="1055346.1287000002"/>
    <n v="1069.2463310030398"/>
    <n v="346"/>
    <s v="High Value"/>
    <s v="Jun-2024"/>
    <s v="LED Table Lamp"/>
    <s v="Home"/>
    <x v="168"/>
  </r>
  <r>
    <s v="SALE1014"/>
    <d v="2025-01-24T00:00:00"/>
    <x v="430"/>
    <s v="PROD60"/>
    <s v="STORE13"/>
    <n v="2"/>
    <n v="92.64"/>
    <n v="0.14000000000000001"/>
    <x v="2"/>
    <n v="159.3408"/>
    <n v="1052484.0079000003"/>
    <n v="1067.4279998985805"/>
    <n v="345"/>
    <s v="Low Value"/>
    <s v="Jan-2025"/>
    <s v="Luxury Perfume Spray"/>
    <s v="Beauty"/>
    <x v="428"/>
  </r>
  <r>
    <s v="SALE1015"/>
    <d v="2025-03-09T00:00:00"/>
    <x v="201"/>
    <s v="PROD62"/>
    <s v="STORE4"/>
    <n v="4"/>
    <n v="139.05000000000001"/>
    <n v="0.28999999999999998"/>
    <x v="2"/>
    <n v="394.90199999999999"/>
    <n v="1052324.6671000004"/>
    <n v="1068.3499158375639"/>
    <n v="345"/>
    <s v="Low Value"/>
    <s v="Mar-2025"/>
    <s v="Laptop Cooling Pad"/>
    <s v="Electronics"/>
    <x v="200"/>
  </r>
  <r>
    <s v="SALE1016"/>
    <d v="2024-06-18T00:00:00"/>
    <x v="429"/>
    <s v="PROD53"/>
    <s v="STORE4"/>
    <n v="3"/>
    <n v="155.87"/>
    <n v="0.03"/>
    <x v="2"/>
    <n v="453.58170000000001"/>
    <n v="1051929.7651000004"/>
    <n v="1069.0343141260166"/>
    <n v="345"/>
    <s v="Low Value"/>
    <s v="Jun-2024"/>
    <s v="Men's Track Pants"/>
    <s v="Clothing"/>
    <x v="427"/>
  </r>
  <r>
    <s v="SALE1017"/>
    <d v="2025-06-29T00:00:00"/>
    <x v="173"/>
    <s v="PROD34"/>
    <s v="STORE16"/>
    <n v="4"/>
    <n v="115.42"/>
    <n v="0.03"/>
    <x v="2"/>
    <n v="447.82960000000003"/>
    <n v="1051476.1834000002"/>
    <n v="1069.6604103763989"/>
    <n v="345"/>
    <s v="Low Value"/>
    <s v="Jun-2025"/>
    <s v="Gaming Mechanical Keyboard"/>
    <s v="Electronics"/>
    <x v="172"/>
  </r>
  <r>
    <s v="SALE1018"/>
    <d v="2025-06-15T00:00:00"/>
    <x v="397"/>
    <s v="PROD52"/>
    <s v="STORE6"/>
    <n v="3"/>
    <n v="593.62"/>
    <n v="0.08"/>
    <x v="0"/>
    <n v="1638.3912"/>
    <n v="1051028.3538000002"/>
    <n v="1070.2936393075358"/>
    <n v="345"/>
    <s v="High Value"/>
    <s v="Jun-2025"/>
    <s v="Rugby Ball"/>
    <s v="Sports"/>
    <x v="395"/>
  </r>
  <r>
    <s v="SALE1019"/>
    <d v="2025-03-17T00:00:00"/>
    <x v="356"/>
    <s v="PROD45"/>
    <s v="STORE4"/>
    <n v="2"/>
    <n v="825.04"/>
    <n v="0.2"/>
    <x v="0"/>
    <n v="1320.0640000000001"/>
    <n v="1049389.9626000002"/>
    <n v="1069.7145388379206"/>
    <n v="345"/>
    <s v="High Value"/>
    <s v="Mar-2025"/>
    <s v="High-Grip Football"/>
    <s v="Sports"/>
    <x v="354"/>
  </r>
  <r>
    <s v="SALE1020"/>
    <d v="2024-01-31T00:00:00"/>
    <x v="9"/>
    <s v="PROD25"/>
    <s v="STORE13"/>
    <n v="1"/>
    <n v="963.76"/>
    <n v="0.14000000000000001"/>
    <x v="1"/>
    <n v="828.83359999999993"/>
    <n v="1048069.8985999998"/>
    <n v="1069.4590802040814"/>
    <n v="345"/>
    <s v="Low Value"/>
    <s v="Jan-2024"/>
    <s v="Women's Scarf Set"/>
    <s v="Clothing"/>
    <x v="9"/>
  </r>
  <r>
    <s v="SALE1021"/>
    <d v="2024-05-03T00:00:00"/>
    <x v="404"/>
    <s v="PROD55"/>
    <s v="STORE6"/>
    <n v="1"/>
    <n v="238.24"/>
    <n v="0.12"/>
    <x v="1"/>
    <n v="209.65119999999999"/>
    <n v="1047241.0650000001"/>
    <n v="1069.7048672114404"/>
    <n v="344"/>
    <s v="Low Value"/>
    <s v="May-2024"/>
    <s v="Ceramic Plant Pot"/>
    <s v="Home"/>
    <x v="402"/>
  </r>
  <r>
    <s v="SALE1022"/>
    <d v="2024-12-18T00:00:00"/>
    <x v="414"/>
    <s v="PROD82"/>
    <s v="STORE16"/>
    <n v="1"/>
    <n v="756.63"/>
    <n v="0.04"/>
    <x v="1"/>
    <n v="726.36479999999995"/>
    <n v="1047031.4137999999"/>
    <n v="1070.5842676891614"/>
    <n v="343"/>
    <s v="Low Value"/>
    <s v="Dec-2024"/>
    <s v="Fitness Resistance Bands"/>
    <s v="Sports"/>
    <x v="412"/>
  </r>
  <r>
    <s v="SALE1023"/>
    <d v="2025-07-07T00:00:00"/>
    <x v="68"/>
    <s v="PROD93"/>
    <s v="STORE7"/>
    <n v="3"/>
    <n v="159.76"/>
    <n v="0.22"/>
    <x v="0"/>
    <n v="373.83839999999998"/>
    <n v="1046305.049"/>
    <n v="1070.9365905834186"/>
    <n v="342"/>
    <s v="Low Value"/>
    <s v="Jul-2025"/>
    <s v="USB-C Laptop Charger"/>
    <s v="Electronics"/>
    <x v="67"/>
  </r>
  <r>
    <s v="SALE1024"/>
    <d v="2024-03-03T00:00:00"/>
    <x v="23"/>
    <s v="PROD95"/>
    <s v="STORE8"/>
    <n v="1"/>
    <n v="329.94"/>
    <n v="0.14000000000000001"/>
    <x v="2"/>
    <n v="283.7484"/>
    <n v="1045931.2106"/>
    <n v="1071.6508305327868"/>
    <n v="342"/>
    <s v="Low Value"/>
    <s v="Mar-2024"/>
    <s v="Sports Stopwatch Basic"/>
    <s v="Sports"/>
    <x v="23"/>
  </r>
  <r>
    <s v="SALE1025"/>
    <d v="2025-03-04T00:00:00"/>
    <x v="426"/>
    <s v="PROD17"/>
    <s v="STORE8"/>
    <n v="1"/>
    <n v="234.06"/>
    <n v="0.11"/>
    <x v="1"/>
    <n v="208.3134"/>
    <n v="1045647.4622000001"/>
    <n v="1072.4589355897438"/>
    <n v="342"/>
    <s v="Low Value"/>
    <s v="Mar-2025"/>
    <s v="Soccer Training Cone Set"/>
    <s v="Sports"/>
    <x v="424"/>
  </r>
  <r>
    <s v="SALE1026"/>
    <d v="2023-12-18T00:00:00"/>
    <x v="352"/>
    <s v="PROD81"/>
    <s v="STORE0"/>
    <n v="2"/>
    <n v="773.75"/>
    <n v="0.16"/>
    <x v="1"/>
    <n v="1299.9000000000001"/>
    <n v="1045439.1488"/>
    <n v="1073.3461486652977"/>
    <n v="341"/>
    <s v="High Value"/>
    <s v="Dec-2023"/>
    <s v="Badminton Racket Set"/>
    <s v="Sports"/>
    <x v="350"/>
  </r>
  <r>
    <s v="SALE1027"/>
    <d v="2024-05-10T00:00:00"/>
    <x v="439"/>
    <s v="PROD52"/>
    <s v="STORE18"/>
    <n v="1"/>
    <n v="73.88"/>
    <n v="0.04"/>
    <x v="0"/>
    <n v="70.924799999999991"/>
    <n v="1044139.2488000001"/>
    <n v="1073.113308119219"/>
    <n v="340"/>
    <s v="Low Value"/>
    <s v="May-2024"/>
    <s v="Rugby Ball"/>
    <s v="Sports"/>
    <x v="437"/>
  </r>
  <r>
    <s v="SALE1028"/>
    <d v="2024-02-15T00:00:00"/>
    <x v="399"/>
    <s v="PROD86"/>
    <s v="STORE18"/>
    <n v="1"/>
    <n v="859.3"/>
    <n v="0.16"/>
    <x v="1"/>
    <n v="721.8119999999999"/>
    <n v="1044068.3240000001"/>
    <n v="1074.1443662551442"/>
    <n v="340"/>
    <s v="Low Value"/>
    <s v="Feb-2024"/>
    <s v="Kitchen Cutting Board"/>
    <s v="Home"/>
    <x v="397"/>
  </r>
  <r>
    <s v="SALE1029"/>
    <d v="2024-09-29T00:00:00"/>
    <x v="298"/>
    <s v="PROD81"/>
    <s v="STORE6"/>
    <n v="4"/>
    <n v="762.43"/>
    <n v="0.05"/>
    <x v="0"/>
    <n v="2897.233999999999"/>
    <n v="1043346.512"/>
    <n v="1074.5072214212153"/>
    <n v="339"/>
    <s v="High Value"/>
    <s v="Sep-2024"/>
    <s v="Badminton Racket Set"/>
    <s v="Sports"/>
    <x v="296"/>
  </r>
  <r>
    <s v="SALE1030"/>
    <d v="2024-05-12T00:00:00"/>
    <x v="377"/>
    <s v="PROD73"/>
    <s v="STORE0"/>
    <n v="1"/>
    <n v="328.51"/>
    <n v="0.2"/>
    <x v="2"/>
    <n v="262.80799999999999"/>
    <n v="1040449.278"/>
    <n v="1072.6281216494847"/>
    <n v="339"/>
    <s v="Low Value"/>
    <s v="May-2024"/>
    <s v="Shin Guards – Adult"/>
    <s v="Sports"/>
    <x v="375"/>
  </r>
  <r>
    <s v="SALE1031"/>
    <d v="2025-03-03T00:00:00"/>
    <x v="387"/>
    <s v="PROD44"/>
    <s v="STORE4"/>
    <n v="1"/>
    <n v="34.51"/>
    <n v="0.04"/>
    <x v="2"/>
    <n v="33.129600000000003"/>
    <n v="1040186.4700000001"/>
    <n v="1073.4638493292055"/>
    <n v="339"/>
    <s v="Low Value"/>
    <s v="Mar-2025"/>
    <s v="Adjustable Jump Rope"/>
    <s v="Sports"/>
    <x v="385"/>
  </r>
  <r>
    <s v="SALE1032"/>
    <d v="2023-11-20T00:00:00"/>
    <x v="102"/>
    <s v="PROD19"/>
    <s v="STORE11"/>
    <n v="3"/>
    <n v="663.73"/>
    <n v="0.06"/>
    <x v="2"/>
    <n v="1871.7185999999999"/>
    <n v="1040153.3404"/>
    <n v="1074.5385747933883"/>
    <n v="339"/>
    <s v="High Value"/>
    <s v="Nov-2023"/>
    <s v="Knee Support Brace"/>
    <s v="Sports"/>
    <x v="101"/>
  </r>
  <r>
    <s v="SALE1033"/>
    <d v="2024-07-06T00:00:00"/>
    <x v="177"/>
    <s v="PROD33"/>
    <s v="STORE9"/>
    <n v="1"/>
    <n v="409.41"/>
    <n v="0.13"/>
    <x v="1"/>
    <n v="356.18669999999997"/>
    <n v="1038281.6218"/>
    <n v="1073.7141900723889"/>
    <n v="339"/>
    <s v="Low Value"/>
    <s v="Jul-2024"/>
    <s v="Modern Wall Clock"/>
    <s v="Home"/>
    <x v="176"/>
  </r>
  <r>
    <s v="SALE1034"/>
    <d v="2025-03-11T00:00:00"/>
    <x v="325"/>
    <s v="PROD78"/>
    <s v="STORE3"/>
    <n v="3"/>
    <n v="461.03"/>
    <n v="0.11"/>
    <x v="1"/>
    <n v="1230.9501"/>
    <n v="1037925.4351"/>
    <n v="1074.4569721532091"/>
    <n v="338"/>
    <s v="High Value"/>
    <s v="Mar-2025"/>
    <s v="Essential Oil Diffuser"/>
    <s v="Home"/>
    <x v="323"/>
  </r>
  <r>
    <s v="SALE1035"/>
    <d v="2024-04-12T00:00:00"/>
    <x v="23"/>
    <s v="PROD19"/>
    <s v="STORE14"/>
    <n v="2"/>
    <n v="760.14"/>
    <n v="0.02"/>
    <x v="2"/>
    <n v="1489.8743999999999"/>
    <n v="1036694.485"/>
    <n v="1074.2948031088083"/>
    <n v="337"/>
    <s v="High Value"/>
    <s v="Apr-2024"/>
    <s v="Knee Support Brace"/>
    <s v="Sports"/>
    <x v="23"/>
  </r>
  <r>
    <s v="SALE1036"/>
    <d v="2025-04-26T00:00:00"/>
    <x v="335"/>
    <s v="PROD23"/>
    <s v="STORE1"/>
    <n v="3"/>
    <n v="688.76"/>
    <n v="0.12"/>
    <x v="1"/>
    <n v="1818.3263999999999"/>
    <n v="1035204.6105999999"/>
    <n v="1073.8637039419086"/>
    <n v="337"/>
    <s v="High Value"/>
    <s v="Apr-2025"/>
    <s v="Men's Formal Shirt"/>
    <s v="Clothing"/>
    <x v="333"/>
  </r>
  <r>
    <s v="SALE1037"/>
    <d v="2025-05-02T00:00:00"/>
    <x v="287"/>
    <s v="PROD43"/>
    <s v="STORE9"/>
    <n v="2"/>
    <n v="257.77999999999997"/>
    <n v="0.05"/>
    <x v="0"/>
    <n v="489.78199999999993"/>
    <n v="1033386.2842"/>
    <n v="1073.0906377985461"/>
    <n v="336"/>
    <s v="Low Value"/>
    <s v="May-2025"/>
    <s v="USB External Hard Drive"/>
    <s v="Electronics"/>
    <x v="285"/>
  </r>
  <r>
    <s v="SALE1038"/>
    <d v="2024-04-18T00:00:00"/>
    <x v="406"/>
    <s v="PROD53"/>
    <s v="STORE7"/>
    <n v="2"/>
    <n v="314.29000000000002"/>
    <n v="0.19"/>
    <x v="2"/>
    <n v="509.14980000000008"/>
    <n v="1032896.5021999999"/>
    <n v="1073.6969877338877"/>
    <n v="336"/>
    <s v="Low Value"/>
    <s v="Apr-2024"/>
    <s v="Men's Track Pants"/>
    <s v="Clothing"/>
    <x v="404"/>
  </r>
  <r>
    <s v="SALE1039"/>
    <d v="2024-08-16T00:00:00"/>
    <x v="440"/>
    <s v="PROD72"/>
    <s v="STORE14"/>
    <n v="3"/>
    <n v="336.09"/>
    <n v="0.01"/>
    <x v="1"/>
    <n v="998.18729999999994"/>
    <n v="1032387.3523999999"/>
    <n v="1074.2844457856397"/>
    <n v="336"/>
    <s v="Low Value"/>
    <s v="Aug-2024"/>
    <s v="Professional Jump Rope"/>
    <s v="Sports"/>
    <x v="438"/>
  </r>
  <r>
    <s v="SALE1040"/>
    <d v="2025-07-23T00:00:00"/>
    <x v="93"/>
    <s v="PROD75"/>
    <s v="STORE17"/>
    <n v="3"/>
    <n v="202.07"/>
    <n v="0.23"/>
    <x v="1"/>
    <n v="466.78170000000011"/>
    <n v="1031389.1650999998"/>
    <n v="1074.3637136458331"/>
    <n v="335"/>
    <s v="Low Value"/>
    <s v="Jul-2025"/>
    <s v="Women's Ankle Boots"/>
    <s v="Clothing"/>
    <x v="92"/>
  </r>
  <r>
    <s v="SALE1041"/>
    <d v="2025-05-04T00:00:00"/>
    <x v="441"/>
    <s v="PROD17"/>
    <s v="STORE8"/>
    <n v="2"/>
    <n v="485.25"/>
    <n v="0.28000000000000003"/>
    <x v="0"/>
    <n v="698.76"/>
    <n v="1030922.3833999998"/>
    <n v="1074.9972715328465"/>
    <n v="334"/>
    <s v="Low Value"/>
    <s v="May-2025"/>
    <s v="Soccer Training Cone Set"/>
    <s v="Sports"/>
    <x v="439"/>
  </r>
  <r>
    <s v="SALE1042"/>
    <d v="2025-09-06T00:00:00"/>
    <x v="120"/>
    <s v="PROD75"/>
    <s v="STORE10"/>
    <n v="4"/>
    <n v="552.38"/>
    <n v="0.1"/>
    <x v="1"/>
    <n v="1988.568"/>
    <n v="1030223.6234"/>
    <n v="1075.3900035490606"/>
    <n v="334"/>
    <s v="High Value"/>
    <s v="Sep-2025"/>
    <s v="Women's Ankle Boots"/>
    <s v="Clothing"/>
    <x v="119"/>
  </r>
  <r>
    <s v="SALE1043"/>
    <d v="2023-11-21T00:00:00"/>
    <x v="183"/>
    <s v="PROD58"/>
    <s v="STORE17"/>
    <n v="4"/>
    <n v="377.26"/>
    <n v="0.22"/>
    <x v="2"/>
    <n v="1177.0512000000001"/>
    <n v="1028235.0554000001"/>
    <n v="1074.4357945663533"/>
    <n v="333"/>
    <s v="High Value"/>
    <s v="Nov-2023"/>
    <s v="Womens Cotton Scarf"/>
    <s v="Clothing"/>
    <x v="182"/>
  </r>
  <r>
    <s v="SALE1044"/>
    <d v="2023-11-27T00:00:00"/>
    <x v="286"/>
    <s v="PROD47"/>
    <s v="STORE19"/>
    <n v="4"/>
    <n v="189.07"/>
    <n v="0.1"/>
    <x v="2"/>
    <n v="680.65200000000004"/>
    <n v="1027058.0042"/>
    <n v="1074.3284562761505"/>
    <n v="333"/>
    <s v="Low Value"/>
    <s v="Nov-2023"/>
    <s v="Makeup Brush Set"/>
    <s v="Beauty"/>
    <x v="284"/>
  </r>
  <r>
    <s v="SALE1045"/>
    <d v="2025-06-10T00:00:00"/>
    <x v="148"/>
    <s v="PROD30"/>
    <s v="STORE4"/>
    <n v="3"/>
    <n v="272.27"/>
    <n v="0.01"/>
    <x v="0"/>
    <n v="808.64189999999996"/>
    <n v="1026377.3522000002"/>
    <n v="1074.7406829319373"/>
    <n v="333"/>
    <s v="Low Value"/>
    <s v="Jun-2025"/>
    <s v="Stainless Steel Cutlery Set"/>
    <s v="Home"/>
    <x v="147"/>
  </r>
  <r>
    <s v="SALE1046"/>
    <d v="2025-05-29T00:00:00"/>
    <x v="105"/>
    <s v="PROD92"/>
    <s v="STORE11"/>
    <n v="1"/>
    <n v="209.39"/>
    <n v="0.28000000000000003"/>
    <x v="1"/>
    <n v="150.76079999999999"/>
    <n v="1025568.7103"/>
    <n v="1075.0196124737945"/>
    <n v="333"/>
    <s v="Low Value"/>
    <s v="May-2025"/>
    <s v="Microwave Oven"/>
    <s v="Home"/>
    <x v="104"/>
  </r>
  <r>
    <s v="SALE1047"/>
    <d v="2023-12-28T00:00:00"/>
    <x v="286"/>
    <s v="PROD80"/>
    <s v="STORE9"/>
    <n v="1"/>
    <n v="813.87"/>
    <n v="0.23"/>
    <x v="0"/>
    <n v="626.67989999999998"/>
    <n v="1025417.9495000002"/>
    <n v="1075.9894538300107"/>
    <n v="332"/>
    <s v="Low Value"/>
    <s v="Dec-2023"/>
    <s v="Wall-Mounted Spice Rack"/>
    <s v="Home"/>
    <x v="284"/>
  </r>
  <r>
    <s v="SALE1048"/>
    <d v="2025-05-06T00:00:00"/>
    <x v="99"/>
    <s v="PROD28"/>
    <s v="STORE0"/>
    <n v="1"/>
    <n v="143.69999999999999"/>
    <n v="0.19"/>
    <x v="1"/>
    <n v="116.39700000000001"/>
    <n v="1024791.2696000001"/>
    <n v="1076.4614176470589"/>
    <n v="332"/>
    <s v="Low Value"/>
    <s v="May-2025"/>
    <s v="Sports Stopwatch Timer"/>
    <s v="Sports"/>
    <x v="98"/>
  </r>
  <r>
    <s v="SALE1049"/>
    <d v="2024-04-03T00:00:00"/>
    <x v="44"/>
    <s v="PROD46"/>
    <s v="STORE1"/>
    <n v="4"/>
    <n v="837.34"/>
    <n v="0.05"/>
    <x v="1"/>
    <n v="3181.8919999999998"/>
    <n v="1024674.8726"/>
    <n v="1077.470949106204"/>
    <n v="331"/>
    <s v="High Value"/>
    <s v="Apr-2024"/>
    <s v="Men's Winter Jacket"/>
    <s v="Clothing"/>
    <x v="44"/>
  </r>
  <r>
    <s v="SALE1050"/>
    <d v="2025-08-09T00:00:00"/>
    <x v="263"/>
    <s v="PROD15"/>
    <s v="STORE19"/>
    <n v="1"/>
    <n v="151.66"/>
    <n v="0.16"/>
    <x v="2"/>
    <n v="127.3944"/>
    <n v="1021492.9806000002"/>
    <n v="1075.2557690526319"/>
    <n v="330"/>
    <s v="Low Value"/>
    <s v="Aug-2025"/>
    <s v="4K Home Projector"/>
    <s v="Electronics"/>
    <x v="262"/>
  </r>
  <r>
    <s v="SALE1051"/>
    <d v="2025-03-04T00:00:00"/>
    <x v="148"/>
    <s v="PROD44"/>
    <s v="STORE8"/>
    <n v="3"/>
    <n v="961.4"/>
    <n v="0.02"/>
    <x v="1"/>
    <n v="2826.5160000000001"/>
    <n v="1021365.5862000001"/>
    <n v="1076.2545692307694"/>
    <n v="330"/>
    <s v="High Value"/>
    <s v="Mar-2025"/>
    <s v="Adjustable Jump Rope"/>
    <s v="Sports"/>
    <x v="147"/>
  </r>
  <r>
    <s v="SALE1052"/>
    <d v="2024-07-30T00:00:00"/>
    <x v="260"/>
    <s v="PROD74"/>
    <s v="STORE18"/>
    <n v="4"/>
    <n v="475.98"/>
    <n v="0.19"/>
    <x v="1"/>
    <n v="1542.1751999999999"/>
    <n v="1018539.0702000001"/>
    <n v="1074.4083018987342"/>
    <n v="329"/>
    <s v="High Value"/>
    <s v="Jul-2024"/>
    <s v="Bluetooth Car Audio System"/>
    <s v="Electronics"/>
    <x v="259"/>
  </r>
  <r>
    <s v="SALE1053"/>
    <d v="2024-09-16T00:00:00"/>
    <x v="386"/>
    <s v="PROD38"/>
    <s v="STORE15"/>
    <n v="4"/>
    <n v="132.88999999999999"/>
    <n v="0.12"/>
    <x v="0"/>
    <n v="467.77280000000002"/>
    <n v="1016996.8950000001"/>
    <n v="1073.9143558606127"/>
    <n v="328"/>
    <s v="Low Value"/>
    <s v="Sep-2024"/>
    <s v="Sports Water Hydration Pack"/>
    <s v="Sports"/>
    <x v="384"/>
  </r>
  <r>
    <s v="SALE1054"/>
    <d v="2025-07-12T00:00:00"/>
    <x v="168"/>
    <s v="PROD35"/>
    <s v="STORE12"/>
    <n v="3"/>
    <n v="471.31"/>
    <n v="0"/>
    <x v="1"/>
    <n v="1413.93"/>
    <n v="1016529.1222000002"/>
    <n v="1074.5550974630023"/>
    <n v="328"/>
    <s v="High Value"/>
    <s v="Jul-2025"/>
    <s v="Bedroom Table Lamp"/>
    <s v="Home"/>
    <x v="167"/>
  </r>
  <r>
    <s v="SALE1055"/>
    <d v="2024-05-29T00:00:00"/>
    <x v="9"/>
    <s v="PROD76"/>
    <s v="STORE14"/>
    <n v="2"/>
    <n v="720.32"/>
    <n v="0.26"/>
    <x v="0"/>
    <n v="1066.0735999999999"/>
    <n v="1015115.1922"/>
    <n v="1074.1959705820107"/>
    <n v="327"/>
    <s v="High Value"/>
    <s v="May-2024"/>
    <s v="Wireless Mouse"/>
    <s v="Electronics"/>
    <x v="9"/>
  </r>
  <r>
    <s v="SALE1056"/>
    <d v="2024-05-19T00:00:00"/>
    <x v="178"/>
    <s v="PROD66"/>
    <s v="STORE18"/>
    <n v="4"/>
    <n v="99.92"/>
    <n v="0.11"/>
    <x v="2"/>
    <n v="355.71519999999998"/>
    <n v="1014049.1186"/>
    <n v="1074.2045747881357"/>
    <n v="327"/>
    <s v="Low Value"/>
    <s v="May-2024"/>
    <s v="Women's Hair Dryer Brush"/>
    <s v="Beauty"/>
    <x v="177"/>
  </r>
  <r>
    <s v="SALE1057"/>
    <d v="2025-08-04T00:00:00"/>
    <x v="101"/>
    <s v="PROD10"/>
    <s v="STORE3"/>
    <n v="3"/>
    <n v="900.63"/>
    <n v="0.11"/>
    <x v="2"/>
    <n v="2404.6821"/>
    <n v="1013693.4034000001"/>
    <n v="1074.9664935312833"/>
    <n v="327"/>
    <s v="High Value"/>
    <s v="Aug-2025"/>
    <s v="Ceramic Kitchen Bowl Set"/>
    <s v="Home"/>
    <x v="100"/>
  </r>
  <r>
    <s v="SALE1058"/>
    <d v="2024-12-03T00:00:00"/>
    <x v="173"/>
    <s v="PROD46"/>
    <s v="STORE8"/>
    <n v="1"/>
    <n v="681.72"/>
    <n v="0.11"/>
    <x v="1"/>
    <n v="606.73080000000004"/>
    <n v="1011288.7213"/>
    <n v="1073.5549058386412"/>
    <n v="327"/>
    <s v="Low Value"/>
    <s v="Dec-2024"/>
    <s v="Men's Winter Jacket"/>
    <s v="Clothing"/>
    <x v="172"/>
  </r>
  <r>
    <s v="SALE1059"/>
    <d v="2023-10-23T00:00:00"/>
    <x v="442"/>
    <s v="PROD78"/>
    <s v="STORE13"/>
    <n v="2"/>
    <n v="838.22"/>
    <n v="0.3"/>
    <x v="0"/>
    <n v="1173.508"/>
    <n v="1010681.9905"/>
    <n v="1074.0509994686504"/>
    <n v="326"/>
    <s v="High Value"/>
    <s v="Oct-2023"/>
    <s v="Essential Oil Diffuser"/>
    <s v="Home"/>
    <x v="440"/>
  </r>
  <r>
    <s v="SALE1060"/>
    <d v="2025-05-20T00:00:00"/>
    <x v="437"/>
    <s v="PROD87"/>
    <s v="STORE12"/>
    <n v="2"/>
    <n v="816.22"/>
    <n v="0.27"/>
    <x v="0"/>
    <n v="1191.6812"/>
    <n v="1009508.4825"/>
    <n v="1073.9451941489363"/>
    <n v="326"/>
    <s v="High Value"/>
    <s v="May-2025"/>
    <s v="LED Bedside Lamp"/>
    <s v="Home"/>
    <x v="435"/>
  </r>
  <r>
    <s v="SALE1061"/>
    <d v="2024-09-19T00:00:00"/>
    <x v="386"/>
    <s v="PROD61"/>
    <s v="STORE7"/>
    <n v="2"/>
    <n v="654.12"/>
    <n v="0.27"/>
    <x v="1"/>
    <n v="955.01519999999994"/>
    <n v="1008316.8013000001"/>
    <n v="1073.8198096911608"/>
    <n v="326"/>
    <s v="Low Value"/>
    <s v="Sep-2024"/>
    <s v="Tennis Ball 3-Pack"/>
    <s v="Sports"/>
    <x v="384"/>
  </r>
  <r>
    <s v="SALE1062"/>
    <d v="2024-04-03T00:00:00"/>
    <x v="102"/>
    <s v="PROD73"/>
    <s v="STORE13"/>
    <n v="4"/>
    <n v="528.22"/>
    <n v="0.2"/>
    <x v="1"/>
    <n v="1690.3040000000001"/>
    <n v="1007361.7861"/>
    <n v="1073.9464670575694"/>
    <n v="325"/>
    <s v="High Value"/>
    <s v="Apr-2024"/>
    <s v="Shin Guards – Adult"/>
    <s v="Sports"/>
    <x v="101"/>
  </r>
  <r>
    <s v="SALE1063"/>
    <d v="2025-02-16T00:00:00"/>
    <x v="70"/>
    <s v="PROD34"/>
    <s v="STORE7"/>
    <n v="4"/>
    <n v="36.72"/>
    <n v="7.0000000000000007E-2"/>
    <x v="2"/>
    <n v="136.5984"/>
    <n v="1005671.4821"/>
    <n v="1073.2886681963714"/>
    <n v="324"/>
    <s v="Low Value"/>
    <s v="Feb-2025"/>
    <s v="Gaming Mechanical Keyboard"/>
    <s v="Electronics"/>
    <x v="69"/>
  </r>
  <r>
    <s v="SALE1064"/>
    <d v="2024-09-10T00:00:00"/>
    <x v="260"/>
    <s v="PROD78"/>
    <s v="STORE19"/>
    <n v="2"/>
    <n v="705.97"/>
    <n v="0.1"/>
    <x v="1"/>
    <n v="1270.7460000000001"/>
    <n v="1005534.8837"/>
    <n v="1074.2894056623932"/>
    <n v="324"/>
    <s v="High Value"/>
    <s v="Sep-2024"/>
    <s v="Essential Oil Diffuser"/>
    <s v="Home"/>
    <x v="259"/>
  </r>
  <r>
    <s v="SALE1065"/>
    <d v="2025-03-20T00:00:00"/>
    <x v="193"/>
    <s v="PROD40"/>
    <s v="STORE1"/>
    <n v="2"/>
    <n v="994.29"/>
    <n v="0.01"/>
    <x v="1"/>
    <n v="1968.6941999999999"/>
    <n v="1004264.1377"/>
    <n v="1074.0792916577541"/>
    <n v="323"/>
    <s v="High Value"/>
    <s v="Mar-2025"/>
    <s v="Noise-Canceling Headphones"/>
    <s v="Electronics"/>
    <x v="192"/>
  </r>
  <r>
    <s v="SALE1066"/>
    <d v="2024-11-12T00:00:00"/>
    <x v="436"/>
    <s v="PROD92"/>
    <s v="STORE18"/>
    <n v="1"/>
    <n v="909.04"/>
    <n v="0.11"/>
    <x v="0"/>
    <n v="809.04560000000004"/>
    <n v="1002295.4435000002"/>
    <n v="1073.1214598501072"/>
    <n v="322"/>
    <s v="Low Value"/>
    <s v="Nov-2024"/>
    <s v="Microwave Oven"/>
    <s v="Home"/>
    <x v="434"/>
  </r>
  <r>
    <s v="SALE1067"/>
    <d v="2024-02-12T00:00:00"/>
    <x v="116"/>
    <s v="PROD34"/>
    <s v="STORE11"/>
    <n v="1"/>
    <n v="164.73"/>
    <n v="0.12"/>
    <x v="1"/>
    <n v="144.9624"/>
    <n v="1001486.3979000001"/>
    <n v="1073.4044993569132"/>
    <n v="322"/>
    <s v="Low Value"/>
    <s v="Feb-2024"/>
    <s v="Gaming Mechanical Keyboard"/>
    <s v="Electronics"/>
    <x v="115"/>
  </r>
  <r>
    <s v="SALE1068"/>
    <d v="2025-02-02T00:00:00"/>
    <x v="336"/>
    <s v="PROD37"/>
    <s v="STORE7"/>
    <n v="2"/>
    <n v="606.35"/>
    <n v="0.16"/>
    <x v="2"/>
    <n v="1018.668"/>
    <n v="1001341.4355000003"/>
    <n v="1074.4006818669532"/>
    <n v="321"/>
    <s v="High Value"/>
    <s v="Feb-2025"/>
    <s v="Men's Casual Sneakers"/>
    <s v="Clothing"/>
    <x v="334"/>
  </r>
  <r>
    <s v="SALE1069"/>
    <d v="2024-07-08T00:00:00"/>
    <x v="300"/>
    <s v="PROD98"/>
    <s v="STORE4"/>
    <n v="3"/>
    <n v="904.19"/>
    <n v="0.09"/>
    <x v="0"/>
    <n v="2468.4387000000002"/>
    <n v="1000322.7675000002"/>
    <n v="1074.4605451127823"/>
    <n v="321"/>
    <s v="High Value"/>
    <s v="Jul-2024"/>
    <s v="Portable Bluetooth Speaker"/>
    <s v="Electronics"/>
    <x v="298"/>
  </r>
  <r>
    <s v="SALE1070"/>
    <d v="2024-10-11T00:00:00"/>
    <x v="383"/>
    <s v="PROD50"/>
    <s v="STORE2"/>
    <n v="4"/>
    <n v="694.61"/>
    <n v="0.18"/>
    <x v="2"/>
    <n v="2278.3208"/>
    <n v="997854.32880000013"/>
    <n v="1072.9616438709679"/>
    <n v="321"/>
    <s v="High Value"/>
    <s v="Oct-2024"/>
    <s v="Boxing Hand Wraps"/>
    <s v="Sports"/>
    <x v="381"/>
  </r>
  <r>
    <s v="SALE1071"/>
    <d v="2023-10-16T00:00:00"/>
    <x v="219"/>
    <s v="PROD89"/>
    <s v="STORE2"/>
    <n v="4"/>
    <n v="753.83"/>
    <n v="0.24"/>
    <x v="0"/>
    <n v="2291.6432"/>
    <n v="995576.00800000003"/>
    <n v="1071.6641636167924"/>
    <n v="321"/>
    <s v="High Value"/>
    <s v="Oct-2023"/>
    <s v="Face Foundation Kit"/>
    <s v="Beauty"/>
    <x v="218"/>
  </r>
  <r>
    <s v="SALE1072"/>
    <d v="2024-12-27T00:00:00"/>
    <x v="303"/>
    <s v="PROD21"/>
    <s v="STORE8"/>
    <n v="1"/>
    <n v="66.22"/>
    <n v="0.02"/>
    <x v="0"/>
    <n v="64.895600000000002"/>
    <n v="993284.36480000021"/>
    <n v="1070.3495310344829"/>
    <n v="321"/>
    <s v="Low Value"/>
    <s v="Dec-2024"/>
    <s v="Multi-Purpose Storage Box"/>
    <s v="Home"/>
    <x v="301"/>
  </r>
  <r>
    <s v="SALE1073"/>
    <d v="2023-11-11T00:00:00"/>
    <x v="119"/>
    <s v="PROD64"/>
    <s v="STORE14"/>
    <n v="2"/>
    <n v="891.8"/>
    <n v="0.28999999999999998"/>
    <x v="2"/>
    <n v="1266.356"/>
    <n v="993219.46920000028"/>
    <n v="1071.4341631067964"/>
    <n v="321"/>
    <s v="High Value"/>
    <s v="Nov-2023"/>
    <s v="Matte Lipstick Set"/>
    <s v="Beauty"/>
    <x v="118"/>
  </r>
  <r>
    <s v="SALE1074"/>
    <d v="2024-05-16T00:00:00"/>
    <x v="402"/>
    <s v="PROD75"/>
    <s v="STORE9"/>
    <n v="4"/>
    <n v="255.48"/>
    <n v="0.03"/>
    <x v="2"/>
    <n v="991.26239999999996"/>
    <n v="991953.11320000037"/>
    <n v="1071.2236643628514"/>
    <n v="321"/>
    <s v="Low Value"/>
    <s v="May-2024"/>
    <s v="Women's Ankle Boots"/>
    <s v="Clothing"/>
    <x v="400"/>
  </r>
  <r>
    <s v="SALE1075"/>
    <d v="2024-10-28T00:00:00"/>
    <x v="443"/>
    <s v="PROD84"/>
    <s v="STORE17"/>
    <n v="4"/>
    <n v="604.87"/>
    <n v="0.28000000000000003"/>
    <x v="1"/>
    <n v="1742.0255999999999"/>
    <n v="990961.85080000048"/>
    <n v="1071.3101089729735"/>
    <n v="321"/>
    <s v="High Value"/>
    <s v="Oct-2024"/>
    <s v="Wooden Bookshelf"/>
    <s v="Home"/>
    <x v="441"/>
  </r>
  <r>
    <s v="SALE1076"/>
    <d v="2024-03-19T00:00:00"/>
    <x v="444"/>
    <s v="PROD33"/>
    <s v="STORE17"/>
    <n v="3"/>
    <n v="623.82000000000005"/>
    <n v="0.13"/>
    <x v="2"/>
    <n v="1628.1702"/>
    <n v="989219.82520000043"/>
    <n v="1070.584226406927"/>
    <n v="320"/>
    <s v="High Value"/>
    <s v="Mar-2024"/>
    <s v="Modern Wall Clock"/>
    <s v="Home"/>
    <x v="442"/>
  </r>
  <r>
    <s v="SALE1077"/>
    <d v="2025-08-13T00:00:00"/>
    <x v="160"/>
    <s v="PROD71"/>
    <s v="STORE16"/>
    <n v="3"/>
    <n v="575.24"/>
    <n v="0.12"/>
    <x v="2"/>
    <n v="1518.6335999999999"/>
    <n v="987591.65500000038"/>
    <n v="1069.9801245937165"/>
    <n v="320"/>
    <s v="High Value"/>
    <s v="Aug-2025"/>
    <s v="Hair Repair Oil Treatment"/>
    <s v="Beauty"/>
    <x v="159"/>
  </r>
  <r>
    <s v="SALE1078"/>
    <d v="2025-08-09T00:00:00"/>
    <x v="445"/>
    <s v="PROD4"/>
    <s v="STORE11"/>
    <n v="1"/>
    <n v="769.4"/>
    <n v="0.16"/>
    <x v="0"/>
    <n v="646.29599999999994"/>
    <n v="986073.02140000055"/>
    <n v="1069.4935156182219"/>
    <n v="320"/>
    <s v="Low Value"/>
    <s v="Aug-2025"/>
    <s v="Women's Yoga Pants"/>
    <s v="Clothing"/>
    <x v="443"/>
  </r>
  <r>
    <s v="SALE1079"/>
    <d v="2024-05-08T00:00:00"/>
    <x v="113"/>
    <s v="PROD4"/>
    <s v="STORE17"/>
    <n v="1"/>
    <n v="227.28"/>
    <n v="0.13"/>
    <x v="2"/>
    <n v="197.7336"/>
    <n v="985426.72540000046"/>
    <n v="1069.953013463627"/>
    <n v="320"/>
    <s v="Low Value"/>
    <s v="May-2024"/>
    <s v="Women's Yoga Pants"/>
    <s v="Clothing"/>
    <x v="112"/>
  </r>
  <r>
    <s v="SALE1080"/>
    <d v="2024-03-10T00:00:00"/>
    <x v="370"/>
    <s v="PROD2"/>
    <s v="STORE17"/>
    <n v="4"/>
    <n v="127.58"/>
    <n v="0.15"/>
    <x v="0"/>
    <n v="433.77199999999999"/>
    <n v="985228.99180000031"/>
    <n v="1070.9010780434785"/>
    <n v="320"/>
    <s v="Low Value"/>
    <s v="Mar-2024"/>
    <s v="Women's Casual Hoodie"/>
    <s v="Clothing"/>
    <x v="368"/>
  </r>
  <r>
    <s v="SALE1081"/>
    <d v="2025-02-14T00:00:00"/>
    <x v="306"/>
    <s v="PROD44"/>
    <s v="STORE3"/>
    <n v="1"/>
    <n v="793.21"/>
    <n v="0.09"/>
    <x v="0"/>
    <n v="721.8211"/>
    <n v="984795.21980000043"/>
    <n v="1071.5943632208928"/>
    <n v="320"/>
    <s v="Low Value"/>
    <s v="Feb-2025"/>
    <s v="Adjustable Jump Rope"/>
    <s v="Sports"/>
    <x v="304"/>
  </r>
  <r>
    <s v="SALE1082"/>
    <d v="2025-08-02T00:00:00"/>
    <x v="443"/>
    <s v="PROD83"/>
    <s v="STORE12"/>
    <n v="3"/>
    <n v="435.61"/>
    <n v="0.03"/>
    <x v="1"/>
    <n v="1267.6251"/>
    <n v="984073.39870000037"/>
    <n v="1071.9753798474949"/>
    <n v="320"/>
    <s v="High Value"/>
    <s v="Aug-2025"/>
    <s v="Hydrating Face Cleanser"/>
    <s v="Beauty"/>
    <x v="441"/>
  </r>
  <r>
    <s v="SALE1083"/>
    <d v="2024-08-27T00:00:00"/>
    <x v="392"/>
    <s v="PROD29"/>
    <s v="STORE16"/>
    <n v="1"/>
    <n v="850.06"/>
    <n v="0.28999999999999998"/>
    <x v="1"/>
    <n v="603.54259999999988"/>
    <n v="982805.77360000031"/>
    <n v="1071.7620213740461"/>
    <n v="319"/>
    <s v="Low Value"/>
    <s v="Aug-2024"/>
    <s v="Fabric Sofa Throw Blanket"/>
    <s v="Home"/>
    <x v="390"/>
  </r>
  <r>
    <s v="SALE1084"/>
    <d v="2024-02-08T00:00:00"/>
    <x v="268"/>
    <s v="PROD16"/>
    <s v="STORE16"/>
    <n v="2"/>
    <n v="753.92"/>
    <n v="0.17"/>
    <x v="1"/>
    <n v="1251.5072"/>
    <n v="982202.23100000026"/>
    <n v="1072.2731779475985"/>
    <n v="318"/>
    <s v="High Value"/>
    <s v="Feb-2024"/>
    <s v="Beard Grooming Kit"/>
    <s v="Beauty"/>
    <x v="266"/>
  </r>
  <r>
    <s v="SALE1085"/>
    <d v="2024-01-20T00:00:00"/>
    <x v="289"/>
    <s v="PROD4"/>
    <s v="STORE13"/>
    <n v="3"/>
    <n v="408.99"/>
    <n v="0.27"/>
    <x v="1"/>
    <n v="895.68809999999996"/>
    <n v="980950.72380000039"/>
    <n v="1072.0772937704921"/>
    <n v="317"/>
    <s v="Low Value"/>
    <s v="Jan-2024"/>
    <s v="Women's Yoga Pants"/>
    <s v="Clothing"/>
    <x v="287"/>
  </r>
  <r>
    <s v="SALE1086"/>
    <d v="2024-10-02T00:00:00"/>
    <x v="380"/>
    <s v="PROD57"/>
    <s v="STORE5"/>
    <n v="3"/>
    <n v="404.5"/>
    <n v="0.22"/>
    <x v="1"/>
    <n v="946.53000000000009"/>
    <n v="980055.03570000024"/>
    <n v="1072.2702797593001"/>
    <n v="316"/>
    <s v="Low Value"/>
    <s v="Oct-2024"/>
    <s v="Foam Roller"/>
    <s v="Sports"/>
    <x v="378"/>
  </r>
  <r>
    <s v="SALE1087"/>
    <d v="2023-11-09T00:00:00"/>
    <x v="386"/>
    <s v="PROD39"/>
    <s v="STORE3"/>
    <n v="3"/>
    <n v="717.81"/>
    <n v="0.17"/>
    <x v="2"/>
    <n v="1787.3469"/>
    <n v="979108.50570000021"/>
    <n v="1072.4080018619936"/>
    <n v="315"/>
    <s v="High Value"/>
    <s v="Nov-2023"/>
    <s v="Portable Power Bank"/>
    <s v="Electronics"/>
    <x v="384"/>
  </r>
  <r>
    <s v="SALE1088"/>
    <d v="2023-12-24T00:00:00"/>
    <x v="243"/>
    <s v="PROD84"/>
    <s v="STORE1"/>
    <n v="3"/>
    <n v="204.77"/>
    <n v="0.14000000000000001"/>
    <x v="0"/>
    <n v="528.3066"/>
    <n v="977321.15880000044"/>
    <n v="1071.6240776315794"/>
    <n v="315"/>
    <s v="Low Value"/>
    <s v="Dec-2023"/>
    <s v="Wooden Bookshelf"/>
    <s v="Home"/>
    <x v="242"/>
  </r>
  <r>
    <s v="SALE1089"/>
    <d v="2025-01-29T00:00:00"/>
    <x v="276"/>
    <s v="PROD48"/>
    <s v="STORE18"/>
    <n v="4"/>
    <n v="106.23"/>
    <n v="0.28000000000000003"/>
    <x v="2"/>
    <n v="305.94240000000002"/>
    <n v="976792.85220000043"/>
    <n v="1072.2204744237106"/>
    <n v="315"/>
    <s v="Low Value"/>
    <s v="Jan-2025"/>
    <s v="Car Dashboard Phone Holder"/>
    <s v="Electronics"/>
    <x v="274"/>
  </r>
  <r>
    <s v="SALE1090"/>
    <d v="2025-06-16T00:00:00"/>
    <x v="88"/>
    <s v="PROD66"/>
    <s v="STORE5"/>
    <n v="2"/>
    <n v="769.48"/>
    <n v="0.11"/>
    <x v="1"/>
    <n v="1369.6744000000001"/>
    <n v="976486.90980000037"/>
    <n v="1073.0625382417586"/>
    <n v="315"/>
    <s v="High Value"/>
    <s v="Jun-2025"/>
    <s v="Women's Hair Dryer Brush"/>
    <s v="Beauty"/>
    <x v="87"/>
  </r>
  <r>
    <s v="SALE1091"/>
    <d v="2025-07-29T00:00:00"/>
    <x v="57"/>
    <s v="PROD57"/>
    <s v="STORE13"/>
    <n v="2"/>
    <n v="714.21"/>
    <n v="0.14000000000000001"/>
    <x v="0"/>
    <n v="1228.4412"/>
    <n v="975117.23540000047"/>
    <n v="1072.7362325632569"/>
    <n v="314"/>
    <s v="High Value"/>
    <s v="Jul-2025"/>
    <s v="Foam Roller"/>
    <s v="Sports"/>
    <x v="57"/>
  </r>
  <r>
    <s v="SALE1092"/>
    <d v="2024-10-13T00:00:00"/>
    <x v="398"/>
    <s v="PROD11"/>
    <s v="STORE15"/>
    <n v="4"/>
    <n v="632.24"/>
    <n v="0.25"/>
    <x v="1"/>
    <n v="1896.72"/>
    <n v="973888.79420000024"/>
    <n v="1072.5647513215861"/>
    <n v="314"/>
    <s v="High Value"/>
    <s v="Oct-2024"/>
    <s v="HD Smart TV Stick"/>
    <s v="Electronics"/>
    <x v="396"/>
  </r>
  <r>
    <s v="SALE1093"/>
    <d v="2024-10-10T00:00:00"/>
    <x v="261"/>
    <s v="PROD78"/>
    <s v="STORE3"/>
    <n v="2"/>
    <n v="845.27"/>
    <n v="0.18"/>
    <x v="1"/>
    <n v="1386.2428"/>
    <n v="971992.07420000026"/>
    <n v="1071.6560906284458"/>
    <n v="313"/>
    <s v="High Value"/>
    <s v="Oct-2024"/>
    <s v="Essential Oil Diffuser"/>
    <s v="Home"/>
    <x v="260"/>
  </r>
  <r>
    <s v="SALE1094"/>
    <d v="2025-06-08T00:00:00"/>
    <x v="388"/>
    <s v="PROD87"/>
    <s v="STORE13"/>
    <n v="1"/>
    <n v="575.94000000000005"/>
    <n v="0.17"/>
    <x v="0"/>
    <n v="478.03019999999998"/>
    <n v="970605.83140000037"/>
    <n v="1071.3088646799122"/>
    <n v="312"/>
    <s v="Low Value"/>
    <s v="Jun-2025"/>
    <s v="LED Bedside Lamp"/>
    <s v="Home"/>
    <x v="386"/>
  </r>
  <r>
    <s v="SALE1095"/>
    <d v="2024-11-24T00:00:00"/>
    <x v="243"/>
    <s v="PROD84"/>
    <s v="STORE15"/>
    <n v="1"/>
    <n v="907.97"/>
    <n v="0.26"/>
    <x v="2"/>
    <n v="671.89779999999996"/>
    <n v="970127.80120000045"/>
    <n v="1071.9644212154701"/>
    <n v="312"/>
    <s v="Low Value"/>
    <s v="Nov-2024"/>
    <s v="Wooden Bookshelf"/>
    <s v="Home"/>
    <x v="242"/>
  </r>
  <r>
    <s v="SALE1096"/>
    <d v="2025-02-07T00:00:00"/>
    <x v="176"/>
    <s v="PROD20"/>
    <s v="STORE12"/>
    <n v="1"/>
    <n v="99.35"/>
    <n v="0.08"/>
    <x v="2"/>
    <n v="91.402000000000001"/>
    <n v="969455.9034000003"/>
    <n v="1072.406972787611"/>
    <n v="312"/>
    <s v="Low Value"/>
    <s v="Feb-2025"/>
    <s v="Outdoor Sports Water Bottle"/>
    <s v="Sports"/>
    <x v="175"/>
  </r>
  <r>
    <s v="SALE1097"/>
    <d v="2024-10-31T00:00:00"/>
    <x v="291"/>
    <s v="PROD0"/>
    <s v="STORE3"/>
    <n v="2"/>
    <n v="374.42"/>
    <n v="0.21"/>
    <x v="2"/>
    <n v="591.58360000000005"/>
    <n v="969364.5014000003"/>
    <n v="1073.4933570321155"/>
    <n v="312"/>
    <s v="Low Value"/>
    <s v="Oct-2024"/>
    <s v="Brother Laser Printer"/>
    <s v="Electronics"/>
    <x v="289"/>
  </r>
  <r>
    <s v="SALE1098"/>
    <d v="2025-07-31T00:00:00"/>
    <x v="230"/>
    <s v="PROD15"/>
    <s v="STORE15"/>
    <n v="3"/>
    <n v="248.43"/>
    <n v="0.24"/>
    <x v="2"/>
    <n v="566.42039999999997"/>
    <n v="968772.91780000052"/>
    <n v="1074.027625055433"/>
    <n v="312"/>
    <s v="Low Value"/>
    <s v="Jul-2025"/>
    <s v="4K Home Projector"/>
    <s v="Electronics"/>
    <x v="229"/>
  </r>
  <r>
    <s v="SALE1099"/>
    <d v="2024-12-05T00:00:00"/>
    <x v="228"/>
    <s v="PROD85"/>
    <s v="STORE1"/>
    <n v="1"/>
    <n v="784.46"/>
    <n v="0.14000000000000001"/>
    <x v="2"/>
    <n v="674.63560000000007"/>
    <n v="968206.49740000034"/>
    <n v="1074.591007103219"/>
    <n v="312"/>
    <s v="Low Value"/>
    <s v="Dec-2024"/>
    <s v="Women's Beanie Hat"/>
    <s v="Clothing"/>
    <x v="227"/>
  </r>
  <r>
    <s v="SALE1100"/>
    <d v="2024-03-28T00:00:00"/>
    <x v="415"/>
    <s v="PROD52"/>
    <s v="STORE10"/>
    <n v="3"/>
    <n v="70.88"/>
    <n v="0.27"/>
    <x v="2"/>
    <n v="155.22720000000001"/>
    <n v="967531.86180000042"/>
    <n v="1075.0354020000004"/>
    <n v="312"/>
    <s v="Low Value"/>
    <s v="Mar-2024"/>
    <s v="Rugby Ball"/>
    <s v="Sports"/>
    <x v="413"/>
  </r>
  <r>
    <s v="SALE1101"/>
    <d v="2024-12-15T00:00:00"/>
    <x v="407"/>
    <s v="PROD8"/>
    <s v="STORE1"/>
    <n v="3"/>
    <n v="324.29000000000002"/>
    <n v="0.16"/>
    <x v="2"/>
    <n v="817.21080000000006"/>
    <n v="967376.63460000034"/>
    <n v="1076.0585479421584"/>
    <n v="312"/>
    <s v="Low Value"/>
    <s v="Dec-2024"/>
    <s v="Wireless Bluetooth Earbuds"/>
    <s v="Electronics"/>
    <x v="405"/>
  </r>
  <r>
    <s v="SALE1102"/>
    <d v="2025-07-04T00:00:00"/>
    <x v="206"/>
    <s v="PROD15"/>
    <s v="STORE3"/>
    <n v="4"/>
    <n v="243.92"/>
    <n v="0.02"/>
    <x v="1"/>
    <n v="956.16639999999995"/>
    <n v="966559.42380000034"/>
    <n v="1076.3467971046775"/>
    <n v="312"/>
    <s v="Low Value"/>
    <s v="Jul-2025"/>
    <s v="4K Home Projector"/>
    <s v="Electronics"/>
    <x v="205"/>
  </r>
  <r>
    <s v="SALE1103"/>
    <d v="2023-11-27T00:00:00"/>
    <x v="446"/>
    <s v="PROD28"/>
    <s v="STORE13"/>
    <n v="1"/>
    <n v="664.35"/>
    <n v="0"/>
    <x v="0"/>
    <n v="664.35"/>
    <n v="965603.25740000035"/>
    <n v="1076.4807774804908"/>
    <n v="311"/>
    <s v="Low Value"/>
    <s v="Nov-2023"/>
    <s v="Sports Stopwatch Timer"/>
    <s v="Sports"/>
    <x v="444"/>
  </r>
  <r>
    <s v="SALE1104"/>
    <d v="2024-06-25T00:00:00"/>
    <x v="304"/>
    <s v="PROD21"/>
    <s v="STORE10"/>
    <n v="2"/>
    <n v="218.07"/>
    <n v="0.19"/>
    <x v="1"/>
    <n v="353.27339999999998"/>
    <n v="964938.90740000049"/>
    <n v="1076.940744866072"/>
    <n v="311"/>
    <s v="Low Value"/>
    <s v="Jun-2024"/>
    <s v="Multi-Purpose Storage Box"/>
    <s v="Home"/>
    <x v="302"/>
  </r>
  <r>
    <s v="SALE1105"/>
    <d v="2023-10-29T00:00:00"/>
    <x v="280"/>
    <s v="PROD15"/>
    <s v="STORE3"/>
    <n v="4"/>
    <n v="921.83"/>
    <n v="0.27"/>
    <x v="0"/>
    <n v="2691.7435999999998"/>
    <n v="964585.63400000043"/>
    <n v="1077.749311731844"/>
    <n v="310"/>
    <s v="High Value"/>
    <s v="Oct-2023"/>
    <s v="4K Home Projector"/>
    <s v="Electronics"/>
    <x v="278"/>
  </r>
  <r>
    <s v="SALE1106"/>
    <d v="2025-01-04T00:00:00"/>
    <x v="64"/>
    <s v="PROD50"/>
    <s v="STORE1"/>
    <n v="3"/>
    <n v="326.2"/>
    <n v="0.22"/>
    <x v="2"/>
    <n v="763.30799999999999"/>
    <n v="961893.8904000005"/>
    <n v="1075.943948993289"/>
    <n v="310"/>
    <s v="Low Value"/>
    <s v="Jan-2025"/>
    <s v="Boxing Hand Wraps"/>
    <s v="Sports"/>
    <x v="63"/>
  </r>
  <r>
    <s v="SALE1107"/>
    <d v="2025-02-13T00:00:00"/>
    <x v="246"/>
    <s v="PROD17"/>
    <s v="STORE19"/>
    <n v="1"/>
    <n v="244.25"/>
    <n v="0.09"/>
    <x v="1"/>
    <n v="222.26750000000001"/>
    <n v="961130.58240000054"/>
    <n v="1076.294045240762"/>
    <n v="310"/>
    <s v="Low Value"/>
    <s v="Feb-2025"/>
    <s v="Soccer Training Cone Set"/>
    <s v="Sports"/>
    <x v="245"/>
  </r>
  <r>
    <s v="SALE1108"/>
    <d v="2024-06-05T00:00:00"/>
    <x v="89"/>
    <s v="PROD61"/>
    <s v="STORE10"/>
    <n v="3"/>
    <n v="808.87"/>
    <n v="0.12"/>
    <x v="2"/>
    <n v="2135.4168"/>
    <n v="960908.31490000046"/>
    <n v="1077.2514741031396"/>
    <n v="309"/>
    <s v="High Value"/>
    <s v="Jun-2024"/>
    <s v="Tennis Ball 3-Pack"/>
    <s v="Sports"/>
    <x v="88"/>
  </r>
  <r>
    <s v="SALE1109"/>
    <d v="2024-04-05T00:00:00"/>
    <x v="94"/>
    <s v="PROD31"/>
    <s v="STORE2"/>
    <n v="3"/>
    <n v="826.15"/>
    <n v="0"/>
    <x v="1"/>
    <n v="2478.4499999999998"/>
    <n v="958772.89810000046"/>
    <n v="1076.0638586980926"/>
    <n v="309"/>
    <s v="High Value"/>
    <s v="Apr-2024"/>
    <s v="Basketball"/>
    <s v="Sports"/>
    <x v="93"/>
  </r>
  <r>
    <s v="SALE1110"/>
    <d v="2024-12-26T00:00:00"/>
    <x v="8"/>
    <s v="PROD24"/>
    <s v="STORE19"/>
    <n v="3"/>
    <n v="631.20000000000005"/>
    <n v="0.24"/>
    <x v="0"/>
    <n v="1439.136"/>
    <n v="956294.4481000005"/>
    <n v="1074.4881439325848"/>
    <n v="308"/>
    <s v="High Value"/>
    <s v="Dec-2024"/>
    <s v="Foldable Camping Chair"/>
    <s v="Sports"/>
    <x v="8"/>
  </r>
  <r>
    <s v="SALE1111"/>
    <d v="2024-01-25T00:00:00"/>
    <x v="387"/>
    <s v="PROD58"/>
    <s v="STORE10"/>
    <n v="1"/>
    <n v="937.01"/>
    <n v="7.0000000000000007E-2"/>
    <x v="0"/>
    <n v="871.41929999999991"/>
    <n v="954855.31210000056"/>
    <n v="1074.0779663667047"/>
    <n v="308"/>
    <s v="Low Value"/>
    <s v="Jan-2024"/>
    <s v="Womens Cotton Scarf"/>
    <s v="Clothing"/>
    <x v="385"/>
  </r>
  <r>
    <s v="SALE1112"/>
    <d v="2024-01-25T00:00:00"/>
    <x v="383"/>
    <s v="PROD73"/>
    <s v="STORE5"/>
    <n v="2"/>
    <n v="644"/>
    <n v="0.04"/>
    <x v="1"/>
    <n v="1236.48"/>
    <n v="953983.89280000038"/>
    <n v="1074.306185585586"/>
    <n v="308"/>
    <s v="High Value"/>
    <s v="Jan-2024"/>
    <s v="Shin Guards – Adult"/>
    <s v="Sports"/>
    <x v="381"/>
  </r>
  <r>
    <s v="SALE1113"/>
    <d v="2025-08-19T00:00:00"/>
    <x v="18"/>
    <s v="PROD91"/>
    <s v="STORE5"/>
    <n v="3"/>
    <n v="629.58000000000004"/>
    <n v="0.05"/>
    <x v="0"/>
    <n v="1794.3030000000001"/>
    <n v="952747.41280000017"/>
    <n v="1074.1233515219844"/>
    <n v="307"/>
    <s v="High Value"/>
    <s v="Aug-2025"/>
    <s v="Women's High Heels"/>
    <s v="Clothing"/>
    <x v="18"/>
  </r>
  <r>
    <s v="SALE1114"/>
    <d v="2025-05-14T00:00:00"/>
    <x v="220"/>
    <s v="PROD87"/>
    <s v="STORE2"/>
    <n v="2"/>
    <n v="121.52"/>
    <n v="0.18"/>
    <x v="2"/>
    <n v="199.2928"/>
    <n v="950953.10980000033"/>
    <n v="1073.3105076749439"/>
    <n v="307"/>
    <s v="Low Value"/>
    <s v="May-2025"/>
    <s v="LED Bedside Lamp"/>
    <s v="Home"/>
    <x v="219"/>
  </r>
  <r>
    <s v="SALE1115"/>
    <d v="2024-05-08T00:00:00"/>
    <x v="123"/>
    <s v="PROD65"/>
    <s v="STORE19"/>
    <n v="2"/>
    <n v="549.83000000000004"/>
    <n v="7.0000000000000007E-2"/>
    <x v="1"/>
    <n v="1022.6838"/>
    <n v="950753.81700000039"/>
    <n v="1074.2980983050852"/>
    <n v="307"/>
    <s v="High Value"/>
    <s v="May-2024"/>
    <s v="Adjustable Dumbbells 20kg"/>
    <s v="Sports"/>
    <x v="122"/>
  </r>
  <r>
    <s v="SALE1116"/>
    <d v="2023-10-20T00:00:00"/>
    <x v="429"/>
    <s v="PROD13"/>
    <s v="STORE8"/>
    <n v="3"/>
    <n v="278.38"/>
    <n v="0.03"/>
    <x v="0"/>
    <n v="810.08579999999995"/>
    <n v="949731.13320000039"/>
    <n v="1074.3564855203624"/>
    <n v="306"/>
    <s v="Low Value"/>
    <s v="Oct-2023"/>
    <s v="USB-C Fast Charger"/>
    <s v="Electronics"/>
    <x v="427"/>
  </r>
  <r>
    <s v="SALE1117"/>
    <d v="2024-08-06T00:00:00"/>
    <x v="168"/>
    <s v="PROD96"/>
    <s v="STORE3"/>
    <n v="4"/>
    <n v="723.66"/>
    <n v="0.03"/>
    <x v="1"/>
    <n v="2807.8008"/>
    <n v="948921.04740000039"/>
    <n v="1074.6557728199325"/>
    <n v="306"/>
    <s v="High Value"/>
    <s v="Aug-2024"/>
    <s v="Women's Formal Blazer"/>
    <s v="Clothing"/>
    <x v="167"/>
  </r>
  <r>
    <s v="SALE1118"/>
    <d v="2025-01-30T00:00:00"/>
    <x v="297"/>
    <s v="PROD72"/>
    <s v="STORE9"/>
    <n v="1"/>
    <n v="724.74"/>
    <n v="0.15"/>
    <x v="1"/>
    <n v="616.029"/>
    <n v="946113.24660000054"/>
    <n v="1072.6907557823135"/>
    <n v="305"/>
    <s v="Low Value"/>
    <s v="Jan-2025"/>
    <s v="Professional Jump Rope"/>
    <s v="Sports"/>
    <x v="295"/>
  </r>
  <r>
    <s v="SALE1119"/>
    <d v="2023-12-11T00:00:00"/>
    <x v="264"/>
    <s v="PROD21"/>
    <s v="STORE4"/>
    <n v="2"/>
    <n v="961.84"/>
    <n v="0.25"/>
    <x v="1"/>
    <n v="1442.76"/>
    <n v="945497.21760000067"/>
    <n v="1073.2091005675377"/>
    <n v="304"/>
    <s v="High Value"/>
    <s v="Dec-2023"/>
    <s v="Multi-Purpose Storage Box"/>
    <s v="Home"/>
    <x v="263"/>
  </r>
  <r>
    <s v="SALE1120"/>
    <d v="2024-06-03T00:00:00"/>
    <x v="135"/>
    <s v="PROD37"/>
    <s v="STORE16"/>
    <n v="4"/>
    <n v="21.12"/>
    <n v="0.18"/>
    <x v="2"/>
    <n v="69.273600000000002"/>
    <n v="944054.45760000066"/>
    <n v="1072.7891563636372"/>
    <n v="303"/>
    <s v="Low Value"/>
    <s v="Jun-2024"/>
    <s v="Men's Casual Sneakers"/>
    <s v="Clothing"/>
    <x v="134"/>
  </r>
  <r>
    <s v="SALE1121"/>
    <d v="2024-10-14T00:00:00"/>
    <x v="133"/>
    <s v="PROD0"/>
    <s v="STORE4"/>
    <n v="3"/>
    <n v="819.93"/>
    <n v="0.08"/>
    <x v="1"/>
    <n v="2263.0068000000001"/>
    <n v="943985.18400000047"/>
    <n v="1073.9308122866901"/>
    <n v="303"/>
    <s v="High Value"/>
    <s v="Oct-2024"/>
    <s v="Brother Laser Printer"/>
    <s v="Electronics"/>
    <x v="132"/>
  </r>
  <r>
    <s v="SALE1122"/>
    <d v="2025-03-09T00:00:00"/>
    <x v="125"/>
    <s v="PROD42"/>
    <s v="STORE0"/>
    <n v="2"/>
    <n v="700.95"/>
    <n v="0.18"/>
    <x v="0"/>
    <n v="1149.558"/>
    <n v="941722.17720000038"/>
    <n v="1072.5765116173125"/>
    <n v="302"/>
    <s v="High Value"/>
    <s v="Mar-2025"/>
    <s v="Smart Home WiFi Camera"/>
    <s v="Electronics"/>
    <x v="124"/>
  </r>
  <r>
    <s v="SALE1123"/>
    <d v="2025-09-10T00:00:00"/>
    <x v="206"/>
    <s v="PROD17"/>
    <s v="STORE14"/>
    <n v="2"/>
    <n v="456.38"/>
    <n v="0.12"/>
    <x v="0"/>
    <n v="803.22879999999998"/>
    <n v="940572.61920000042"/>
    <n v="1072.4887334093505"/>
    <n v="302"/>
    <s v="Low Value"/>
    <s v="Sep-2025"/>
    <s v="Soccer Training Cone Set"/>
    <s v="Sports"/>
    <x v="205"/>
  </r>
  <r>
    <s v="SALE1124"/>
    <d v="2024-06-04T00:00:00"/>
    <x v="447"/>
    <s v="PROD76"/>
    <s v="STORE14"/>
    <n v="3"/>
    <n v="291.05"/>
    <n v="0.3"/>
    <x v="0"/>
    <n v="611.20500000000004"/>
    <n v="939769.3904000005"/>
    <n v="1072.7961077625575"/>
    <n v="302"/>
    <s v="Low Value"/>
    <s v="Jun-2024"/>
    <s v="Wireless Mouse"/>
    <s v="Electronics"/>
    <x v="445"/>
  </r>
  <r>
    <s v="SALE1125"/>
    <d v="2024-01-16T00:00:00"/>
    <x v="320"/>
    <s v="PROD95"/>
    <s v="STORE15"/>
    <n v="2"/>
    <n v="463.52"/>
    <n v="0.27"/>
    <x v="1"/>
    <n v="676.73919999999998"/>
    <n v="939158.18540000042"/>
    <n v="1073.3236404571433"/>
    <n v="302"/>
    <s v="Low Value"/>
    <s v="Jan-2024"/>
    <s v="Sports Stopwatch Basic"/>
    <s v="Sports"/>
    <x v="318"/>
  </r>
  <r>
    <s v="SALE1126"/>
    <d v="2024-12-27T00:00:00"/>
    <x v="273"/>
    <s v="PROD0"/>
    <s v="STORE17"/>
    <n v="3"/>
    <n v="241.64"/>
    <n v="0.28999999999999998"/>
    <x v="1"/>
    <n v="514.69319999999993"/>
    <n v="938481.44620000047"/>
    <n v="1073.7773983981699"/>
    <n v="301"/>
    <s v="Low Value"/>
    <s v="Dec-2024"/>
    <s v="Brother Laser Printer"/>
    <s v="Electronics"/>
    <x v="271"/>
  </r>
  <r>
    <s v="SALE1127"/>
    <d v="2025-06-09T00:00:00"/>
    <x v="60"/>
    <s v="PROD30"/>
    <s v="STORE10"/>
    <n v="2"/>
    <n v="47.86"/>
    <n v="0.03"/>
    <x v="1"/>
    <n v="92.848399999999998"/>
    <n v="937966.75300000061"/>
    <n v="1074.4178155784657"/>
    <n v="300"/>
    <s v="Low Value"/>
    <s v="Jun-2025"/>
    <s v="Stainless Steel Cutlery Set"/>
    <s v="Home"/>
    <x v="0"/>
  </r>
  <r>
    <s v="SALE1128"/>
    <d v="2024-08-05T00:00:00"/>
    <x v="33"/>
    <s v="PROD92"/>
    <s v="STORE3"/>
    <n v="1"/>
    <n v="805.07"/>
    <n v="0.06"/>
    <x v="2"/>
    <n v="756.76580000000001"/>
    <n v="937873.90460000059"/>
    <n v="1075.5434685779824"/>
    <n v="299"/>
    <s v="Low Value"/>
    <s v="Aug-2024"/>
    <s v="Microwave Oven"/>
    <s v="Home"/>
    <x v="33"/>
  </r>
  <r>
    <s v="SALE1129"/>
    <d v="2025-04-06T00:00:00"/>
    <x v="141"/>
    <s v="PROD34"/>
    <s v="STORE1"/>
    <n v="3"/>
    <n v="848.48"/>
    <n v="0"/>
    <x v="2"/>
    <n v="2545.44"/>
    <n v="937117.13880000042"/>
    <n v="1075.9094590126297"/>
    <n v="299"/>
    <s v="High Value"/>
    <s v="Apr-2025"/>
    <s v="Gaming Mechanical Keyboard"/>
    <s v="Electronics"/>
    <x v="140"/>
  </r>
  <r>
    <s v="SALE1130"/>
    <d v="2024-08-08T00:00:00"/>
    <x v="85"/>
    <s v="PROD53"/>
    <s v="STORE8"/>
    <n v="2"/>
    <n v="568.95000000000005"/>
    <n v="0.22"/>
    <x v="0"/>
    <n v="887.56200000000013"/>
    <n v="934571.69880000048"/>
    <n v="1074.2203434482765"/>
    <n v="299"/>
    <s v="Low Value"/>
    <s v="Aug-2024"/>
    <s v="Men's Track Pants"/>
    <s v="Clothing"/>
    <x v="84"/>
  </r>
  <r>
    <s v="SALE1131"/>
    <d v="2025-04-17T00:00:00"/>
    <x v="58"/>
    <s v="PROD53"/>
    <s v="STORE11"/>
    <n v="3"/>
    <n v="269.83999999999997"/>
    <n v="0.05"/>
    <x v="1"/>
    <n v="769.04399999999998"/>
    <n v="933684.13680000056"/>
    <n v="1074.4351401611054"/>
    <n v="299"/>
    <s v="Low Value"/>
    <s v="Apr-2025"/>
    <s v="Men's Track Pants"/>
    <s v="Clothing"/>
    <x v="58"/>
  </r>
  <r>
    <s v="SALE1132"/>
    <d v="2025-03-30T00:00:00"/>
    <x v="430"/>
    <s v="PROD62"/>
    <s v="STORE13"/>
    <n v="4"/>
    <n v="267.36"/>
    <n v="0.27"/>
    <x v="1"/>
    <n v="780.69119999999998"/>
    <n v="932915.09280000033"/>
    <n v="1074.7869732718898"/>
    <n v="298"/>
    <s v="Low Value"/>
    <s v="Mar-2025"/>
    <s v="Laptop Cooling Pad"/>
    <s v="Electronics"/>
    <x v="428"/>
  </r>
  <r>
    <s v="SALE1133"/>
    <d v="2024-12-21T00:00:00"/>
    <x v="284"/>
    <s v="PROD37"/>
    <s v="STORE1"/>
    <n v="1"/>
    <n v="438.41"/>
    <n v="0.09"/>
    <x v="0"/>
    <n v="398.95310000000012"/>
    <n v="932134.40160000033"/>
    <n v="1075.1261840830455"/>
    <n v="297"/>
    <s v="Low Value"/>
    <s v="Dec-2024"/>
    <s v="Men's Casual Sneakers"/>
    <s v="Clothing"/>
    <x v="282"/>
  </r>
  <r>
    <s v="SALE1134"/>
    <d v="2024-05-31T00:00:00"/>
    <x v="112"/>
    <s v="PROD51"/>
    <s v="STORE18"/>
    <n v="2"/>
    <n v="86.72"/>
    <n v="0.28000000000000003"/>
    <x v="2"/>
    <n v="124.8768"/>
    <n v="931735.44850000052"/>
    <n v="1075.9069844110861"/>
    <n v="297"/>
    <s v="Low Value"/>
    <s v="May-2024"/>
    <s v="HDMI Cable – 2m"/>
    <s v="Electronics"/>
    <x v="111"/>
  </r>
  <r>
    <s v="SALE1135"/>
    <d v="2025-03-06T00:00:00"/>
    <x v="353"/>
    <s v="PROD89"/>
    <s v="STORE6"/>
    <n v="4"/>
    <n v="630.21"/>
    <n v="0.14000000000000001"/>
    <x v="2"/>
    <n v="2167.9223999999999"/>
    <n v="931610.57170000032"/>
    <n v="1077.0064412716767"/>
    <n v="297"/>
    <s v="High Value"/>
    <s v="Mar-2025"/>
    <s v="Face Foundation Kit"/>
    <s v="Beauty"/>
    <x v="351"/>
  </r>
  <r>
    <s v="SALE1136"/>
    <d v="2024-10-10T00:00:00"/>
    <x v="448"/>
    <s v="PROD59"/>
    <s v="STORE6"/>
    <n v="3"/>
    <n v="180.84"/>
    <n v="0.03"/>
    <x v="1"/>
    <n v="526.24439999999993"/>
    <n v="929442.64930000051"/>
    <n v="1075.7438070601859"/>
    <n v="297"/>
    <s v="Low Value"/>
    <s v="Oct-2024"/>
    <s v="Men's Hair Styling Gel"/>
    <s v="Beauty"/>
    <x v="446"/>
  </r>
  <r>
    <s v="SALE1137"/>
    <d v="2024-05-29T00:00:00"/>
    <x v="435"/>
    <s v="PROD64"/>
    <s v="STORE16"/>
    <n v="1"/>
    <n v="453.41"/>
    <n v="0.04"/>
    <x v="2"/>
    <n v="435.27359999999999"/>
    <n v="928916.40490000055"/>
    <n v="1076.3805387022023"/>
    <n v="296"/>
    <s v="Low Value"/>
    <s v="May-2024"/>
    <s v="Matte Lipstick Set"/>
    <s v="Beauty"/>
    <x v="433"/>
  </r>
  <r>
    <s v="SALE1138"/>
    <d v="2025-10-10T00:00:00"/>
    <x v="385"/>
    <s v="PROD51"/>
    <s v="STORE6"/>
    <n v="1"/>
    <n v="629.09"/>
    <n v="0.02"/>
    <x v="0"/>
    <n v="616.50819999999999"/>
    <n v="928481.13130000059"/>
    <n v="1077.1242822505808"/>
    <n v="296"/>
    <s v="Low Value"/>
    <s v="Oct-2025"/>
    <s v="HDMI Cable – 2m"/>
    <s v="Electronics"/>
    <x v="383"/>
  </r>
  <r>
    <s v="SALE1139"/>
    <d v="2024-08-14T00:00:00"/>
    <x v="128"/>
    <s v="PROD77"/>
    <s v="STORE2"/>
    <n v="2"/>
    <n v="257.45"/>
    <n v="0"/>
    <x v="2"/>
    <n v="514.9"/>
    <n v="927864.62310000055"/>
    <n v="1077.6592602787464"/>
    <n v="296"/>
    <s v="Low Value"/>
    <s v="Aug-2024"/>
    <s v="WiFi Mesh Router"/>
    <s v="Electronics"/>
    <x v="127"/>
  </r>
  <r>
    <s v="SALE1140"/>
    <d v="2025-07-23T00:00:00"/>
    <x v="449"/>
    <s v="PROD34"/>
    <s v="STORE15"/>
    <n v="2"/>
    <n v="696.61"/>
    <n v="0.17"/>
    <x v="1"/>
    <n v="1156.3725999999999"/>
    <n v="927349.72310000064"/>
    <n v="1078.3136315116287"/>
    <n v="296"/>
    <s v="High Value"/>
    <s v="Jul-2025"/>
    <s v="Gaming Mechanical Keyboard"/>
    <s v="Electronics"/>
    <x v="447"/>
  </r>
  <r>
    <s v="SALE1141"/>
    <d v="2024-05-04T00:00:00"/>
    <x v="141"/>
    <s v="PROD46"/>
    <s v="STORE7"/>
    <n v="2"/>
    <n v="143.79"/>
    <n v="0.1"/>
    <x v="1"/>
    <n v="258.822"/>
    <n v="926193.35050000076"/>
    <n v="1078.2227596041919"/>
    <n v="295"/>
    <s v="Low Value"/>
    <s v="May-2024"/>
    <s v="Men's Winter Jacket"/>
    <s v="Clothing"/>
    <x v="140"/>
  </r>
  <r>
    <s v="SALE1142"/>
    <d v="2024-11-12T00:00:00"/>
    <x v="272"/>
    <s v="PROD83"/>
    <s v="STORE1"/>
    <n v="3"/>
    <n v="460.93"/>
    <n v="0.19"/>
    <x v="2"/>
    <n v="1120.0599"/>
    <n v="925934.5285000006"/>
    <n v="1079.1777721445228"/>
    <n v="294"/>
    <s v="High Value"/>
    <s v="Nov-2024"/>
    <s v="Hydrating Face Cleanser"/>
    <s v="Beauty"/>
    <x v="270"/>
  </r>
  <r>
    <s v="SALE1143"/>
    <d v="2024-01-10T00:00:00"/>
    <x v="148"/>
    <s v="PROD28"/>
    <s v="STORE9"/>
    <n v="2"/>
    <n v="67.55"/>
    <n v="0.03"/>
    <x v="0"/>
    <n v="131.047"/>
    <n v="924814.46860000084"/>
    <n v="1079.1300683780639"/>
    <n v="294"/>
    <s v="Low Value"/>
    <s v="Jan-2024"/>
    <s v="Sports Stopwatch Timer"/>
    <s v="Sports"/>
    <x v="147"/>
  </r>
  <r>
    <s v="SALE1144"/>
    <d v="2024-05-21T00:00:00"/>
    <x v="256"/>
    <s v="PROD49"/>
    <s v="STORE1"/>
    <n v="3"/>
    <n v="803.31"/>
    <n v="0.1"/>
    <x v="1"/>
    <n v="2168.9369999999999"/>
    <n v="924683.42160000082"/>
    <n v="1080.2376420560756"/>
    <n v="294"/>
    <s v="High Value"/>
    <s v="May-2024"/>
    <s v="Men's Roll-On Perfume"/>
    <s v="Beauty"/>
    <x v="255"/>
  </r>
  <r>
    <s v="SALE1145"/>
    <d v="2025-06-13T00:00:00"/>
    <x v="450"/>
    <s v="PROD16"/>
    <s v="STORE13"/>
    <n v="4"/>
    <n v="254.71"/>
    <n v="0.2"/>
    <x v="2"/>
    <n v="815.07200000000012"/>
    <n v="922514.48460000067"/>
    <n v="1078.964309473685"/>
    <n v="293"/>
    <s v="Low Value"/>
    <s v="Jun-2025"/>
    <s v="Beard Grooming Kit"/>
    <s v="Beauty"/>
    <x v="448"/>
  </r>
  <r>
    <s v="SALE1146"/>
    <d v="2024-08-04T00:00:00"/>
    <x v="370"/>
    <s v="PROD50"/>
    <s v="STORE4"/>
    <n v="4"/>
    <n v="594.89"/>
    <n v="0.3"/>
    <x v="1"/>
    <n v="1665.692"/>
    <n v="921699.41260000074"/>
    <n v="1079.2733168618277"/>
    <n v="293"/>
    <s v="High Value"/>
    <s v="Aug-2024"/>
    <s v="Boxing Hand Wraps"/>
    <s v="Sports"/>
    <x v="368"/>
  </r>
  <r>
    <s v="SALE1147"/>
    <d v="2025-07-16T00:00:00"/>
    <x v="209"/>
    <s v="PROD91"/>
    <s v="STORE0"/>
    <n v="2"/>
    <n v="844.31"/>
    <n v="7.0000000000000007E-2"/>
    <x v="1"/>
    <n v="1570.4166"/>
    <n v="920033.7206000007"/>
    <n v="1078.5858389214545"/>
    <n v="292"/>
    <s v="High Value"/>
    <s v="Jul-2025"/>
    <s v="Women's High Heels"/>
    <s v="Clothing"/>
    <x v="208"/>
  </r>
  <r>
    <s v="SALE1148"/>
    <d v="2024-10-04T00:00:00"/>
    <x v="211"/>
    <s v="PROD15"/>
    <s v="STORE6"/>
    <n v="4"/>
    <n v="101.33"/>
    <n v="0"/>
    <x v="0"/>
    <n v="405.32"/>
    <n v="918463.30400000059"/>
    <n v="1078.0085727699538"/>
    <n v="291"/>
    <s v="Low Value"/>
    <s v="Oct-2024"/>
    <s v="4K Home Projector"/>
    <s v="Electronics"/>
    <x v="210"/>
  </r>
  <r>
    <s v="SALE1149"/>
    <d v="2025-06-16T00:00:00"/>
    <x v="87"/>
    <s v="PROD26"/>
    <s v="STORE8"/>
    <n v="3"/>
    <n v="922.56"/>
    <n v="0.18"/>
    <x v="1"/>
    <n v="2269.4976000000001"/>
    <n v="918057.98400000052"/>
    <n v="1078.7990411280853"/>
    <n v="291"/>
    <s v="High Value"/>
    <s v="Jun-2025"/>
    <s v="Wireless Bluetooth Speaker"/>
    <s v="Electronics"/>
    <x v="86"/>
  </r>
  <r>
    <s v="SALE1150"/>
    <d v="2024-03-01T00:00:00"/>
    <x v="450"/>
    <s v="PROD38"/>
    <s v="STORE14"/>
    <n v="4"/>
    <n v="867.19"/>
    <n v="7.0000000000000007E-2"/>
    <x v="2"/>
    <n v="3225.9468000000002"/>
    <n v="915788.48640000063"/>
    <n v="1077.3982192941185"/>
    <n v="290"/>
    <s v="High Value"/>
    <s v="Mar-2024"/>
    <s v="Sports Water Hydration Pack"/>
    <s v="Sports"/>
    <x v="448"/>
  </r>
  <r>
    <s v="SALE1151"/>
    <d v="2024-06-11T00:00:00"/>
    <x v="279"/>
    <s v="PROD83"/>
    <s v="STORE17"/>
    <n v="3"/>
    <n v="816.87"/>
    <n v="0.14000000000000001"/>
    <x v="1"/>
    <n v="2107.5246000000002"/>
    <n v="912562.53960000037"/>
    <n v="1074.8675378091878"/>
    <n v="290"/>
    <s v="High Value"/>
    <s v="Jun-2024"/>
    <s v="Hydrating Face Cleanser"/>
    <s v="Beauty"/>
    <x v="277"/>
  </r>
  <r>
    <s v="SALE1152"/>
    <d v="2025-09-24T00:00:00"/>
    <x v="451"/>
    <s v="PROD65"/>
    <s v="STORE3"/>
    <n v="3"/>
    <n v="258.06"/>
    <n v="0"/>
    <x v="1"/>
    <n v="774.18000000000006"/>
    <n v="910455.01500000025"/>
    <n v="1073.6497818396228"/>
    <n v="289"/>
    <s v="Low Value"/>
    <s v="Sep-2025"/>
    <s v="Adjustable Dumbbells 20kg"/>
    <s v="Sports"/>
    <x v="449"/>
  </r>
  <r>
    <s v="SALE1153"/>
    <d v="2025-02-06T00:00:00"/>
    <x v="212"/>
    <s v="PROD38"/>
    <s v="STORE14"/>
    <n v="2"/>
    <n v="574.58000000000004"/>
    <n v="0.06"/>
    <x v="0"/>
    <n v="1080.2103999999999"/>
    <n v="909680.83500000031"/>
    <n v="1074.0033471074385"/>
    <n v="288"/>
    <s v="High Value"/>
    <s v="Feb-2025"/>
    <s v="Sports Water Hydration Pack"/>
    <s v="Sports"/>
    <x v="211"/>
  </r>
  <r>
    <s v="SALE1154"/>
    <d v="2024-10-22T00:00:00"/>
    <x v="128"/>
    <s v="PROD83"/>
    <s v="STORE6"/>
    <n v="2"/>
    <n v="472.18"/>
    <n v="0.27"/>
    <x v="1"/>
    <n v="689.38279999999997"/>
    <n v="908600.62460000033"/>
    <n v="1073.9960101654851"/>
    <n v="288"/>
    <s v="Low Value"/>
    <s v="Oct-2024"/>
    <s v="Hydrating Face Cleanser"/>
    <s v="Beauty"/>
    <x v="127"/>
  </r>
  <r>
    <s v="SALE1155"/>
    <d v="2024-09-21T00:00:00"/>
    <x v="452"/>
    <s v="PROD41"/>
    <s v="STORE5"/>
    <n v="2"/>
    <n v="20.47"/>
    <n v="0.12"/>
    <x v="2"/>
    <n v="36.027200000000001"/>
    <n v="907911.24180000031"/>
    <n v="1074.451173727811"/>
    <n v="287"/>
    <s v="Low Value"/>
    <s v="Sep-2024"/>
    <s v="Yoga Exercise Mat"/>
    <s v="Sports"/>
    <x v="450"/>
  </r>
  <r>
    <s v="SALE1156"/>
    <d v="2025-09-23T00:00:00"/>
    <x v="193"/>
    <s v="PROD22"/>
    <s v="STORE7"/>
    <n v="3"/>
    <n v="235.41"/>
    <n v="0.15"/>
    <x v="1"/>
    <n v="600.29549999999995"/>
    <n v="907875.21460000018"/>
    <n v="1075.6815338862561"/>
    <n v="287"/>
    <s v="Low Value"/>
    <s v="Sep-2025"/>
    <s v="Carbon Fiber Tennis Racket"/>
    <s v="Sports"/>
    <x v="192"/>
  </r>
  <r>
    <s v="SALE1157"/>
    <d v="2025-06-03T00:00:00"/>
    <x v="409"/>
    <s v="PROD78"/>
    <s v="STORE7"/>
    <n v="3"/>
    <n v="744.9"/>
    <n v="0.27"/>
    <x v="1"/>
    <n v="1631.3309999999999"/>
    <n v="907274.91910000017"/>
    <n v="1076.2454556346383"/>
    <n v="286"/>
    <s v="High Value"/>
    <s v="Jun-2025"/>
    <s v="Essential Oil Diffuser"/>
    <s v="Home"/>
    <x v="407"/>
  </r>
  <r>
    <s v="SALE1158"/>
    <d v="2024-09-24T00:00:00"/>
    <x v="234"/>
    <s v="PROD18"/>
    <s v="STORE3"/>
    <n v="2"/>
    <n v="382.2"/>
    <n v="0.15"/>
    <x v="0"/>
    <n v="649.74"/>
    <n v="905643.58810000017"/>
    <n v="1075.5862091448932"/>
    <n v="285"/>
    <s v="Low Value"/>
    <s v="Sep-2024"/>
    <s v="Women's Denim Jeans"/>
    <s v="Clothing"/>
    <x v="233"/>
  </r>
  <r>
    <s v="SALE1159"/>
    <d v="2025-08-12T00:00:00"/>
    <x v="3"/>
    <s v="PROD90"/>
    <s v="STORE16"/>
    <n v="1"/>
    <n v="269.25"/>
    <n v="0.14000000000000001"/>
    <x v="1"/>
    <n v="231.55500000000001"/>
    <n v="904993.84810000018"/>
    <n v="1076.0925661117719"/>
    <n v="285"/>
    <s v="Low Value"/>
    <s v="Aug-2025"/>
    <s v="Gaming Mouse Pad XL"/>
    <s v="Electronics"/>
    <x v="3"/>
  </r>
  <r>
    <s v="SALE1160"/>
    <d v="2024-03-16T00:00:00"/>
    <x v="317"/>
    <s v="PROD30"/>
    <s v="STORE11"/>
    <n v="2"/>
    <n v="723.75"/>
    <n v="0.03"/>
    <x v="1"/>
    <n v="1404.075"/>
    <n v="904762.29310000024"/>
    <n v="1077.0979679761908"/>
    <n v="284"/>
    <s v="High Value"/>
    <s v="Mar-2024"/>
    <s v="Stainless Steel Cutlery Set"/>
    <s v="Home"/>
    <x v="315"/>
  </r>
  <r>
    <s v="SALE1161"/>
    <d v="2025-06-24T00:00:00"/>
    <x v="373"/>
    <s v="PROD19"/>
    <s v="STORE19"/>
    <n v="4"/>
    <n v="58.92"/>
    <n v="0.18"/>
    <x v="0"/>
    <n v="193.2576"/>
    <n v="903358.21810000029"/>
    <n v="1076.7082456495832"/>
    <n v="283"/>
    <s v="Low Value"/>
    <s v="Jun-2025"/>
    <s v="Knee Support Brace"/>
    <s v="Sports"/>
    <x v="371"/>
  </r>
  <r>
    <s v="SALE1162"/>
    <d v="2024-05-26T00:00:00"/>
    <x v="338"/>
    <s v="PROD71"/>
    <s v="STORE10"/>
    <n v="2"/>
    <n v="913.08"/>
    <n v="0.26"/>
    <x v="0"/>
    <n v="1351.3584000000001"/>
    <n v="903164.96050000039"/>
    <n v="1077.7624826968979"/>
    <n v="283"/>
    <s v="High Value"/>
    <s v="May-2024"/>
    <s v="Hair Repair Oil Treatment"/>
    <s v="Beauty"/>
    <x v="336"/>
  </r>
  <r>
    <s v="SALE1163"/>
    <d v="2025-02-03T00:00:00"/>
    <x v="346"/>
    <s v="PROD81"/>
    <s v="STORE1"/>
    <n v="1"/>
    <n v="791.83"/>
    <n v="0.28000000000000003"/>
    <x v="1"/>
    <n v="570.11760000000004"/>
    <n v="901813.60210000037"/>
    <n v="1077.4356058542419"/>
    <n v="283"/>
    <s v="Low Value"/>
    <s v="Feb-2025"/>
    <s v="Badminton Racket Set"/>
    <s v="Sports"/>
    <x v="344"/>
  </r>
  <r>
    <s v="SALE1164"/>
    <d v="2024-08-02T00:00:00"/>
    <x v="198"/>
    <s v="PROD3"/>
    <s v="STORE15"/>
    <n v="1"/>
    <n v="74.290000000000006"/>
    <n v="0.3"/>
    <x v="2"/>
    <n v="52.003"/>
    <n v="901243.48450000037"/>
    <n v="1078.0424455741631"/>
    <n v="282"/>
    <s v="Low Value"/>
    <s v="Aug-2024"/>
    <s v="Men's Running Jacket"/>
    <s v="Clothing"/>
    <x v="197"/>
  </r>
  <r>
    <s v="SALE1165"/>
    <d v="2023-11-21T00:00:00"/>
    <x v="129"/>
    <s v="PROD35"/>
    <s v="STORE0"/>
    <n v="2"/>
    <n v="961.68"/>
    <n v="0.27"/>
    <x v="1"/>
    <n v="1404.0527999999999"/>
    <n v="901191.48150000034"/>
    <n v="1079.2712353293418"/>
    <n v="282"/>
    <s v="High Value"/>
    <s v="Nov-2023"/>
    <s v="Bedroom Table Lamp"/>
    <s v="Home"/>
    <x v="128"/>
  </r>
  <r>
    <s v="SALE1166"/>
    <d v="2025-03-06T00:00:00"/>
    <x v="187"/>
    <s v="PROD19"/>
    <s v="STORE14"/>
    <n v="1"/>
    <n v="90.72"/>
    <n v="0.1"/>
    <x v="1"/>
    <n v="81.647999999999996"/>
    <n v="899787.4287000004"/>
    <n v="1078.8818089928063"/>
    <n v="281"/>
    <s v="Low Value"/>
    <s v="Mar-2025"/>
    <s v="Knee Support Brace"/>
    <s v="Sports"/>
    <x v="186"/>
  </r>
  <r>
    <s v="SALE1167"/>
    <d v="2025-02-01T00:00:00"/>
    <x v="426"/>
    <s v="PROD58"/>
    <s v="STORE7"/>
    <n v="1"/>
    <n v="458.69"/>
    <n v="0.16"/>
    <x v="1"/>
    <n v="385.2996"/>
    <n v="899705.78070000035"/>
    <n v="1080.0789684273714"/>
    <n v="280"/>
    <s v="Low Value"/>
    <s v="Feb-2025"/>
    <s v="Womens Cotton Scarf"/>
    <s v="Clothing"/>
    <x v="424"/>
  </r>
  <r>
    <s v="SALE1168"/>
    <d v="2024-02-24T00:00:00"/>
    <x v="104"/>
    <s v="PROD34"/>
    <s v="STORE7"/>
    <n v="1"/>
    <n v="168.29"/>
    <n v="0.05"/>
    <x v="1"/>
    <n v="159.87549999999999"/>
    <n v="899320.48110000032"/>
    <n v="1080.9140397836543"/>
    <n v="279"/>
    <s v="Low Value"/>
    <s v="Feb-2024"/>
    <s v="Gaming Mechanical Keyboard"/>
    <s v="Electronics"/>
    <x v="103"/>
  </r>
  <r>
    <s v="SALE1169"/>
    <d v="2024-09-14T00:00:00"/>
    <x v="225"/>
    <s v="PROD17"/>
    <s v="STORE17"/>
    <n v="1"/>
    <n v="391.77"/>
    <n v="0.1"/>
    <x v="1"/>
    <n v="352.59300000000002"/>
    <n v="899160.60560000024"/>
    <n v="1082.0223894103492"/>
    <n v="278"/>
    <s v="Low Value"/>
    <s v="Sep-2024"/>
    <s v="Soccer Training Cone Set"/>
    <s v="Sports"/>
    <x v="224"/>
  </r>
  <r>
    <s v="SALE1170"/>
    <d v="2025-08-31T00:00:00"/>
    <x v="110"/>
    <s v="PROD12"/>
    <s v="STORE14"/>
    <n v="1"/>
    <n v="424.83"/>
    <n v="0.05"/>
    <x v="2"/>
    <n v="403.58850000000001"/>
    <n v="898808.01260000037"/>
    <n v="1082.9012200000004"/>
    <n v="277"/>
    <s v="Low Value"/>
    <s v="Aug-2025"/>
    <s v="Hair Strengthening Shampoo"/>
    <s v="Beauty"/>
    <x v="109"/>
  </r>
  <r>
    <s v="SALE1171"/>
    <d v="2024-01-17T00:00:00"/>
    <x v="286"/>
    <s v="PROD11"/>
    <s v="STORE3"/>
    <n v="1"/>
    <n v="499.46"/>
    <n v="0.1"/>
    <x v="0"/>
    <n v="449.51400000000001"/>
    <n v="898404.42410000029"/>
    <n v="1083.7206563329316"/>
    <n v="277"/>
    <s v="Low Value"/>
    <s v="Jan-2024"/>
    <s v="HD Smart TV Stick"/>
    <s v="Electronics"/>
    <x v="284"/>
  </r>
  <r>
    <s v="SALE1172"/>
    <d v="2024-02-14T00:00:00"/>
    <x v="68"/>
    <s v="PROD99"/>
    <s v="STORE1"/>
    <n v="2"/>
    <n v="698.34"/>
    <n v="0.15"/>
    <x v="1"/>
    <n v="1187.1780000000001"/>
    <n v="897954.91010000033"/>
    <n v="1084.4866064009666"/>
    <n v="277"/>
    <s v="High Value"/>
    <s v="Feb-2024"/>
    <s v="Stainless Steel Cookware Set"/>
    <s v="Home"/>
    <x v="67"/>
  </r>
  <r>
    <s v="SALE1173"/>
    <d v="2023-10-14T00:00:00"/>
    <x v="413"/>
    <s v="PROD56"/>
    <s v="STORE16"/>
    <n v="2"/>
    <n v="805.08"/>
    <n v="0.27"/>
    <x v="1"/>
    <n v="1175.4168"/>
    <n v="896767.73210000026"/>
    <n v="1084.362433010883"/>
    <n v="276"/>
    <s v="High Value"/>
    <s v="Oct-2023"/>
    <s v="Premium Blanket Throw"/>
    <s v="Home"/>
    <x v="411"/>
  </r>
  <r>
    <s v="SALE1174"/>
    <d v="2025-03-26T00:00:00"/>
    <x v="220"/>
    <s v="PROD76"/>
    <s v="STORE2"/>
    <n v="4"/>
    <n v="934.79"/>
    <n v="0.08"/>
    <x v="1"/>
    <n v="3440.0272"/>
    <n v="895592.31530000025"/>
    <n v="1084.2521976997582"/>
    <n v="275"/>
    <s v="High Value"/>
    <s v="Mar-2025"/>
    <s v="Wireless Mouse"/>
    <s v="Electronics"/>
    <x v="219"/>
  </r>
  <r>
    <s v="SALE1175"/>
    <d v="2025-10-02T00:00:00"/>
    <x v="68"/>
    <s v="PROD60"/>
    <s v="STORE1"/>
    <n v="2"/>
    <n v="424.54"/>
    <n v="0.24"/>
    <x v="1"/>
    <n v="645.30080000000009"/>
    <n v="892152.28810000035"/>
    <n v="1081.3967128484853"/>
    <n v="274"/>
    <s v="Low Value"/>
    <s v="Oct-2025"/>
    <s v="Luxury Perfume Spray"/>
    <s v="Beauty"/>
    <x v="67"/>
  </r>
  <r>
    <s v="SALE1176"/>
    <d v="2024-06-19T00:00:00"/>
    <x v="78"/>
    <s v="PROD84"/>
    <s v="STORE17"/>
    <n v="1"/>
    <n v="235.44"/>
    <n v="0.19"/>
    <x v="2"/>
    <n v="190.7064"/>
    <n v="891506.98730000027"/>
    <n v="1081.9259554611654"/>
    <n v="273"/>
    <s v="Low Value"/>
    <s v="Jun-2024"/>
    <s v="Wooden Bookshelf"/>
    <s v="Home"/>
    <x v="77"/>
  </r>
  <r>
    <s v="SALE1177"/>
    <d v="2024-10-03T00:00:00"/>
    <x v="398"/>
    <s v="PROD49"/>
    <s v="STORE13"/>
    <n v="2"/>
    <n v="620.71"/>
    <n v="0.27"/>
    <x v="0"/>
    <n v="906.23660000000007"/>
    <n v="891316.28090000025"/>
    <n v="1083.0088467800731"/>
    <n v="273"/>
    <s v="Low Value"/>
    <s v="Oct-2024"/>
    <s v="Men's Roll-On Perfume"/>
    <s v="Beauty"/>
    <x v="396"/>
  </r>
  <r>
    <s v="SALE1178"/>
    <d v="2024-04-15T00:00:00"/>
    <x v="71"/>
    <s v="PROD16"/>
    <s v="STORE11"/>
    <n v="2"/>
    <n v="851.77"/>
    <n v="0.13"/>
    <x v="1"/>
    <n v="1482.0798"/>
    <n v="890410.0443000003"/>
    <n v="1083.2238981751827"/>
    <n v="273"/>
    <s v="High Value"/>
    <s v="Apr-2024"/>
    <s v="Beard Grooming Kit"/>
    <s v="Beauty"/>
    <x v="70"/>
  </r>
  <r>
    <s v="SALE1179"/>
    <d v="2024-10-04T00:00:00"/>
    <x v="64"/>
    <s v="PROD45"/>
    <s v="STORE1"/>
    <n v="3"/>
    <n v="876.01"/>
    <n v="0.2"/>
    <x v="0"/>
    <n v="2102.424"/>
    <n v="888927.96450000058"/>
    <n v="1082.7380809987826"/>
    <n v="272"/>
    <s v="High Value"/>
    <s v="Oct-2024"/>
    <s v="High-Grip Football"/>
    <s v="Sports"/>
    <x v="63"/>
  </r>
  <r>
    <s v="SALE1180"/>
    <d v="2024-03-02T00:00:00"/>
    <x v="16"/>
    <s v="PROD27"/>
    <s v="STORE9"/>
    <n v="2"/>
    <n v="717.21"/>
    <n v="0.15"/>
    <x v="2"/>
    <n v="1219.2570000000001"/>
    <n v="886825.54050000047"/>
    <n v="1081.4945615853665"/>
    <n v="272"/>
    <s v="High Value"/>
    <s v="Mar-2024"/>
    <s v="Decorative Floor Vase"/>
    <s v="Home"/>
    <x v="16"/>
  </r>
  <r>
    <s v="SALE1181"/>
    <d v="2024-02-21T00:00:00"/>
    <x v="2"/>
    <s v="PROD41"/>
    <s v="STORE8"/>
    <n v="2"/>
    <n v="871.43"/>
    <n v="0.05"/>
    <x v="0"/>
    <n v="1655.7170000000001"/>
    <n v="885606.28350000049"/>
    <n v="1081.3263534798541"/>
    <n v="272"/>
    <s v="High Value"/>
    <s v="Feb-2024"/>
    <s v="Yoga Exercise Mat"/>
    <s v="Sports"/>
    <x v="2"/>
  </r>
  <r>
    <s v="SALE1182"/>
    <d v="2024-01-30T00:00:00"/>
    <x v="32"/>
    <s v="PROD36"/>
    <s v="STORE7"/>
    <n v="1"/>
    <n v="514.65"/>
    <n v="0.18"/>
    <x v="0"/>
    <n v="422.01299999999998"/>
    <n v="883950.56650000031"/>
    <n v="1080.6241644254283"/>
    <n v="272"/>
    <s v="Low Value"/>
    <s v="Jan-2024"/>
    <s v="Women's Summer Dress"/>
    <s v="Clothing"/>
    <x v="32"/>
  </r>
  <r>
    <s v="SALE1183"/>
    <d v="2024-12-24T00:00:00"/>
    <x v="124"/>
    <s v="PROD62"/>
    <s v="STORE16"/>
    <n v="3"/>
    <n v="198.76"/>
    <n v="0.28000000000000003"/>
    <x v="2"/>
    <n v="429.32159999999999"/>
    <n v="883528.5535000005"/>
    <n v="1081.4302980416162"/>
    <n v="272"/>
    <s v="Low Value"/>
    <s v="Dec-2024"/>
    <s v="Laptop Cooling Pad"/>
    <s v="Electronics"/>
    <x v="123"/>
  </r>
  <r>
    <s v="SALE1184"/>
    <d v="2025-06-03T00:00:00"/>
    <x v="219"/>
    <s v="PROD63"/>
    <s v="STORE3"/>
    <n v="2"/>
    <n v="975.72"/>
    <n v="0.16"/>
    <x v="2"/>
    <n v="1639.2095999999999"/>
    <n v="883099.23190000036"/>
    <n v="1082.2294508578436"/>
    <n v="272"/>
    <s v="High Value"/>
    <s v="Jun-2025"/>
    <s v="Organic Sunscreen Lotion"/>
    <s v="Beauty"/>
    <x v="218"/>
  </r>
  <r>
    <s v="SALE1185"/>
    <d v="2024-08-01T00:00:00"/>
    <x v="47"/>
    <s v="PROD15"/>
    <s v="STORE1"/>
    <n v="1"/>
    <n v="86.03"/>
    <n v="0.01"/>
    <x v="0"/>
    <n v="85.169700000000006"/>
    <n v="881460.02230000042"/>
    <n v="1081.5460396319024"/>
    <n v="272"/>
    <s v="Low Value"/>
    <s v="Aug-2024"/>
    <s v="4K Home Projector"/>
    <s v="Electronics"/>
    <x v="47"/>
  </r>
  <r>
    <s v="SALE1186"/>
    <d v="2025-08-28T00:00:00"/>
    <x v="98"/>
    <s v="PROD54"/>
    <s v="STORE12"/>
    <n v="4"/>
    <n v="705.12"/>
    <n v="0.15"/>
    <x v="1"/>
    <n v="2397.4079999999999"/>
    <n v="881374.85260000022"/>
    <n v="1082.7700891891895"/>
    <n v="272"/>
    <s v="High Value"/>
    <s v="Aug-2025"/>
    <s v="Sports Stopwatch Pro"/>
    <s v="Sports"/>
    <x v="97"/>
  </r>
  <r>
    <s v="SALE1187"/>
    <d v="2024-11-06T00:00:00"/>
    <x v="171"/>
    <s v="PROD18"/>
    <s v="STORE12"/>
    <n v="3"/>
    <n v="99.77"/>
    <n v="0.01"/>
    <x v="1"/>
    <n v="296.31689999999998"/>
    <n v="878977.44460000016"/>
    <n v="1081.153068388684"/>
    <n v="271"/>
    <s v="Low Value"/>
    <s v="Nov-2024"/>
    <s v="Women's Denim Jeans"/>
    <s v="Clothing"/>
    <x v="170"/>
  </r>
  <r>
    <s v="SALE1188"/>
    <d v="2024-08-26T00:00:00"/>
    <x v="204"/>
    <s v="PROD34"/>
    <s v="STORE9"/>
    <n v="2"/>
    <n v="166.26"/>
    <n v="0.14000000000000001"/>
    <x v="1"/>
    <n v="285.96719999999999"/>
    <n v="878681.12770000019"/>
    <n v="1082.1196153940889"/>
    <n v="270"/>
    <s v="Low Value"/>
    <s v="Aug-2024"/>
    <s v="Gaming Mechanical Keyboard"/>
    <s v="Electronics"/>
    <x v="203"/>
  </r>
  <r>
    <s v="SALE1189"/>
    <d v="2025-03-13T00:00:00"/>
    <x v="124"/>
    <s v="PROD26"/>
    <s v="STORE5"/>
    <n v="1"/>
    <n v="429.25"/>
    <n v="0.28999999999999998"/>
    <x v="0"/>
    <n v="304.76749999999998"/>
    <n v="878395.16050000035"/>
    <n v="1083.1013076448833"/>
    <n v="269"/>
    <s v="Low Value"/>
    <s v="Mar-2025"/>
    <s v="Wireless Bluetooth Speaker"/>
    <s v="Electronics"/>
    <x v="123"/>
  </r>
  <r>
    <s v="SALE1190"/>
    <d v="2024-06-25T00:00:00"/>
    <x v="13"/>
    <s v="PROD0"/>
    <s v="STORE9"/>
    <n v="2"/>
    <n v="540.48"/>
    <n v="0.28999999999999998"/>
    <x v="0"/>
    <n v="767.48159999999996"/>
    <n v="878090.39300000027"/>
    <n v="1084.0622135802473"/>
    <n v="269"/>
    <s v="Low Value"/>
    <s v="Jun-2024"/>
    <s v="Brother Laser Printer"/>
    <s v="Electronics"/>
    <x v="13"/>
  </r>
  <r>
    <s v="SALE1191"/>
    <d v="2025-10-06T00:00:00"/>
    <x v="59"/>
    <s v="PROD59"/>
    <s v="STORE14"/>
    <n v="2"/>
    <n v="579.52"/>
    <n v="0.01"/>
    <x v="1"/>
    <n v="1147.4495999999999"/>
    <n v="877322.91140000022"/>
    <n v="1084.4535369592093"/>
    <n v="269"/>
    <s v="High Value"/>
    <s v="Oct-2025"/>
    <s v="Men's Hair Styling Gel"/>
    <s v="Beauty"/>
    <x v="59"/>
  </r>
  <r>
    <s v="SALE1192"/>
    <d v="2024-11-26T00:00:00"/>
    <x v="339"/>
    <s v="PROD69"/>
    <s v="STORE17"/>
    <n v="4"/>
    <n v="477.52"/>
    <n v="7.0000000000000007E-2"/>
    <x v="1"/>
    <n v="1776.3743999999999"/>
    <n v="876175.46180000028"/>
    <n v="1084.3755715346538"/>
    <n v="268"/>
    <s v="High Value"/>
    <s v="Nov-2024"/>
    <s v="Men's Sports Shorts"/>
    <s v="Clothing"/>
    <x v="337"/>
  </r>
  <r>
    <s v="SALE1193"/>
    <d v="2025-02-17T00:00:00"/>
    <x v="415"/>
    <s v="PROD91"/>
    <s v="STORE6"/>
    <n v="3"/>
    <n v="242.58"/>
    <n v="0.25"/>
    <x v="0"/>
    <n v="545.80500000000006"/>
    <n v="874399.08740000043"/>
    <n v="1083.5180760842632"/>
    <n v="267"/>
    <s v="Low Value"/>
    <s v="Feb-2025"/>
    <s v="Women's High Heels"/>
    <s v="Clothing"/>
    <x v="413"/>
  </r>
  <r>
    <s v="SALE1194"/>
    <d v="2023-11-20T00:00:00"/>
    <x v="54"/>
    <s v="PROD26"/>
    <s v="STORE17"/>
    <n v="2"/>
    <n v="519.29999999999995"/>
    <n v="0.09"/>
    <x v="1"/>
    <n v="945.12599999999998"/>
    <n v="873853.28240000049"/>
    <n v="1084.1852138957822"/>
    <n v="267"/>
    <s v="Low Value"/>
    <s v="Nov-2023"/>
    <s v="Wireless Bluetooth Speaker"/>
    <s v="Electronics"/>
    <x v="54"/>
  </r>
  <r>
    <s v="SALE1195"/>
    <d v="2025-01-27T00:00:00"/>
    <x v="354"/>
    <s v="PROD94"/>
    <s v="STORE11"/>
    <n v="3"/>
    <n v="845.67"/>
    <n v="0.12"/>
    <x v="2"/>
    <n v="2232.5688"/>
    <n v="872908.15640000033"/>
    <n v="1084.35795826087"/>
    <n v="266"/>
    <s v="High Value"/>
    <s v="Jan-2025"/>
    <s v="Vitamin E Body Lotion"/>
    <s v="Beauty"/>
    <x v="352"/>
  </r>
  <r>
    <s v="SALE1196"/>
    <d v="2024-04-13T00:00:00"/>
    <x v="428"/>
    <s v="PROD55"/>
    <s v="STORE16"/>
    <n v="4"/>
    <n v="750.26"/>
    <n v="0.01"/>
    <x v="1"/>
    <n v="2971.0295999999998"/>
    <n v="870675.58760000032"/>
    <n v="1082.9298353233835"/>
    <n v="266"/>
    <s v="High Value"/>
    <s v="Apr-2024"/>
    <s v="Ceramic Plant Pot"/>
    <s v="Home"/>
    <x v="426"/>
  </r>
  <r>
    <s v="SALE1197"/>
    <d v="2024-03-31T00:00:00"/>
    <x v="238"/>
    <s v="PROD92"/>
    <s v="STORE12"/>
    <n v="4"/>
    <n v="294.38"/>
    <n v="0.2"/>
    <x v="0"/>
    <n v="942.01600000000008"/>
    <n v="867704.55800000031"/>
    <n v="1080.5785280199257"/>
    <n v="265"/>
    <s v="Low Value"/>
    <s v="Mar-2024"/>
    <s v="Microwave Oven"/>
    <s v="Home"/>
    <x v="237"/>
  </r>
  <r>
    <s v="SALE1198"/>
    <d v="2025-09-19T00:00:00"/>
    <x v="90"/>
    <s v="PROD96"/>
    <s v="STORE2"/>
    <n v="3"/>
    <n v="583.52"/>
    <n v="7.0000000000000007E-2"/>
    <x v="1"/>
    <n v="1628.0208"/>
    <n v="866762.54200000025"/>
    <n v="1080.7512992518707"/>
    <n v="265"/>
    <s v="High Value"/>
    <s v="Sep-2025"/>
    <s v="Women's Formal Blazer"/>
    <s v="Clothing"/>
    <x v="89"/>
  </r>
  <r>
    <s v="SALE1199"/>
    <d v="2024-06-10T00:00:00"/>
    <x v="44"/>
    <s v="PROD89"/>
    <s v="STORE16"/>
    <n v="2"/>
    <n v="635.22"/>
    <n v="0.3"/>
    <x v="2"/>
    <n v="889.30799999999999"/>
    <n v="865134.52120000042"/>
    <n v="1080.0680664169793"/>
    <n v="264"/>
    <s v="Low Value"/>
    <s v="Jun-2024"/>
    <s v="Face Foundation Kit"/>
    <s v="Beauty"/>
    <x v="44"/>
  </r>
  <r>
    <s v="SALE1200"/>
    <d v="2024-01-22T00:00:00"/>
    <x v="155"/>
    <s v="PROD66"/>
    <s v="STORE2"/>
    <n v="1"/>
    <n v="743.55"/>
    <n v="0.11"/>
    <x v="2"/>
    <n v="661.7595"/>
    <n v="864245.21320000023"/>
    <n v="1080.3065165000003"/>
    <n v="264"/>
    <s v="Low Value"/>
    <s v="Jan-2024"/>
    <s v="Women's Hair Dryer Brush"/>
    <s v="Beauty"/>
    <x v="154"/>
  </r>
  <r>
    <s v="SALE1201"/>
    <d v="2024-03-26T00:00:00"/>
    <x v="210"/>
    <s v="PROD44"/>
    <s v="STORE3"/>
    <n v="4"/>
    <n v="530.45000000000005"/>
    <n v="0.13"/>
    <x v="0"/>
    <n v="1845.9659999999999"/>
    <n v="863583.4537000003"/>
    <n v="1080.8303550688365"/>
    <n v="264"/>
    <s v="High Value"/>
    <s v="Mar-2024"/>
    <s v="Adjustable Jump Rope"/>
    <s v="Sports"/>
    <x v="209"/>
  </r>
  <r>
    <s v="SALE1202"/>
    <d v="2024-03-20T00:00:00"/>
    <x v="105"/>
    <s v="PROD66"/>
    <s v="STORE9"/>
    <n v="2"/>
    <n v="972.4"/>
    <n v="0.06"/>
    <x v="2"/>
    <n v="1828.1120000000001"/>
    <n v="861737.48770000052"/>
    <n v="1079.8715384711786"/>
    <n v="264"/>
    <s v="High Value"/>
    <s v="Mar-2024"/>
    <s v="Women's Hair Dryer Brush"/>
    <s v="Beauty"/>
    <x v="104"/>
  </r>
  <r>
    <s v="SALE1203"/>
    <d v="2025-05-20T00:00:00"/>
    <x v="74"/>
    <s v="PROD15"/>
    <s v="STORE18"/>
    <n v="3"/>
    <n v="197.93"/>
    <n v="0"/>
    <x v="2"/>
    <n v="593.79"/>
    <n v="859909.37570000056"/>
    <n v="1078.9327173149318"/>
    <n v="264"/>
    <s v="Low Value"/>
    <s v="May-2025"/>
    <s v="4K Home Projector"/>
    <s v="Electronics"/>
    <x v="73"/>
  </r>
  <r>
    <s v="SALE1204"/>
    <d v="2024-10-10T00:00:00"/>
    <x v="395"/>
    <s v="PROD87"/>
    <s v="STORE11"/>
    <n v="4"/>
    <n v="565.51"/>
    <n v="0.16"/>
    <x v="1"/>
    <n v="1900.1135999999999"/>
    <n v="859315.58570000029"/>
    <n v="1079.5421930904527"/>
    <n v="264"/>
    <s v="High Value"/>
    <s v="Oct-2024"/>
    <s v="LED Bedside Lamp"/>
    <s v="Home"/>
    <x v="393"/>
  </r>
  <r>
    <s v="SALE1205"/>
    <d v="2024-10-01T00:00:00"/>
    <x v="453"/>
    <s v="PROD39"/>
    <s v="STORE4"/>
    <n v="4"/>
    <n v="983.38"/>
    <n v="0.25"/>
    <x v="2"/>
    <n v="2950.14"/>
    <n v="857415.47210000048"/>
    <n v="1078.5100277987428"/>
    <n v="263"/>
    <s v="High Value"/>
    <s v="Oct-2024"/>
    <s v="Portable Power Bank"/>
    <s v="Electronics"/>
    <x v="451"/>
  </r>
  <r>
    <s v="SALE1206"/>
    <d v="2023-11-22T00:00:00"/>
    <x v="241"/>
    <s v="PROD99"/>
    <s v="STORE9"/>
    <n v="1"/>
    <n v="955.06"/>
    <n v="0.14000000000000001"/>
    <x v="0"/>
    <n v="821.35159999999996"/>
    <n v="854465.33210000035"/>
    <n v="1076.1528112090684"/>
    <n v="263"/>
    <s v="Low Value"/>
    <s v="Nov-2023"/>
    <s v="Stainless Steel Cookware Set"/>
    <s v="Home"/>
    <x v="240"/>
  </r>
  <r>
    <s v="SALE1207"/>
    <d v="2025-02-05T00:00:00"/>
    <x v="316"/>
    <s v="PROD59"/>
    <s v="STORE15"/>
    <n v="3"/>
    <n v="597.46"/>
    <n v="0.02"/>
    <x v="1"/>
    <n v="1756.5324000000001"/>
    <n v="853643.98050000041"/>
    <n v="1076.4741242118541"/>
    <n v="263"/>
    <s v="High Value"/>
    <s v="Feb-2025"/>
    <s v="Men's Hair Styling Gel"/>
    <s v="Beauty"/>
    <x v="314"/>
  </r>
  <r>
    <s v="SALE1208"/>
    <d v="2024-06-03T00:00:00"/>
    <x v="352"/>
    <s v="PROD8"/>
    <s v="STORE16"/>
    <n v="3"/>
    <n v="581.09"/>
    <n v="0.1"/>
    <x v="2"/>
    <n v="1568.943"/>
    <n v="851887.4481000005"/>
    <n v="1075.6154647727278"/>
    <n v="262"/>
    <s v="High Value"/>
    <s v="Jun-2024"/>
    <s v="Wireless Bluetooth Earbuds"/>
    <s v="Electronics"/>
    <x v="350"/>
  </r>
  <r>
    <s v="SALE1209"/>
    <d v="2025-07-24T00:00:00"/>
    <x v="76"/>
    <s v="PROD30"/>
    <s v="STORE4"/>
    <n v="4"/>
    <n v="153.94999999999999"/>
    <n v="0.11"/>
    <x v="1"/>
    <n v="548.06200000000001"/>
    <n v="850318.50510000053"/>
    <n v="1074.9917890012648"/>
    <n v="262"/>
    <s v="Low Value"/>
    <s v="Jul-2025"/>
    <s v="Stainless Steel Cutlery Set"/>
    <s v="Home"/>
    <x v="75"/>
  </r>
  <r>
    <s v="SALE1210"/>
    <d v="2024-08-26T00:00:00"/>
    <x v="150"/>
    <s v="PROD36"/>
    <s v="STORE8"/>
    <n v="4"/>
    <n v="271.04000000000002"/>
    <n v="0.12"/>
    <x v="2"/>
    <n v="954.06080000000009"/>
    <n v="849770.44310000038"/>
    <n v="1075.6587887341777"/>
    <n v="261"/>
    <s v="Low Value"/>
    <s v="Aug-2024"/>
    <s v="Women's Summer Dress"/>
    <s v="Clothing"/>
    <x v="149"/>
  </r>
  <r>
    <s v="SALE1211"/>
    <d v="2024-09-23T00:00:00"/>
    <x v="270"/>
    <s v="PROD35"/>
    <s v="STORE6"/>
    <n v="4"/>
    <n v="328.27"/>
    <n v="0.09"/>
    <x v="1"/>
    <n v="1194.9028000000001"/>
    <n v="848816.38230000052"/>
    <n v="1075.8129053231946"/>
    <n v="261"/>
    <s v="High Value"/>
    <s v="Sep-2024"/>
    <s v="Bedroom Table Lamp"/>
    <s v="Home"/>
    <x v="268"/>
  </r>
  <r>
    <s v="SALE1212"/>
    <d v="2024-06-29T00:00:00"/>
    <x v="187"/>
    <s v="PROD17"/>
    <s v="STORE14"/>
    <n v="4"/>
    <n v="884.71"/>
    <n v="0.09"/>
    <x v="1"/>
    <n v="3220.3444"/>
    <n v="847621.47950000048"/>
    <n v="1075.661776015229"/>
    <n v="260"/>
    <s v="High Value"/>
    <s v="Jun-2024"/>
    <s v="Soccer Training Cone Set"/>
    <s v="Sports"/>
    <x v="186"/>
  </r>
  <r>
    <s v="SALE1213"/>
    <d v="2025-06-01T00:00:00"/>
    <x v="434"/>
    <s v="PROD72"/>
    <s v="STORE4"/>
    <n v="1"/>
    <n v="41.39"/>
    <n v="0.01"/>
    <x v="0"/>
    <n v="40.976100000000002"/>
    <n v="844401.13510000042"/>
    <n v="1072.9366392630247"/>
    <n v="259"/>
    <s v="Low Value"/>
    <s v="Jun-2025"/>
    <s v="Professional Jump Rope"/>
    <s v="Sports"/>
    <x v="432"/>
  </r>
  <r>
    <s v="SALE1214"/>
    <d v="2025-05-06T00:00:00"/>
    <x v="255"/>
    <s v="PROD57"/>
    <s v="STORE9"/>
    <n v="4"/>
    <n v="64.06"/>
    <n v="0.26"/>
    <x v="0"/>
    <n v="189.61760000000001"/>
    <n v="844360.15900000033"/>
    <n v="1074.2495661577611"/>
    <n v="259"/>
    <s v="Low Value"/>
    <s v="May-2025"/>
    <s v="Foam Roller"/>
    <s v="Sports"/>
    <x v="254"/>
  </r>
  <r>
    <s v="SALE1215"/>
    <d v="2025-07-11T00:00:00"/>
    <x v="3"/>
    <s v="PROD46"/>
    <s v="STORE9"/>
    <n v="2"/>
    <n v="152.25"/>
    <n v="0.13"/>
    <x v="0"/>
    <n v="264.91500000000002"/>
    <n v="844170.54140000034"/>
    <n v="1075.3764858598731"/>
    <n v="259"/>
    <s v="Low Value"/>
    <s v="Jul-2025"/>
    <s v="Men's Winter Jacket"/>
    <s v="Clothing"/>
    <x v="3"/>
  </r>
  <r>
    <s v="SALE1216"/>
    <d v="2023-12-21T00:00:00"/>
    <x v="323"/>
    <s v="PROD13"/>
    <s v="STORE19"/>
    <n v="2"/>
    <n v="889.04"/>
    <n v="0.23"/>
    <x v="0"/>
    <n v="1369.1215999999999"/>
    <n v="843905.6264000003"/>
    <n v="1076.4102377551023"/>
    <n v="259"/>
    <s v="High Value"/>
    <s v="Dec-2023"/>
    <s v="USB-C Fast Charger"/>
    <s v="Electronics"/>
    <x v="321"/>
  </r>
  <r>
    <s v="SALE1217"/>
    <d v="2024-01-31T00:00:00"/>
    <x v="261"/>
    <s v="PROD37"/>
    <s v="STORE10"/>
    <n v="3"/>
    <n v="145.25"/>
    <n v="0.24"/>
    <x v="1"/>
    <n v="331.17"/>
    <n v="842536.50480000034"/>
    <n v="1076.0364045977017"/>
    <n v="259"/>
    <s v="Low Value"/>
    <s v="Jan-2024"/>
    <s v="Men's Casual Sneakers"/>
    <s v="Clothing"/>
    <x v="260"/>
  </r>
  <r>
    <s v="SALE1218"/>
    <d v="2024-09-25T00:00:00"/>
    <x v="2"/>
    <s v="PROD88"/>
    <s v="STORE2"/>
    <n v="2"/>
    <n v="898.45"/>
    <n v="0.28999999999999998"/>
    <x v="2"/>
    <n v="1275.799"/>
    <n v="842205.33480000042"/>
    <n v="1076.9889191815862"/>
    <n v="258"/>
    <s v="High Value"/>
    <s v="Sep-2024"/>
    <s v="Sports Wrist Sweatbands"/>
    <s v="Sports"/>
    <x v="2"/>
  </r>
  <r>
    <s v="SALE1219"/>
    <d v="2025-09-05T00:00:00"/>
    <x v="454"/>
    <s v="PROD35"/>
    <s v="STORE15"/>
    <n v="4"/>
    <n v="642.04999999999995"/>
    <n v="0.25"/>
    <x v="0"/>
    <n v="1926.15"/>
    <n v="840929.5358000003"/>
    <n v="1076.7343608194626"/>
    <n v="258"/>
    <s v="High Value"/>
    <s v="Sep-2025"/>
    <s v="Bedroom Table Lamp"/>
    <s v="Home"/>
    <x v="452"/>
  </r>
  <r>
    <s v="SALE1220"/>
    <d v="2024-08-27T00:00:00"/>
    <x v="455"/>
    <s v="PROD84"/>
    <s v="STORE7"/>
    <n v="4"/>
    <n v="450.83"/>
    <n v="0.24"/>
    <x v="0"/>
    <n v="1370.5232000000001"/>
    <n v="839003.3858000004"/>
    <n v="1075.6453664102569"/>
    <n v="258"/>
    <s v="High Value"/>
    <s v="Aug-2024"/>
    <s v="Wooden Bookshelf"/>
    <s v="Home"/>
    <x v="453"/>
  </r>
  <r>
    <s v="SALE1221"/>
    <d v="2023-10-17T00:00:00"/>
    <x v="81"/>
    <s v="PROD52"/>
    <s v="STORE19"/>
    <n v="2"/>
    <n v="441.03"/>
    <n v="0.23"/>
    <x v="2"/>
    <n v="679.18619999999999"/>
    <n v="837632.86260000046"/>
    <n v="1075.2668326059056"/>
    <n v="258"/>
    <s v="Low Value"/>
    <s v="Oct-2023"/>
    <s v="Rugby Ball"/>
    <s v="Sports"/>
    <x v="80"/>
  </r>
  <r>
    <s v="SALE1222"/>
    <d v="2024-04-02T00:00:00"/>
    <x v="196"/>
    <s v="PROD25"/>
    <s v="STORE2"/>
    <n v="3"/>
    <n v="377.69"/>
    <n v="7.0000000000000007E-2"/>
    <x v="1"/>
    <n v="1053.7551000000001"/>
    <n v="836953.67640000035"/>
    <n v="1075.775933676093"/>
    <n v="258"/>
    <s v="High Value"/>
    <s v="Apr-2024"/>
    <s v="Women's Scarf Set"/>
    <s v="Clothing"/>
    <x v="195"/>
  </r>
  <r>
    <s v="SALE1223"/>
    <d v="2024-05-04T00:00:00"/>
    <x v="318"/>
    <s v="PROD10"/>
    <s v="STORE7"/>
    <n v="1"/>
    <n v="457.33"/>
    <n v="0.27"/>
    <x v="0"/>
    <n v="333.85090000000002"/>
    <n v="835899.92130000039"/>
    <n v="1075.804274517375"/>
    <n v="257"/>
    <s v="Low Value"/>
    <s v="May-2024"/>
    <s v="Ceramic Kitchen Bowl Set"/>
    <s v="Home"/>
    <x v="316"/>
  </r>
  <r>
    <s v="SALE1224"/>
    <d v="2025-08-11T00:00:00"/>
    <x v="85"/>
    <s v="PROD76"/>
    <s v="STORE6"/>
    <n v="4"/>
    <n v="218.01"/>
    <n v="0.06"/>
    <x v="0"/>
    <n v="819.71759999999995"/>
    <n v="835566.07040000043"/>
    <n v="1076.7604000000006"/>
    <n v="257"/>
    <s v="Low Value"/>
    <s v="Aug-2025"/>
    <s v="Wireless Mouse"/>
    <s v="Electronics"/>
    <x v="84"/>
  </r>
  <r>
    <s v="SALE1225"/>
    <d v="2025-10-03T00:00:00"/>
    <x v="34"/>
    <s v="PROD92"/>
    <s v="STORE18"/>
    <n v="2"/>
    <n v="682.7"/>
    <n v="0.13"/>
    <x v="0"/>
    <n v="1187.8979999999999"/>
    <n v="834746.35280000034"/>
    <n v="1077.0920681290327"/>
    <n v="257"/>
    <s v="High Value"/>
    <s v="Oct-2025"/>
    <s v="Microwave Oven"/>
    <s v="Home"/>
    <x v="34"/>
  </r>
  <r>
    <s v="SALE1226"/>
    <d v="2024-02-23T00:00:00"/>
    <x v="162"/>
    <s v="PROD19"/>
    <s v="STORE18"/>
    <n v="3"/>
    <n v="726.97"/>
    <n v="0.04"/>
    <x v="1"/>
    <n v="2093.6736000000001"/>
    <n v="833558.45480000053"/>
    <n v="1076.9489080103367"/>
    <n v="257"/>
    <s v="High Value"/>
    <s v="Feb-2024"/>
    <s v="Knee Support Brace"/>
    <s v="Sports"/>
    <x v="161"/>
  </r>
  <r>
    <s v="SALE1227"/>
    <d v="2025-01-24T00:00:00"/>
    <x v="55"/>
    <s v="PROD59"/>
    <s v="STORE9"/>
    <n v="2"/>
    <n v="107.97"/>
    <n v="0.06"/>
    <x v="0"/>
    <n v="202.9836"/>
    <n v="831464.78120000043"/>
    <n v="1075.6336108667535"/>
    <n v="256"/>
    <s v="Low Value"/>
    <s v="Jan-2025"/>
    <s v="Men's Hair Styling Gel"/>
    <s v="Beauty"/>
    <x v="55"/>
  </r>
  <r>
    <s v="SALE1228"/>
    <d v="2025-05-08T00:00:00"/>
    <x v="69"/>
    <s v="PROD5"/>
    <s v="STORE14"/>
    <n v="1"/>
    <n v="38.880000000000003"/>
    <n v="0.16"/>
    <x v="2"/>
    <n v="32.659199999999998"/>
    <n v="831261.79760000028"/>
    <n v="1076.7639865284978"/>
    <n v="256"/>
    <s v="Low Value"/>
    <s v="May-2025"/>
    <s v="Men's Leather Belt"/>
    <s v="Clothing"/>
    <x v="68"/>
  </r>
  <r>
    <s v="SALE1229"/>
    <d v="2025-06-15T00:00:00"/>
    <x v="417"/>
    <s v="PROD16"/>
    <s v="STORE17"/>
    <n v="3"/>
    <n v="484.39"/>
    <n v="0.28999999999999998"/>
    <x v="2"/>
    <n v="1031.7507000000001"/>
    <n v="831229.1384000004"/>
    <n v="1078.1182080415051"/>
    <n v="256"/>
    <s v="High Value"/>
    <s v="Jun-2025"/>
    <s v="Beard Grooming Kit"/>
    <s v="Beauty"/>
    <x v="415"/>
  </r>
  <r>
    <s v="SALE1230"/>
    <d v="2024-10-07T00:00:00"/>
    <x v="456"/>
    <s v="PROD80"/>
    <s v="STORE15"/>
    <n v="2"/>
    <n v="949.3"/>
    <n v="0.08"/>
    <x v="2"/>
    <n v="1746.712"/>
    <n v="830197.38770000043"/>
    <n v="1078.1784255844161"/>
    <n v="256"/>
    <s v="High Value"/>
    <s v="Oct-2024"/>
    <s v="Wall-Mounted Spice Rack"/>
    <s v="Home"/>
    <x v="454"/>
  </r>
  <r>
    <s v="SALE1231"/>
    <d v="2023-11-29T00:00:00"/>
    <x v="207"/>
    <s v="PROD71"/>
    <s v="STORE6"/>
    <n v="3"/>
    <n v="664.75"/>
    <n v="0.12"/>
    <x v="0"/>
    <n v="1754.94"/>
    <n v="828450.67570000037"/>
    <n v="1077.3090711313398"/>
    <n v="256"/>
    <s v="High Value"/>
    <s v="Nov-2023"/>
    <s v="Hair Repair Oil Treatment"/>
    <s v="Beauty"/>
    <x v="206"/>
  </r>
  <r>
    <s v="SALE1232"/>
    <d v="2025-03-24T00:00:00"/>
    <x v="205"/>
    <s v="PROD70"/>
    <s v="STORE17"/>
    <n v="3"/>
    <n v="190.04"/>
    <n v="7.0000000000000007E-2"/>
    <x v="1"/>
    <n v="530.21159999999998"/>
    <n v="826695.73570000043"/>
    <n v="1076.426739192709"/>
    <n v="256"/>
    <s v="Low Value"/>
    <s v="Mar-2025"/>
    <s v="Kitchen Storage Rack"/>
    <s v="Home"/>
    <x v="204"/>
  </r>
  <r>
    <s v="SALE1233"/>
    <d v="2025-07-31T00:00:00"/>
    <x v="107"/>
    <s v="PROD7"/>
    <s v="STORE15"/>
    <n v="3"/>
    <n v="754.02"/>
    <n v="0.1"/>
    <x v="2"/>
    <n v="2035.854"/>
    <n v="826165.52410000039"/>
    <n v="1077.1388840938728"/>
    <n v="255"/>
    <s v="High Value"/>
    <s v="Jul-2025"/>
    <s v="LED Table Lamp"/>
    <s v="Home"/>
    <x v="106"/>
  </r>
  <r>
    <s v="SALE1234"/>
    <d v="2024-08-22T00:00:00"/>
    <x v="304"/>
    <s v="PROD34"/>
    <s v="STORE12"/>
    <n v="4"/>
    <n v="94.13"/>
    <n v="0.04"/>
    <x v="2"/>
    <n v="361.45920000000001"/>
    <n v="824129.67010000034"/>
    <n v="1075.8872977806793"/>
    <n v="255"/>
    <s v="Low Value"/>
    <s v="Aug-2024"/>
    <s v="Gaming Mechanical Keyboard"/>
    <s v="Electronics"/>
    <x v="302"/>
  </r>
  <r>
    <s v="SALE1235"/>
    <d v="2024-07-16T00:00:00"/>
    <x v="228"/>
    <s v="PROD1"/>
    <s v="STORE15"/>
    <n v="3"/>
    <n v="402.3"/>
    <n v="0.21"/>
    <x v="1"/>
    <n v="953.45100000000014"/>
    <n v="823768.21090000041"/>
    <n v="1076.8211907189548"/>
    <n v="255"/>
    <s v="Low Value"/>
    <s v="Jul-2024"/>
    <s v="Men's Graphic T-Shirt"/>
    <s v="Clothing"/>
    <x v="227"/>
  </r>
  <r>
    <s v="SALE1236"/>
    <d v="2025-09-08T00:00:00"/>
    <x v="19"/>
    <s v="PROD86"/>
    <s v="STORE7"/>
    <n v="1"/>
    <n v="729.05"/>
    <n v="0.06"/>
    <x v="2"/>
    <n v="685.3069999999999"/>
    <n v="822814.75990000053"/>
    <n v="1076.9826700261788"/>
    <n v="254"/>
    <s v="Low Value"/>
    <s v="Sep-2025"/>
    <s v="Kitchen Cutting Board"/>
    <s v="Home"/>
    <x v="19"/>
  </r>
  <r>
    <s v="SALE1237"/>
    <d v="2025-09-12T00:00:00"/>
    <x v="211"/>
    <s v="PROD90"/>
    <s v="STORE13"/>
    <n v="1"/>
    <n v="822.6"/>
    <n v="0.28999999999999998"/>
    <x v="1"/>
    <n v="584.04599999999994"/>
    <n v="822129.4529000005"/>
    <n v="1077.496006422019"/>
    <n v="254"/>
    <s v="Low Value"/>
    <s v="Sep-2025"/>
    <s v="Gaming Mouse Pad XL"/>
    <s v="Electronics"/>
    <x v="210"/>
  </r>
  <r>
    <s v="SALE1238"/>
    <d v="2025-04-24T00:00:00"/>
    <x v="425"/>
    <s v="PROD83"/>
    <s v="STORE8"/>
    <n v="2"/>
    <n v="327.25"/>
    <n v="0.19"/>
    <x v="1"/>
    <n v="530.14499999999998"/>
    <n v="821545.40690000041"/>
    <n v="1078.1435786089244"/>
    <n v="253"/>
    <s v="Low Value"/>
    <s v="Apr-2025"/>
    <s v="Hydrating Face Cleanser"/>
    <s v="Beauty"/>
    <x v="423"/>
  </r>
  <r>
    <s v="SALE1239"/>
    <d v="2024-11-23T00:00:00"/>
    <x v="42"/>
    <s v="PROD70"/>
    <s v="STORE9"/>
    <n v="4"/>
    <n v="930.38"/>
    <n v="0"/>
    <x v="2"/>
    <n v="3721.52"/>
    <n v="821015.26190000039"/>
    <n v="1078.8636818659663"/>
    <n v="252"/>
    <s v="High Value"/>
    <s v="Nov-2024"/>
    <s v="Kitchen Storage Rack"/>
    <s v="Home"/>
    <x v="42"/>
  </r>
  <r>
    <s v="SALE1240"/>
    <d v="2024-04-12T00:00:00"/>
    <x v="20"/>
    <s v="PROD27"/>
    <s v="STORE5"/>
    <n v="2"/>
    <n v="437.84"/>
    <n v="0.24"/>
    <x v="0"/>
    <n v="665.51679999999999"/>
    <n v="817293.74190000037"/>
    <n v="1075.3865025000005"/>
    <n v="252"/>
    <s v="Low Value"/>
    <s v="Apr-2024"/>
    <s v="Decorative Floor Vase"/>
    <s v="Home"/>
    <x v="20"/>
  </r>
  <r>
    <s v="SALE1241"/>
    <d v="2025-05-09T00:00:00"/>
    <x v="45"/>
    <s v="PROD16"/>
    <s v="STORE16"/>
    <n v="2"/>
    <n v="126.02"/>
    <n v="0.09"/>
    <x v="2"/>
    <n v="229.35640000000001"/>
    <n v="816628.22510000027"/>
    <n v="1075.9265152832679"/>
    <n v="252"/>
    <s v="Low Value"/>
    <s v="May-2025"/>
    <s v="Beard Grooming Kit"/>
    <s v="Beauty"/>
    <x v="45"/>
  </r>
  <r>
    <s v="SALE1242"/>
    <d v="2025-02-04T00:00:00"/>
    <x v="168"/>
    <s v="PROD83"/>
    <s v="STORE15"/>
    <n v="1"/>
    <n v="860.84"/>
    <n v="7.0000000000000007E-2"/>
    <x v="1"/>
    <n v="800.58119999999997"/>
    <n v="816398.86870000034"/>
    <n v="1077.0433624010559"/>
    <n v="252"/>
    <s v="Low Value"/>
    <s v="Feb-2025"/>
    <s v="Hydrating Face Cleanser"/>
    <s v="Beauty"/>
    <x v="167"/>
  </r>
  <r>
    <s v="SALE1243"/>
    <d v="2025-01-20T00:00:00"/>
    <x v="126"/>
    <s v="PROD48"/>
    <s v="STORE13"/>
    <n v="1"/>
    <n v="161.80000000000001"/>
    <n v="0.24"/>
    <x v="1"/>
    <n v="122.968"/>
    <n v="815598.28750000021"/>
    <n v="1077.4085700132102"/>
    <n v="251"/>
    <s v="Low Value"/>
    <s v="Jan-2025"/>
    <s v="Car Dashboard Phone Holder"/>
    <s v="Electronics"/>
    <x v="125"/>
  </r>
  <r>
    <s v="SALE1244"/>
    <d v="2025-01-12T00:00:00"/>
    <x v="392"/>
    <s v="PROD38"/>
    <s v="STORE17"/>
    <n v="4"/>
    <n v="347.82"/>
    <n v="0.02"/>
    <x v="2"/>
    <n v="1363.4544000000001"/>
    <n v="815475.31950000033"/>
    <n v="1078.671057539683"/>
    <n v="250"/>
    <s v="High Value"/>
    <s v="Jan-2025"/>
    <s v="Sports Water Hydration Pack"/>
    <s v="Sports"/>
    <x v="390"/>
  </r>
  <r>
    <s v="SALE1245"/>
    <d v="2024-01-08T00:00:00"/>
    <x v="32"/>
    <s v="PROD85"/>
    <s v="STORE16"/>
    <n v="3"/>
    <n v="416.44"/>
    <n v="0.27"/>
    <x v="0"/>
    <n v="912.00359999999989"/>
    <n v="814111.86510000017"/>
    <n v="1078.2938610596029"/>
    <n v="250"/>
    <s v="Low Value"/>
    <s v="Jan-2024"/>
    <s v="Women's Beanie Hat"/>
    <s v="Clothing"/>
    <x v="32"/>
  </r>
  <r>
    <s v="SALE1246"/>
    <d v="2025-08-24T00:00:00"/>
    <x v="399"/>
    <s v="PROD62"/>
    <s v="STORE0"/>
    <n v="1"/>
    <n v="147.96"/>
    <n v="0.24"/>
    <x v="2"/>
    <n v="112.4496"/>
    <n v="813199.86150000023"/>
    <n v="1078.5144051724142"/>
    <n v="250"/>
    <s v="Low Value"/>
    <s v="Aug-2025"/>
    <s v="Laptop Cooling Pad"/>
    <s v="Electronics"/>
    <x v="397"/>
  </r>
  <r>
    <s v="SALE1247"/>
    <d v="2024-09-25T00:00:00"/>
    <x v="312"/>
    <s v="PROD18"/>
    <s v="STORE8"/>
    <n v="3"/>
    <n v="550.26"/>
    <n v="0.22"/>
    <x v="0"/>
    <n v="1287.6084000000001"/>
    <n v="813087.4119000003"/>
    <n v="1079.7973597609566"/>
    <n v="250"/>
    <s v="High Value"/>
    <s v="Sep-2024"/>
    <s v="Women's Denim Jeans"/>
    <s v="Clothing"/>
    <x v="310"/>
  </r>
  <r>
    <s v="SALE1248"/>
    <d v="2023-12-07T00:00:00"/>
    <x v="171"/>
    <s v="PROD97"/>
    <s v="STORE7"/>
    <n v="4"/>
    <n v="938.21"/>
    <n v="0.04"/>
    <x v="1"/>
    <n v="3602.7264"/>
    <n v="811799.80350000027"/>
    <n v="1079.5210152925536"/>
    <n v="250"/>
    <s v="High Value"/>
    <s v="Dec-2023"/>
    <s v="Cricket Bat"/>
    <s v="Sports"/>
    <x v="170"/>
  </r>
  <r>
    <s v="SALE1249"/>
    <d v="2024-06-24T00:00:00"/>
    <x v="211"/>
    <s v="PROD94"/>
    <s v="STORE16"/>
    <n v="3"/>
    <n v="517.98"/>
    <n v="0.01"/>
    <x v="1"/>
    <n v="1538.4005999999999"/>
    <n v="808197.07710000023"/>
    <n v="1076.1612211717713"/>
    <n v="249"/>
    <s v="High Value"/>
    <s v="Jun-2024"/>
    <s v="Vitamin E Body Lotion"/>
    <s v="Beauty"/>
    <x v="210"/>
  </r>
  <r>
    <s v="SALE1250"/>
    <d v="2025-07-09T00:00:00"/>
    <x v="357"/>
    <s v="PROD6"/>
    <s v="STORE8"/>
    <n v="1"/>
    <n v="98.27"/>
    <n v="0.16"/>
    <x v="1"/>
    <n v="82.54679999999999"/>
    <n v="806658.67650000041"/>
    <n v="1075.5449020000005"/>
    <n v="248"/>
    <s v="Low Value"/>
    <s v="Jul-2025"/>
    <s v="Herbal Face Moisturizer"/>
    <s v="Beauty"/>
    <x v="355"/>
  </r>
  <r>
    <s v="SALE1251"/>
    <d v="2024-07-07T00:00:00"/>
    <x v="243"/>
    <s v="PROD48"/>
    <s v="STORE11"/>
    <n v="2"/>
    <n v="875.2"/>
    <n v="0.19"/>
    <x v="0"/>
    <n v="1417.8240000000001"/>
    <n v="806576.12970000028"/>
    <n v="1076.8706671562086"/>
    <n v="247"/>
    <s v="High Value"/>
    <s v="Jul-2024"/>
    <s v="Car Dashboard Phone Holder"/>
    <s v="Electronics"/>
    <x v="242"/>
  </r>
  <r>
    <s v="SALE1252"/>
    <d v="2024-02-23T00:00:00"/>
    <x v="428"/>
    <s v="PROD86"/>
    <s v="STORE0"/>
    <n v="1"/>
    <n v="227.35"/>
    <n v="0.06"/>
    <x v="2"/>
    <n v="213.709"/>
    <n v="805158.30570000026"/>
    <n v="1076.4148471925137"/>
    <n v="247"/>
    <s v="Low Value"/>
    <s v="Feb-2024"/>
    <s v="Kitchen Cutting Board"/>
    <s v="Home"/>
    <x v="426"/>
  </r>
  <r>
    <s v="SALE1253"/>
    <d v="2023-11-05T00:00:00"/>
    <x v="256"/>
    <s v="PROD74"/>
    <s v="STORE1"/>
    <n v="1"/>
    <n v="842.46"/>
    <n v="0.05"/>
    <x v="2"/>
    <n v="800.33699999999999"/>
    <n v="804944.59670000023"/>
    <n v="1077.5697412315933"/>
    <n v="247"/>
    <s v="Low Value"/>
    <s v="Nov-2023"/>
    <s v="Bluetooth Car Audio System"/>
    <s v="Electronics"/>
    <x v="255"/>
  </r>
  <r>
    <s v="SALE1254"/>
    <d v="2024-09-08T00:00:00"/>
    <x v="314"/>
    <s v="PROD36"/>
    <s v="STORE11"/>
    <n v="3"/>
    <n v="120.67"/>
    <n v="0.08"/>
    <x v="2"/>
    <n v="333.04919999999998"/>
    <n v="804144.2597000004"/>
    <n v="1077.9413668900809"/>
    <n v="247"/>
    <s v="Low Value"/>
    <s v="Sep-2024"/>
    <s v="Women's Summer Dress"/>
    <s v="Clothing"/>
    <x v="312"/>
  </r>
  <r>
    <s v="SALE1255"/>
    <d v="2024-04-20T00:00:00"/>
    <x v="388"/>
    <s v="PROD20"/>
    <s v="STORE3"/>
    <n v="4"/>
    <n v="176.13"/>
    <n v="0.27"/>
    <x v="1"/>
    <n v="514.29959999999994"/>
    <n v="803811.21050000039"/>
    <n v="1078.9412221476516"/>
    <n v="247"/>
    <s v="Low Value"/>
    <s v="Apr-2024"/>
    <s v="Outdoor Sports Water Bottle"/>
    <s v="Sports"/>
    <x v="386"/>
  </r>
  <r>
    <s v="SALE1256"/>
    <d v="2025-01-14T00:00:00"/>
    <x v="457"/>
    <s v="PROD63"/>
    <s v="STORE11"/>
    <n v="4"/>
    <n v="592.67999999999995"/>
    <n v="0.03"/>
    <x v="0"/>
    <n v="2299.5983999999999"/>
    <n v="803296.91090000013"/>
    <n v="1079.7001490591399"/>
    <n v="246"/>
    <s v="High Value"/>
    <s v="Jan-2025"/>
    <s v="Organic Sunscreen Lotion"/>
    <s v="Beauty"/>
    <x v="455"/>
  </r>
  <r>
    <s v="SALE1257"/>
    <d v="2024-03-16T00:00:00"/>
    <x v="72"/>
    <s v="PROD70"/>
    <s v="STORE4"/>
    <n v="4"/>
    <n v="662.43"/>
    <n v="0.24"/>
    <x v="1"/>
    <n v="2013.7872"/>
    <n v="800997.31250000012"/>
    <n v="1078.0582940780621"/>
    <n v="246"/>
    <s v="High Value"/>
    <s v="Mar-2024"/>
    <s v="Kitchen Storage Rack"/>
    <s v="Home"/>
    <x v="71"/>
  </r>
  <r>
    <s v="SALE1258"/>
    <d v="2024-07-15T00:00:00"/>
    <x v="147"/>
    <s v="PROD43"/>
    <s v="STORE8"/>
    <n v="3"/>
    <n v="518.35"/>
    <n v="0.21"/>
    <x v="2"/>
    <n v="1228.4894999999999"/>
    <n v="798983.52530000021"/>
    <n v="1076.7972039083561"/>
    <n v="245"/>
    <s v="High Value"/>
    <s v="Jul-2024"/>
    <s v="USB External Hard Drive"/>
    <s v="Electronics"/>
    <x v="146"/>
  </r>
  <r>
    <s v="SALE1259"/>
    <d v="2024-08-05T00:00:00"/>
    <x v="441"/>
    <s v="PROD61"/>
    <s v="STORE5"/>
    <n v="1"/>
    <n v="85.58"/>
    <n v="0.1"/>
    <x v="2"/>
    <n v="77.022000000000006"/>
    <n v="797755.03580000007"/>
    <n v="1076.5924909581647"/>
    <n v="245"/>
    <s v="Low Value"/>
    <s v="Aug-2024"/>
    <s v="Tennis Ball 3-Pack"/>
    <s v="Sports"/>
    <x v="439"/>
  </r>
  <r>
    <s v="SALE1260"/>
    <d v="2024-02-01T00:00:00"/>
    <x v="402"/>
    <s v="PROD87"/>
    <s v="STORE1"/>
    <n v="4"/>
    <n v="800"/>
    <n v="0.2"/>
    <x v="0"/>
    <n v="2560"/>
    <n v="797678.01380000019"/>
    <n v="1077.9432618918922"/>
    <n v="245"/>
    <s v="High Value"/>
    <s v="Feb-2024"/>
    <s v="LED Bedside Lamp"/>
    <s v="Home"/>
    <x v="400"/>
  </r>
  <r>
    <s v="SALE1261"/>
    <d v="2025-08-20T00:00:00"/>
    <x v="440"/>
    <s v="PROD60"/>
    <s v="STORE10"/>
    <n v="3"/>
    <n v="118.25"/>
    <n v="0.26"/>
    <x v="1"/>
    <n v="262.51499999999999"/>
    <n v="795118.01380000019"/>
    <n v="1075.9377723951288"/>
    <n v="245"/>
    <s v="Low Value"/>
    <s v="Aug-2025"/>
    <s v="Luxury Perfume Spray"/>
    <s v="Beauty"/>
    <x v="438"/>
  </r>
  <r>
    <s v="SALE1262"/>
    <d v="2023-11-23T00:00:00"/>
    <x v="436"/>
    <s v="PROD32"/>
    <s v="STORE15"/>
    <n v="1"/>
    <n v="223.25"/>
    <n v="0.28999999999999998"/>
    <x v="0"/>
    <n v="158.50749999999999"/>
    <n v="794855.49880000029"/>
    <n v="1077.039971273713"/>
    <n v="244"/>
    <s v="Low Value"/>
    <s v="Nov-2023"/>
    <s v="Vitamin C Face Serum"/>
    <s v="Beauty"/>
    <x v="434"/>
  </r>
  <r>
    <s v="SALE1263"/>
    <d v="2024-08-26T00:00:00"/>
    <x v="115"/>
    <s v="PROD32"/>
    <s v="STORE4"/>
    <n v="3"/>
    <n v="918.76"/>
    <n v="0.2"/>
    <x v="1"/>
    <n v="2205.0239999999999"/>
    <n v="794696.99130000023"/>
    <n v="1078.2862839891454"/>
    <n v="244"/>
    <s v="High Value"/>
    <s v="Aug-2024"/>
    <s v="Vitamin C Face Serum"/>
    <s v="Beauty"/>
    <x v="114"/>
  </r>
  <r>
    <s v="SALE1264"/>
    <d v="2024-07-18T00:00:00"/>
    <x v="432"/>
    <s v="PROD84"/>
    <s v="STORE13"/>
    <n v="2"/>
    <n v="905.26"/>
    <n v="0.15"/>
    <x v="2"/>
    <n v="1538.942"/>
    <n v="792491.96730000025"/>
    <n v="1076.7553903532612"/>
    <n v="243"/>
    <s v="High Value"/>
    <s v="Jul-2024"/>
    <s v="Wooden Bookshelf"/>
    <s v="Home"/>
    <x v="430"/>
  </r>
  <r>
    <s v="SALE1265"/>
    <d v="2024-12-02T00:00:00"/>
    <x v="212"/>
    <s v="PROD16"/>
    <s v="STORE19"/>
    <n v="4"/>
    <n v="295.39999999999998"/>
    <n v="0.23"/>
    <x v="1"/>
    <n v="909.83199999999999"/>
    <n v="790953.02530000021"/>
    <n v="1076.126565034014"/>
    <n v="243"/>
    <s v="Low Value"/>
    <s v="Dec-2024"/>
    <s v="Beard Grooming Kit"/>
    <s v="Beauty"/>
    <x v="211"/>
  </r>
  <r>
    <s v="SALE1266"/>
    <d v="2025-07-23T00:00:00"/>
    <x v="98"/>
    <s v="PROD94"/>
    <s v="STORE5"/>
    <n v="1"/>
    <n v="252.18"/>
    <n v="0.23"/>
    <x v="1"/>
    <n v="194.17859999999999"/>
    <n v="790043.19330000004"/>
    <n v="1076.3531243869211"/>
    <n v="242"/>
    <s v="Low Value"/>
    <s v="Jul-2025"/>
    <s v="Vitamin E Body Lotion"/>
    <s v="Beauty"/>
    <x v="97"/>
  </r>
  <r>
    <s v="SALE1267"/>
    <d v="2025-08-09T00:00:00"/>
    <x v="7"/>
    <s v="PROD97"/>
    <s v="STORE12"/>
    <n v="4"/>
    <n v="792.1"/>
    <n v="0.19"/>
    <x v="2"/>
    <n v="2566.404"/>
    <n v="789849.01470000006"/>
    <n v="1077.5566366984995"/>
    <n v="241"/>
    <s v="High Value"/>
    <s v="Aug-2025"/>
    <s v="Cricket Bat"/>
    <s v="Sports"/>
    <x v="7"/>
  </r>
  <r>
    <s v="SALE1268"/>
    <d v="2024-05-14T00:00:00"/>
    <x v="136"/>
    <s v="PROD88"/>
    <s v="STORE14"/>
    <n v="1"/>
    <n v="883.36"/>
    <n v="0.11"/>
    <x v="1"/>
    <n v="786.19040000000007"/>
    <n v="787282.61070000019"/>
    <n v="1075.5226922131151"/>
    <n v="241"/>
    <s v="Low Value"/>
    <s v="May-2024"/>
    <s v="Sports Wrist Sweatbands"/>
    <s v="Sports"/>
    <x v="135"/>
  </r>
  <r>
    <s v="SALE1269"/>
    <d v="2023-11-01T00:00:00"/>
    <x v="16"/>
    <s v="PROD69"/>
    <s v="STORE0"/>
    <n v="4"/>
    <n v="305.95"/>
    <n v="0.08"/>
    <x v="1"/>
    <n v="1125.896"/>
    <n v="786496.4203"/>
    <n v="1075.9184956224351"/>
    <n v="240"/>
    <s v="High Value"/>
    <s v="Nov-2023"/>
    <s v="Men's Sports Shorts"/>
    <s v="Clothing"/>
    <x v="16"/>
  </r>
  <r>
    <s v="SALE1270"/>
    <d v="2024-11-13T00:00:00"/>
    <x v="123"/>
    <s v="PROD58"/>
    <s v="STORE7"/>
    <n v="3"/>
    <n v="742.45"/>
    <n v="0.23"/>
    <x v="2"/>
    <n v="1715.0595000000001"/>
    <n v="785370.52430000005"/>
    <n v="1075.8500332876713"/>
    <n v="239"/>
    <s v="High Value"/>
    <s v="Nov-2024"/>
    <s v="Womens Cotton Scarf"/>
    <s v="Clothing"/>
    <x v="122"/>
  </r>
  <r>
    <s v="SALE1271"/>
    <d v="2024-04-10T00:00:00"/>
    <x v="394"/>
    <s v="PROD25"/>
    <s v="STORE18"/>
    <n v="3"/>
    <n v="336.1"/>
    <n v="0.12"/>
    <x v="2"/>
    <n v="887.30400000000009"/>
    <n v="783655.46479999984"/>
    <n v="1074.9732027434841"/>
    <n v="239"/>
    <s v="Low Value"/>
    <s v="Apr-2024"/>
    <s v="Women's Scarf Set"/>
    <s v="Clothing"/>
    <x v="392"/>
  </r>
  <r>
    <s v="SALE1272"/>
    <d v="2025-08-07T00:00:00"/>
    <x v="30"/>
    <s v="PROD29"/>
    <s v="STORE7"/>
    <n v="3"/>
    <n v="310.36"/>
    <n v="0.14000000000000001"/>
    <x v="2"/>
    <n v="800.72879999999998"/>
    <n v="782768.16080000007"/>
    <n v="1075.2309901098902"/>
    <n v="239"/>
    <s v="Low Value"/>
    <s v="Aug-2025"/>
    <s v="Fabric Sofa Throw Blanket"/>
    <s v="Home"/>
    <x v="30"/>
  </r>
  <r>
    <s v="SALE1273"/>
    <d v="2025-04-25T00:00:00"/>
    <x v="419"/>
    <s v="PROD98"/>
    <s v="STORE8"/>
    <n v="3"/>
    <n v="992.81"/>
    <n v="0.04"/>
    <x v="1"/>
    <n v="2859.2928000000002"/>
    <n v="781967.43199999991"/>
    <n v="1075.6085722145804"/>
    <n v="239"/>
    <s v="High Value"/>
    <s v="Apr-2025"/>
    <s v="Portable Bluetooth Speaker"/>
    <s v="Electronics"/>
    <x v="417"/>
  </r>
  <r>
    <s v="SALE1274"/>
    <d v="2023-10-18T00:00:00"/>
    <x v="227"/>
    <s v="PROD60"/>
    <s v="STORE11"/>
    <n v="3"/>
    <n v="257.11"/>
    <n v="0.26"/>
    <x v="2"/>
    <n v="570.78420000000006"/>
    <n v="779108.13919999998"/>
    <n v="1073.1517068870523"/>
    <n v="238"/>
    <s v="Low Value"/>
    <s v="Oct-2023"/>
    <s v="Luxury Perfume Spray"/>
    <s v="Beauty"/>
    <x v="226"/>
  </r>
  <r>
    <s v="SALE1275"/>
    <d v="2025-03-23T00:00:00"/>
    <x v="233"/>
    <s v="PROD95"/>
    <s v="STORE12"/>
    <n v="4"/>
    <n v="816.29"/>
    <n v="0.24"/>
    <x v="1"/>
    <n v="2481.5216"/>
    <n v="778537.3550000001"/>
    <n v="1073.844627586207"/>
    <n v="238"/>
    <s v="High Value"/>
    <s v="Mar-2025"/>
    <s v="Sports Stopwatch Basic"/>
    <s v="Sports"/>
    <x v="232"/>
  </r>
  <r>
    <s v="SALE1276"/>
    <d v="2023-12-12T00:00:00"/>
    <x v="397"/>
    <s v="PROD60"/>
    <s v="STORE12"/>
    <n v="4"/>
    <n v="755.82"/>
    <n v="0.22"/>
    <x v="2"/>
    <n v="2358.1583999999998"/>
    <n v="776055.8334"/>
    <n v="1071.9003223756906"/>
    <n v="237"/>
    <s v="High Value"/>
    <s v="Dec-2023"/>
    <s v="Luxury Perfume Spray"/>
    <s v="Beauty"/>
    <x v="395"/>
  </r>
  <r>
    <s v="SALE1277"/>
    <d v="2024-08-20T00:00:00"/>
    <x v="458"/>
    <s v="PROD0"/>
    <s v="STORE14"/>
    <n v="1"/>
    <n v="449.6"/>
    <n v="0.01"/>
    <x v="1"/>
    <n v="445.10399999999998"/>
    <n v="773697.67500000016"/>
    <n v="1070.1212655601662"/>
    <n v="237"/>
    <s v="Low Value"/>
    <s v="Aug-2024"/>
    <s v="Brother Laser Printer"/>
    <s v="Electronics"/>
    <x v="456"/>
  </r>
  <r>
    <s v="SALE1278"/>
    <d v="2024-07-08T00:00:00"/>
    <x v="378"/>
    <s v="PROD14"/>
    <s v="STORE0"/>
    <n v="2"/>
    <n v="779.29"/>
    <n v="0.12"/>
    <x v="2"/>
    <n v="1371.5504000000001"/>
    <n v="773252.57100000011"/>
    <n v="1070.9869404432134"/>
    <n v="236"/>
    <s v="High Value"/>
    <s v="Jul-2024"/>
    <s v="Decorative Wall Mirror"/>
    <s v="Home"/>
    <x v="376"/>
  </r>
  <r>
    <s v="SALE1279"/>
    <d v="2023-12-07T00:00:00"/>
    <x v="9"/>
    <s v="PROD77"/>
    <s v="STORE17"/>
    <n v="1"/>
    <n v="748.75"/>
    <n v="0.1"/>
    <x v="2"/>
    <n v="673.875"/>
    <n v="771881.02060000005"/>
    <n v="1070.5700701803053"/>
    <n v="236"/>
    <s v="Low Value"/>
    <s v="Dec-2023"/>
    <s v="WiFi Mesh Router"/>
    <s v="Electronics"/>
    <x v="9"/>
  </r>
  <r>
    <s v="SALE1280"/>
    <d v="2024-02-06T00:00:00"/>
    <x v="282"/>
    <s v="PROD89"/>
    <s v="STORE0"/>
    <n v="2"/>
    <n v="121.67"/>
    <n v="0.08"/>
    <x v="2"/>
    <n v="223.87280000000001"/>
    <n v="771207.14560000005"/>
    <n v="1071.1210355555556"/>
    <n v="236"/>
    <s v="Low Value"/>
    <s v="Feb-2024"/>
    <s v="Face Foundation Kit"/>
    <s v="Beauty"/>
    <x v="280"/>
  </r>
  <r>
    <s v="SALE1281"/>
    <d v="2025-05-10T00:00:00"/>
    <x v="36"/>
    <s v="PROD49"/>
    <s v="STORE15"/>
    <n v="3"/>
    <n v="225.14"/>
    <n v="0.15"/>
    <x v="2"/>
    <n v="574.10699999999997"/>
    <n v="770983.27280000004"/>
    <n v="1072.2994058414465"/>
    <n v="236"/>
    <s v="Low Value"/>
    <s v="May-2025"/>
    <s v="Men's Roll-On Perfume"/>
    <s v="Beauty"/>
    <x v="36"/>
  </r>
  <r>
    <s v="SALE1282"/>
    <d v="2025-08-07T00:00:00"/>
    <x v="84"/>
    <s v="PROD29"/>
    <s v="STORE19"/>
    <n v="1"/>
    <n v="654.17999999999995"/>
    <n v="0.19"/>
    <x v="1"/>
    <n v="529.88580000000002"/>
    <n v="770409.16580000019"/>
    <n v="1072.9932671309195"/>
    <n v="236"/>
    <s v="Low Value"/>
    <s v="Aug-2025"/>
    <s v="Fabric Sofa Throw Blanket"/>
    <s v="Home"/>
    <x v="83"/>
  </r>
  <r>
    <s v="SALE1283"/>
    <d v="2024-09-17T00:00:00"/>
    <x v="63"/>
    <s v="PROD71"/>
    <s v="STORE5"/>
    <n v="2"/>
    <n v="504.98"/>
    <n v="0.08"/>
    <x v="2"/>
    <n v="929.16320000000007"/>
    <n v="769879.28000000014"/>
    <n v="1073.7507391910742"/>
    <n v="235"/>
    <s v="Low Value"/>
    <s v="Sep-2024"/>
    <s v="Hair Repair Oil Treatment"/>
    <s v="Beauty"/>
    <x v="62"/>
  </r>
  <r>
    <s v="SALE1284"/>
    <d v="2025-06-15T00:00:00"/>
    <x v="74"/>
    <s v="PROD54"/>
    <s v="STORE8"/>
    <n v="2"/>
    <n v="623.20000000000005"/>
    <n v="0.14000000000000001"/>
    <x v="2"/>
    <n v="1071.904"/>
    <n v="768950.11680000008"/>
    <n v="1073.9526770949722"/>
    <n v="235"/>
    <s v="High Value"/>
    <s v="Jun-2025"/>
    <s v="Sports Stopwatch Pro"/>
    <s v="Sports"/>
    <x v="73"/>
  </r>
  <r>
    <s v="SALE1285"/>
    <d v="2024-11-26T00:00:00"/>
    <x v="88"/>
    <s v="PROD5"/>
    <s v="STORE16"/>
    <n v="2"/>
    <n v="530.54"/>
    <n v="0.28000000000000003"/>
    <x v="2"/>
    <n v="763.97759999999994"/>
    <n v="767878.21279999998"/>
    <n v="1073.9555423776224"/>
    <n v="235"/>
    <s v="Low Value"/>
    <s v="Nov-2024"/>
    <s v="Men's Leather Belt"/>
    <s v="Clothing"/>
    <x v="87"/>
  </r>
  <r>
    <s v="SALE1286"/>
    <d v="2025-06-02T00:00:00"/>
    <x v="317"/>
    <s v="PROD0"/>
    <s v="STORE16"/>
    <n v="3"/>
    <n v="279.45"/>
    <n v="0.15"/>
    <x v="2"/>
    <n v="712.59749999999985"/>
    <n v="767114.23519999988"/>
    <n v="1074.3896851540615"/>
    <n v="235"/>
    <s v="Low Value"/>
    <s v="Jun-2025"/>
    <s v="Brother Laser Printer"/>
    <s v="Electronics"/>
    <x v="315"/>
  </r>
  <r>
    <s v="SALE1287"/>
    <d v="2024-12-19T00:00:00"/>
    <x v="176"/>
    <s v="PROD12"/>
    <s v="STORE8"/>
    <n v="3"/>
    <n v="906.99"/>
    <n v="0.26"/>
    <x v="2"/>
    <n v="2013.5178000000001"/>
    <n v="766401.63769999996"/>
    <n v="1074.8971075736324"/>
    <n v="235"/>
    <s v="High Value"/>
    <s v="Dec-2024"/>
    <s v="Hair Strengthening Shampoo"/>
    <s v="Beauty"/>
    <x v="175"/>
  </r>
  <r>
    <s v="SALE1288"/>
    <d v="2025-04-02T00:00:00"/>
    <x v="45"/>
    <s v="PROD80"/>
    <s v="STORE17"/>
    <n v="4"/>
    <n v="408.76"/>
    <n v="0.12"/>
    <x v="2"/>
    <n v="1438.8352"/>
    <n v="764388.11989999993"/>
    <n v="1073.5788200842696"/>
    <n v="235"/>
    <s v="High Value"/>
    <s v="Apr-2025"/>
    <s v="Wall-Mounted Spice Rack"/>
    <s v="Home"/>
    <x v="45"/>
  </r>
  <r>
    <s v="SALE1289"/>
    <d v="2024-09-02T00:00:00"/>
    <x v="372"/>
    <s v="PROD36"/>
    <s v="STORE9"/>
    <n v="2"/>
    <n v="117.34"/>
    <n v="0.09"/>
    <x v="1"/>
    <n v="213.55879999999999"/>
    <n v="762949.28470000008"/>
    <n v="1073.0650980309424"/>
    <n v="235"/>
    <s v="Low Value"/>
    <s v="Sep-2024"/>
    <s v="Women's Summer Dress"/>
    <s v="Clothing"/>
    <x v="370"/>
  </r>
  <r>
    <s v="SALE1290"/>
    <d v="2024-03-25T00:00:00"/>
    <x v="64"/>
    <s v="PROD91"/>
    <s v="STORE14"/>
    <n v="3"/>
    <n v="690.27"/>
    <n v="7.0000000000000007E-2"/>
    <x v="1"/>
    <n v="1925.8533"/>
    <n v="762735.72590000008"/>
    <n v="1074.2756702816903"/>
    <n v="234"/>
    <s v="High Value"/>
    <s v="Mar-2024"/>
    <s v="Women's High Heels"/>
    <s v="Clothing"/>
    <x v="63"/>
  </r>
  <r>
    <s v="SALE1291"/>
    <d v="2025-02-21T00:00:00"/>
    <x v="140"/>
    <s v="PROD28"/>
    <s v="STORE17"/>
    <n v="4"/>
    <n v="377.18"/>
    <n v="0.24"/>
    <x v="1"/>
    <n v="1146.6271999999999"/>
    <n v="760809.8726"/>
    <n v="1073.0745734837799"/>
    <n v="233"/>
    <s v="High Value"/>
    <s v="Feb-2025"/>
    <s v="Sports Stopwatch Timer"/>
    <s v="Sports"/>
    <x v="139"/>
  </r>
  <r>
    <s v="SALE1292"/>
    <d v="2024-06-03T00:00:00"/>
    <x v="459"/>
    <s v="PROD40"/>
    <s v="STORE0"/>
    <n v="1"/>
    <n v="70.52"/>
    <n v="0.08"/>
    <x v="2"/>
    <n v="64.878399999999999"/>
    <n v="759663.24540000001"/>
    <n v="1072.9706855932204"/>
    <n v="232"/>
    <s v="Low Value"/>
    <s v="Jun-2024"/>
    <s v="Noise-Canceling Headphones"/>
    <s v="Electronics"/>
    <x v="457"/>
  </r>
  <r>
    <s v="SALE1293"/>
    <d v="2024-02-08T00:00:00"/>
    <x v="185"/>
    <s v="PROD38"/>
    <s v="STORE9"/>
    <n v="1"/>
    <n v="40.25"/>
    <n v="0.1"/>
    <x v="1"/>
    <n v="36.225000000000001"/>
    <n v="759598.3670000002"/>
    <n v="1074.3965586987274"/>
    <n v="232"/>
    <s v="Low Value"/>
    <s v="Feb-2024"/>
    <s v="Sports Water Hydration Pack"/>
    <s v="Sports"/>
    <x v="184"/>
  </r>
  <r>
    <s v="SALE1294"/>
    <d v="2024-04-06T00:00:00"/>
    <x v="309"/>
    <s v="PROD89"/>
    <s v="STORE11"/>
    <n v="3"/>
    <n v="539.44000000000005"/>
    <n v="0.05"/>
    <x v="2"/>
    <n v="1537.404"/>
    <n v="759562.14200000011"/>
    <n v="1075.8670566572239"/>
    <n v="231"/>
    <s v="High Value"/>
    <s v="Apr-2024"/>
    <s v="Face Foundation Kit"/>
    <s v="Beauty"/>
    <x v="307"/>
  </r>
  <r>
    <s v="SALE1295"/>
    <d v="2024-01-22T00:00:00"/>
    <x v="400"/>
    <s v="PROD60"/>
    <s v="STORE4"/>
    <n v="3"/>
    <n v="543.49"/>
    <n v="0.05"/>
    <x v="1"/>
    <n v="1548.9465"/>
    <n v="758024.73800000001"/>
    <n v="1075.2123943262411"/>
    <n v="231"/>
    <s v="High Value"/>
    <s v="Jan-2024"/>
    <s v="Luxury Perfume Spray"/>
    <s v="Beauty"/>
    <x v="398"/>
  </r>
  <r>
    <s v="SALE1296"/>
    <d v="2023-10-22T00:00:00"/>
    <x v="49"/>
    <s v="PROD7"/>
    <s v="STORE6"/>
    <n v="4"/>
    <n v="547.21"/>
    <n v="0.1"/>
    <x v="2"/>
    <n v="1969.9559999999999"/>
    <n v="756475.79149999993"/>
    <n v="1074.5394765624999"/>
    <n v="230"/>
    <s v="High Value"/>
    <s v="Oct-2023"/>
    <s v="LED Table Lamp"/>
    <s v="Home"/>
    <x v="49"/>
  </r>
  <r>
    <s v="SALE1297"/>
    <d v="2024-11-23T00:00:00"/>
    <x v="254"/>
    <s v="PROD65"/>
    <s v="STORE1"/>
    <n v="2"/>
    <n v="892.46"/>
    <n v="7.0000000000000007E-2"/>
    <x v="1"/>
    <n v="1659.9756"/>
    <n v="754505.83549999993"/>
    <n v="1073.265768847795"/>
    <n v="230"/>
    <s v="High Value"/>
    <s v="Nov-2024"/>
    <s v="Adjustable Dumbbells 20kg"/>
    <s v="Sports"/>
    <x v="253"/>
  </r>
  <r>
    <s v="SALE1298"/>
    <d v="2023-12-26T00:00:00"/>
    <x v="391"/>
    <s v="PROD26"/>
    <s v="STORE8"/>
    <n v="2"/>
    <n v="853.41"/>
    <n v="0.25"/>
    <x v="0"/>
    <n v="1280.115"/>
    <n v="752845.85989999992"/>
    <n v="1072.4299998575498"/>
    <n v="229"/>
    <s v="High Value"/>
    <s v="Dec-2023"/>
    <s v="Wireless Bluetooth Speaker"/>
    <s v="Electronics"/>
    <x v="389"/>
  </r>
  <r>
    <s v="SALE1299"/>
    <d v="2024-06-08T00:00:00"/>
    <x v="407"/>
    <s v="PROD82"/>
    <s v="STORE7"/>
    <n v="1"/>
    <n v="162.13999999999999"/>
    <n v="7.0000000000000007E-2"/>
    <x v="1"/>
    <n v="150.7902"/>
    <n v="751565.74490000017"/>
    <n v="1072.1337302425109"/>
    <n v="229"/>
    <s v="Low Value"/>
    <s v="Jun-2024"/>
    <s v="Fitness Resistance Bands"/>
    <s v="Sports"/>
    <x v="405"/>
  </r>
  <r>
    <s v="SALE1300"/>
    <d v="2024-07-05T00:00:00"/>
    <x v="347"/>
    <s v="PROD96"/>
    <s v="STORE16"/>
    <n v="1"/>
    <n v="893.14"/>
    <n v="0.09"/>
    <x v="0"/>
    <n v="812.75739999999996"/>
    <n v="751414.9547"/>
    <n v="1073.4499352857142"/>
    <n v="228"/>
    <s v="Low Value"/>
    <s v="Jul-2024"/>
    <s v="Women's Formal Blazer"/>
    <s v="Clothing"/>
    <x v="345"/>
  </r>
  <r>
    <s v="SALE1301"/>
    <d v="2024-08-24T00:00:00"/>
    <x v="202"/>
    <s v="PROD34"/>
    <s v="STORE8"/>
    <n v="4"/>
    <n v="349.07"/>
    <n v="0.28000000000000003"/>
    <x v="0"/>
    <n v="1005.3216"/>
    <n v="750602.19730000023"/>
    <n v="1073.8228859799717"/>
    <n v="228"/>
    <s v="High Value"/>
    <s v="Aug-2024"/>
    <s v="Gaming Mechanical Keyboard"/>
    <s v="Electronics"/>
    <x v="201"/>
  </r>
  <r>
    <s v="SALE1302"/>
    <d v="2024-05-06T00:00:00"/>
    <x v="413"/>
    <s v="PROD81"/>
    <s v="STORE13"/>
    <n v="1"/>
    <n v="747.9"/>
    <n v="0.21"/>
    <x v="2"/>
    <n v="590.84100000000001"/>
    <n v="749596.87570000009"/>
    <n v="1073.9210253581664"/>
    <n v="228"/>
    <s v="Low Value"/>
    <s v="May-2024"/>
    <s v="Badminton Racket Set"/>
    <s v="Sports"/>
    <x v="411"/>
  </r>
  <r>
    <s v="SALE1303"/>
    <d v="2024-07-05T00:00:00"/>
    <x v="189"/>
    <s v="PROD81"/>
    <s v="STORE6"/>
    <n v="3"/>
    <n v="438.92"/>
    <n v="0.21"/>
    <x v="0"/>
    <n v="1040.2403999999999"/>
    <n v="749006.03470000008"/>
    <n v="1074.6141100430418"/>
    <n v="228"/>
    <s v="High Value"/>
    <s v="Jul-2024"/>
    <s v="Badminton Racket Set"/>
    <s v="Sports"/>
    <x v="188"/>
  </r>
  <r>
    <s v="SALE1304"/>
    <d v="2023-11-02T00:00:00"/>
    <x v="331"/>
    <s v="PROD77"/>
    <s v="STORE4"/>
    <n v="4"/>
    <n v="665.38"/>
    <n v="0.18"/>
    <x v="0"/>
    <n v="2182.4463999999998"/>
    <n v="747965.79430000007"/>
    <n v="1074.6634975574714"/>
    <n v="228"/>
    <s v="High Value"/>
    <s v="Nov-2023"/>
    <s v="WiFi Mesh Router"/>
    <s v="Electronics"/>
    <x v="329"/>
  </r>
  <r>
    <s v="SALE1305"/>
    <d v="2024-11-20T00:00:00"/>
    <x v="458"/>
    <s v="PROD60"/>
    <s v="STORE18"/>
    <n v="1"/>
    <n v="146.49"/>
    <n v="0.28000000000000003"/>
    <x v="0"/>
    <n v="105.47280000000001"/>
    <n v="745783.34790000005"/>
    <n v="1073.069565323741"/>
    <n v="228"/>
    <s v="Low Value"/>
    <s v="Nov-2024"/>
    <s v="Luxury Perfume Spray"/>
    <s v="Beauty"/>
    <x v="456"/>
  </r>
  <r>
    <s v="SALE1306"/>
    <d v="2025-04-27T00:00:00"/>
    <x v="379"/>
    <s v="PROD38"/>
    <s v="STORE15"/>
    <n v="2"/>
    <n v="235.39"/>
    <n v="0.27"/>
    <x v="2"/>
    <n v="343.6694"/>
    <n v="745677.87509999995"/>
    <n v="1074.4637969740634"/>
    <n v="228"/>
    <s v="Low Value"/>
    <s v="Apr-2025"/>
    <s v="Sports Water Hydration Pack"/>
    <s v="Sports"/>
    <x v="377"/>
  </r>
  <r>
    <s v="SALE1307"/>
    <d v="2024-12-25T00:00:00"/>
    <x v="29"/>
    <s v="PROD61"/>
    <s v="STORE5"/>
    <n v="3"/>
    <n v="38.07"/>
    <n v="0.09"/>
    <x v="1"/>
    <n v="103.9311"/>
    <n v="745334.20570000017"/>
    <n v="1075.5183343434346"/>
    <n v="228"/>
    <s v="Low Value"/>
    <s v="Dec-2024"/>
    <s v="Tennis Ball 3-Pack"/>
    <s v="Sports"/>
    <x v="29"/>
  </r>
  <r>
    <s v="SALE1308"/>
    <d v="2025-09-02T00:00:00"/>
    <x v="75"/>
    <s v="PROD34"/>
    <s v="STORE4"/>
    <n v="2"/>
    <n v="511.7"/>
    <n v="0.12"/>
    <x v="2"/>
    <n v="900.59199999999998"/>
    <n v="745230.2746"/>
    <n v="1076.9223621387284"/>
    <n v="227"/>
    <s v="Low Value"/>
    <s v="Sep-2025"/>
    <s v="Gaming Mechanical Keyboard"/>
    <s v="Electronics"/>
    <x v="74"/>
  </r>
  <r>
    <s v="SALE1309"/>
    <d v="2024-04-19T00:00:00"/>
    <x v="325"/>
    <s v="PROD75"/>
    <s v="STORE8"/>
    <n v="4"/>
    <n v="488.72"/>
    <n v="0.23"/>
    <x v="1"/>
    <n v="1505.2575999999999"/>
    <n v="744329.68260000017"/>
    <n v="1077.1775435600582"/>
    <n v="227"/>
    <s v="High Value"/>
    <s v="Apr-2024"/>
    <s v="Women's Ankle Boots"/>
    <s v="Clothing"/>
    <x v="323"/>
  </r>
  <r>
    <s v="SALE1310"/>
    <d v="2025-03-01T00:00:00"/>
    <x v="277"/>
    <s v="PROD50"/>
    <s v="STORE12"/>
    <n v="2"/>
    <n v="520.45000000000005"/>
    <n v="0.11"/>
    <x v="2"/>
    <n v="926.40100000000007"/>
    <n v="742824.42500000016"/>
    <n v="1076.5571376811597"/>
    <n v="226"/>
    <s v="Low Value"/>
    <s v="Mar-2025"/>
    <s v="Boxing Hand Wraps"/>
    <s v="Sports"/>
    <x v="275"/>
  </r>
  <r>
    <s v="SALE1311"/>
    <d v="2024-03-25T00:00:00"/>
    <x v="450"/>
    <s v="PROD48"/>
    <s v="STORE5"/>
    <n v="1"/>
    <n v="340.9"/>
    <n v="0.28999999999999998"/>
    <x v="0"/>
    <n v="242.03899999999999"/>
    <n v="741898.02400000009"/>
    <n v="1076.7750711175618"/>
    <n v="226"/>
    <s v="Low Value"/>
    <s v="Mar-2024"/>
    <s v="Car Dashboard Phone Holder"/>
    <s v="Electronics"/>
    <x v="448"/>
  </r>
  <r>
    <s v="SALE1312"/>
    <d v="2024-10-11T00:00:00"/>
    <x v="3"/>
    <s v="PROD31"/>
    <s v="STORE8"/>
    <n v="3"/>
    <n v="653.59"/>
    <n v="0.17"/>
    <x v="2"/>
    <n v="1627.4391000000001"/>
    <n v="741655.9850000001"/>
    <n v="1077.9883502906978"/>
    <n v="226"/>
    <s v="High Value"/>
    <s v="Oct-2024"/>
    <s v="Basketball"/>
    <s v="Sports"/>
    <x v="3"/>
  </r>
  <r>
    <s v="SALE1313"/>
    <d v="2025-09-06T00:00:00"/>
    <x v="460"/>
    <s v="PROD26"/>
    <s v="STORE18"/>
    <n v="1"/>
    <n v="179.77"/>
    <n v="0.23"/>
    <x v="2"/>
    <n v="138.4229"/>
    <n v="740028.54590000014"/>
    <n v="1077.1885675400292"/>
    <n v="226"/>
    <s v="Low Value"/>
    <s v="Sep-2025"/>
    <s v="Wireless Bluetooth Speaker"/>
    <s v="Electronics"/>
    <x v="458"/>
  </r>
  <r>
    <s v="SALE1314"/>
    <d v="2024-08-19T00:00:00"/>
    <x v="46"/>
    <s v="PROD0"/>
    <s v="STORE9"/>
    <n v="2"/>
    <n v="943.8"/>
    <n v="0.06"/>
    <x v="0"/>
    <n v="1774.3440000000001"/>
    <n v="739890.12300000014"/>
    <n v="1078.5570306122452"/>
    <n v="226"/>
    <s v="High Value"/>
    <s v="Aug-2024"/>
    <s v="Brother Laser Printer"/>
    <s v="Electronics"/>
    <x v="46"/>
  </r>
  <r>
    <s v="SALE1315"/>
    <d v="2023-11-04T00:00:00"/>
    <x v="0"/>
    <s v="PROD71"/>
    <s v="STORE15"/>
    <n v="2"/>
    <n v="985"/>
    <n v="0.25"/>
    <x v="0"/>
    <n v="1477.5"/>
    <n v="738115.77900000021"/>
    <n v="1077.5412832116792"/>
    <n v="226"/>
    <s v="High Value"/>
    <s v="Nov-2023"/>
    <s v="Hair Repair Oil Treatment"/>
    <s v="Beauty"/>
    <x v="0"/>
  </r>
  <r>
    <s v="SALE1316"/>
    <d v="2024-04-23T00:00:00"/>
    <x v="144"/>
    <s v="PROD88"/>
    <s v="STORE10"/>
    <n v="4"/>
    <n v="216.81"/>
    <n v="0.28999999999999998"/>
    <x v="0"/>
    <n v="615.74040000000002"/>
    <n v="736638.27900000021"/>
    <n v="1076.9565482456144"/>
    <n v="226"/>
    <s v="Low Value"/>
    <s v="Apr-2024"/>
    <s v="Sports Wrist Sweatbands"/>
    <s v="Sports"/>
    <x v="143"/>
  </r>
  <r>
    <s v="SALE1317"/>
    <d v="2023-10-24T00:00:00"/>
    <x v="355"/>
    <s v="PROD64"/>
    <s v="STORE2"/>
    <n v="4"/>
    <n v="950.21"/>
    <n v="0.27"/>
    <x v="2"/>
    <n v="2774.6131999999998"/>
    <n v="736022.5386000002"/>
    <n v="1077.631828111274"/>
    <n v="226"/>
    <s v="High Value"/>
    <s v="Oct-2023"/>
    <s v="Matte Lipstick Set"/>
    <s v="Beauty"/>
    <x v="353"/>
  </r>
  <r>
    <s v="SALE1318"/>
    <d v="2025-06-30T00:00:00"/>
    <x v="142"/>
    <s v="PROD48"/>
    <s v="STORE7"/>
    <n v="2"/>
    <n v="271.39999999999998"/>
    <n v="0.17"/>
    <x v="1"/>
    <n v="450.52399999999989"/>
    <n v="733247.92540000018"/>
    <n v="1075.1435856304988"/>
    <n v="226"/>
    <s v="Low Value"/>
    <s v="Jun-2025"/>
    <s v="Car Dashboard Phone Holder"/>
    <s v="Electronics"/>
    <x v="141"/>
  </r>
  <r>
    <s v="SALE1319"/>
    <d v="2025-08-14T00:00:00"/>
    <x v="64"/>
    <s v="PROD39"/>
    <s v="STORE8"/>
    <n v="4"/>
    <n v="708.19"/>
    <n v="0.1"/>
    <x v="1"/>
    <n v="2549.4839999999999"/>
    <n v="732797.40140000021"/>
    <n v="1076.0607950073424"/>
    <n v="225"/>
    <s v="High Value"/>
    <s v="Aug-2025"/>
    <s v="Portable Power Bank"/>
    <s v="Electronics"/>
    <x v="63"/>
  </r>
  <r>
    <s v="SALE1320"/>
    <d v="2025-05-11T00:00:00"/>
    <x v="433"/>
    <s v="PROD54"/>
    <s v="STORE3"/>
    <n v="3"/>
    <n v="477.05"/>
    <n v="0.05"/>
    <x v="1"/>
    <n v="1359.5925"/>
    <n v="730247.91740000003"/>
    <n v="1073.8939961764706"/>
    <n v="224"/>
    <s v="High Value"/>
    <s v="May-2025"/>
    <s v="Sports Stopwatch Pro"/>
    <s v="Sports"/>
    <x v="431"/>
  </r>
  <r>
    <s v="SALE1321"/>
    <d v="2024-04-01T00:00:00"/>
    <x v="132"/>
    <s v="PROD74"/>
    <s v="STORE9"/>
    <n v="3"/>
    <n v="627.29"/>
    <n v="0.27"/>
    <x v="2"/>
    <n v="1373.7651000000001"/>
    <n v="728888.32490000001"/>
    <n v="1073.4732325478644"/>
    <n v="223"/>
    <s v="High Value"/>
    <s v="Apr-2024"/>
    <s v="Bluetooth Car Audio System"/>
    <s v="Electronics"/>
    <x v="131"/>
  </r>
  <r>
    <s v="SALE1322"/>
    <d v="2024-02-13T00:00:00"/>
    <x v="235"/>
    <s v="PROD94"/>
    <s v="STORE11"/>
    <n v="3"/>
    <n v="206.84"/>
    <n v="0.19"/>
    <x v="1"/>
    <n v="502.62119999999999"/>
    <n v="727514.55980000005"/>
    <n v="1073.0303241887907"/>
    <n v="223"/>
    <s v="Low Value"/>
    <s v="Feb-2024"/>
    <s v="Vitamin E Body Lotion"/>
    <s v="Beauty"/>
    <x v="234"/>
  </r>
  <r>
    <s v="SALE1323"/>
    <d v="2024-01-13T00:00:00"/>
    <x v="243"/>
    <s v="PROD30"/>
    <s v="STORE1"/>
    <n v="4"/>
    <n v="629.04999999999995"/>
    <n v="0.26"/>
    <x v="0"/>
    <n v="1861.9880000000001"/>
    <n v="727011.93859999999"/>
    <n v="1073.8728782865583"/>
    <n v="222"/>
    <s v="High Value"/>
    <s v="Jan-2024"/>
    <s v="Stainless Steel Cutlery Set"/>
    <s v="Home"/>
    <x v="242"/>
  </r>
  <r>
    <s v="SALE1324"/>
    <d v="2024-09-08T00:00:00"/>
    <x v="240"/>
    <s v="PROD74"/>
    <s v="STORE17"/>
    <n v="4"/>
    <n v="529.04"/>
    <n v="0.1"/>
    <x v="1"/>
    <n v="1904.5440000000001"/>
    <n v="725149.9506000001"/>
    <n v="1072.707027514793"/>
    <n v="222"/>
    <s v="High Value"/>
    <s v="Sep-2024"/>
    <s v="Bluetooth Car Audio System"/>
    <s v="Electronics"/>
    <x v="239"/>
  </r>
  <r>
    <s v="SALE1325"/>
    <d v="2024-02-04T00:00:00"/>
    <x v="116"/>
    <s v="PROD30"/>
    <s v="STORE17"/>
    <n v="1"/>
    <n v="350.67"/>
    <n v="0.22"/>
    <x v="1"/>
    <n v="273.52260000000001"/>
    <n v="723245.40659999999"/>
    <n v="1071.4746764444444"/>
    <n v="221"/>
    <s v="Low Value"/>
    <s v="Feb-2024"/>
    <s v="Stainless Steel Cutlery Set"/>
    <s v="Home"/>
    <x v="115"/>
  </r>
  <r>
    <s v="SALE1326"/>
    <d v="2024-07-25T00:00:00"/>
    <x v="171"/>
    <s v="PROD95"/>
    <s v="STORE1"/>
    <n v="1"/>
    <n v="128.93"/>
    <n v="0.26"/>
    <x v="0"/>
    <n v="95.408200000000008"/>
    <n v="722971.88400000008"/>
    <n v="1072.6585816023739"/>
    <n v="220"/>
    <s v="Low Value"/>
    <s v="Jul-2024"/>
    <s v="Sports Stopwatch Basic"/>
    <s v="Sports"/>
    <x v="170"/>
  </r>
  <r>
    <s v="SALE1327"/>
    <d v="2024-09-09T00:00:00"/>
    <x v="281"/>
    <s v="PROD86"/>
    <s v="STORE15"/>
    <n v="2"/>
    <n v="384.92"/>
    <n v="0.09"/>
    <x v="0"/>
    <n v="700.5544000000001"/>
    <n v="722876.47580000001"/>
    <n v="1074.1106624071322"/>
    <n v="220"/>
    <s v="Low Value"/>
    <s v="Sep-2024"/>
    <s v="Kitchen Cutting Board"/>
    <s v="Home"/>
    <x v="279"/>
  </r>
  <r>
    <s v="SALE1328"/>
    <d v="2023-12-08T00:00:00"/>
    <x v="159"/>
    <s v="PROD5"/>
    <s v="STORE8"/>
    <n v="3"/>
    <n v="120.77"/>
    <n v="0.28999999999999998"/>
    <x v="1"/>
    <n v="257.24009999999998"/>
    <n v="722175.92140000011"/>
    <n v="1074.6665497023812"/>
    <n v="220"/>
    <s v="Low Value"/>
    <s v="Dec-2023"/>
    <s v="Men's Leather Belt"/>
    <s v="Clothing"/>
    <x v="158"/>
  </r>
  <r>
    <s v="SALE1329"/>
    <d v="2025-06-16T00:00:00"/>
    <x v="248"/>
    <s v="PROD76"/>
    <s v="STORE17"/>
    <n v="4"/>
    <n v="661.39"/>
    <n v="7.0000000000000007E-2"/>
    <x v="0"/>
    <n v="2460.3708000000001"/>
    <n v="721918.68130000005"/>
    <n v="1075.8847709388972"/>
    <n v="219"/>
    <s v="High Value"/>
    <s v="Jun-2025"/>
    <s v="Wireless Mouse"/>
    <s v="Electronics"/>
    <x v="247"/>
  </r>
  <r>
    <s v="SALE1330"/>
    <d v="2023-12-01T00:00:00"/>
    <x v="194"/>
    <s v="PROD62"/>
    <s v="STORE2"/>
    <n v="1"/>
    <n v="195.24"/>
    <n v="0.27"/>
    <x v="1"/>
    <n v="142.52520000000001"/>
    <n v="719458.31050000014"/>
    <n v="1073.8183738805972"/>
    <n v="219"/>
    <s v="Low Value"/>
    <s v="Dec-2023"/>
    <s v="Laptop Cooling Pad"/>
    <s v="Electronics"/>
    <x v="193"/>
  </r>
  <r>
    <s v="SALE1331"/>
    <d v="2023-11-03T00:00:00"/>
    <x v="435"/>
    <s v="PROD92"/>
    <s v="STORE18"/>
    <n v="2"/>
    <n v="177.4"/>
    <n v="0.19"/>
    <x v="1"/>
    <n v="287.38799999999998"/>
    <n v="719315.78530000011"/>
    <n v="1075.2104414050823"/>
    <n v="218"/>
    <s v="Low Value"/>
    <s v="Nov-2023"/>
    <s v="Microwave Oven"/>
    <s v="Home"/>
    <x v="433"/>
  </r>
  <r>
    <s v="SALE1332"/>
    <d v="2025-01-16T00:00:00"/>
    <x v="333"/>
    <s v="PROD98"/>
    <s v="STORE11"/>
    <n v="4"/>
    <n v="862.67"/>
    <n v="0.2"/>
    <x v="1"/>
    <n v="2760.5439999999999"/>
    <n v="719028.39730000019"/>
    <n v="1076.3898163173656"/>
    <n v="217"/>
    <s v="High Value"/>
    <s v="Jan-2025"/>
    <s v="Portable Bluetooth Speaker"/>
    <s v="Electronics"/>
    <x v="331"/>
  </r>
  <r>
    <s v="SALE1333"/>
    <d v="2024-09-30T00:00:00"/>
    <x v="433"/>
    <s v="PROD17"/>
    <s v="STORE6"/>
    <n v="1"/>
    <n v="55.04"/>
    <n v="0.01"/>
    <x v="2"/>
    <n v="54.489600000000003"/>
    <n v="716267.85330000019"/>
    <n v="1073.8648475262371"/>
    <n v="216"/>
    <s v="Low Value"/>
    <s v="Sep-2024"/>
    <s v="Soccer Training Cone Set"/>
    <s v="Sports"/>
    <x v="431"/>
  </r>
  <r>
    <s v="SALE1334"/>
    <d v="2024-12-20T00:00:00"/>
    <x v="184"/>
    <s v="PROD45"/>
    <s v="STORE0"/>
    <n v="2"/>
    <n v="905.47"/>
    <n v="0.2"/>
    <x v="2"/>
    <n v="1448.752"/>
    <n v="716213.3637000001"/>
    <n v="1075.3954409909911"/>
    <n v="216"/>
    <s v="High Value"/>
    <s v="Dec-2024"/>
    <s v="High-Grip Football"/>
    <s v="Sports"/>
    <x v="183"/>
  </r>
  <r>
    <s v="SALE1335"/>
    <d v="2024-09-04T00:00:00"/>
    <x v="343"/>
    <s v="PROD63"/>
    <s v="STORE13"/>
    <n v="3"/>
    <n v="217.13"/>
    <n v="0.28000000000000003"/>
    <x v="0"/>
    <n v="469.00080000000003"/>
    <n v="714764.61170000012"/>
    <n v="1074.8340025563912"/>
    <n v="216"/>
    <s v="Low Value"/>
    <s v="Sep-2024"/>
    <s v="Organic Sunscreen Lotion"/>
    <s v="Beauty"/>
    <x v="341"/>
  </r>
  <r>
    <s v="SALE1336"/>
    <d v="2025-10-06T00:00:00"/>
    <x v="337"/>
    <s v="PROD75"/>
    <s v="STORE0"/>
    <n v="3"/>
    <n v="580.45000000000005"/>
    <n v="0"/>
    <x v="1"/>
    <n v="1741.35"/>
    <n v="714295.6109000002"/>
    <n v="1075.7464019578317"/>
    <n v="216"/>
    <s v="High Value"/>
    <s v="Oct-2025"/>
    <s v="Women's Ankle Boots"/>
    <s v="Clothing"/>
    <x v="335"/>
  </r>
  <r>
    <s v="SALE1337"/>
    <d v="2025-07-16T00:00:00"/>
    <x v="202"/>
    <s v="PROD4"/>
    <s v="STORE17"/>
    <n v="2"/>
    <n v="892.88"/>
    <n v="0.17"/>
    <x v="1"/>
    <n v="1482.1808000000001"/>
    <n v="712554.26090000011"/>
    <n v="1074.7424749622928"/>
    <n v="215"/>
    <s v="High Value"/>
    <s v="Jul-2025"/>
    <s v="Women's Yoga Pants"/>
    <s v="Clothing"/>
    <x v="201"/>
  </r>
  <r>
    <s v="SALE1338"/>
    <d v="2025-10-06T00:00:00"/>
    <x v="158"/>
    <s v="PROD40"/>
    <s v="STORE18"/>
    <n v="2"/>
    <n v="356.28"/>
    <n v="0.11"/>
    <x v="2"/>
    <n v="634.17840000000001"/>
    <n v="711072.08010000025"/>
    <n v="1074.1270092145019"/>
    <n v="214"/>
    <s v="Low Value"/>
    <s v="Oct-2025"/>
    <s v="Noise-Canceling Headphones"/>
    <s v="Electronics"/>
    <x v="157"/>
  </r>
  <r>
    <s v="SALE1339"/>
    <d v="2025-09-21T00:00:00"/>
    <x v="304"/>
    <s v="PROD80"/>
    <s v="STORE2"/>
    <n v="4"/>
    <n v="806.99"/>
    <n v="0.06"/>
    <x v="0"/>
    <n v="3034.2824000000001"/>
    <n v="710437.90170000016"/>
    <n v="1074.7925895612711"/>
    <n v="214"/>
    <s v="High Value"/>
    <s v="Sep-2025"/>
    <s v="Wall-Mounted Spice Rack"/>
    <s v="Home"/>
    <x v="302"/>
  </r>
  <r>
    <s v="SALE1340"/>
    <d v="2025-07-17T00:00:00"/>
    <x v="461"/>
    <s v="PROD20"/>
    <s v="STORE1"/>
    <n v="3"/>
    <n v="684.22"/>
    <n v="0.09"/>
    <x v="0"/>
    <n v="1867.9205999999999"/>
    <n v="707403.61930000014"/>
    <n v="1071.8236656060608"/>
    <n v="214"/>
    <s v="High Value"/>
    <s v="Jul-2025"/>
    <s v="Outdoor Sports Water Bottle"/>
    <s v="Sports"/>
    <x v="459"/>
  </r>
  <r>
    <s v="SALE1341"/>
    <d v="2025-06-29T00:00:00"/>
    <x v="13"/>
    <s v="PROD93"/>
    <s v="STORE7"/>
    <n v="4"/>
    <n v="763.34"/>
    <n v="7.0000000000000007E-2"/>
    <x v="1"/>
    <n v="2839.6248000000001"/>
    <n v="705535.69870000018"/>
    <n v="1070.6156277693478"/>
    <n v="214"/>
    <s v="High Value"/>
    <s v="Jun-2025"/>
    <s v="USB-C Laptop Charger"/>
    <s v="Electronics"/>
    <x v="13"/>
  </r>
  <r>
    <s v="SALE1342"/>
    <d v="2025-03-22T00:00:00"/>
    <x v="447"/>
    <s v="PROD50"/>
    <s v="STORE3"/>
    <n v="3"/>
    <n v="721.94"/>
    <n v="0.26"/>
    <x v="0"/>
    <n v="1602.7067999999999"/>
    <n v="702696.07390000019"/>
    <n v="1067.9271639817632"/>
    <n v="213"/>
    <s v="High Value"/>
    <s v="Mar-2025"/>
    <s v="Boxing Hand Wraps"/>
    <s v="Sports"/>
    <x v="445"/>
  </r>
  <r>
    <s v="SALE1343"/>
    <d v="2024-02-01T00:00:00"/>
    <x v="82"/>
    <s v="PROD97"/>
    <s v="STORE1"/>
    <n v="3"/>
    <n v="760.38"/>
    <n v="0"/>
    <x v="2"/>
    <n v="2281.14"/>
    <n v="701093.36710000027"/>
    <n v="1067.1131919330294"/>
    <n v="213"/>
    <s v="High Value"/>
    <s v="Feb-2024"/>
    <s v="Cricket Bat"/>
    <s v="Sports"/>
    <x v="81"/>
  </r>
  <r>
    <s v="SALE1344"/>
    <d v="2024-03-11T00:00:00"/>
    <x v="83"/>
    <s v="PROD97"/>
    <s v="STORE6"/>
    <n v="3"/>
    <n v="612.53"/>
    <n v="0.21"/>
    <x v="2"/>
    <n v="1451.6960999999999"/>
    <n v="698812.22710000013"/>
    <n v="1065.2625413109758"/>
    <n v="213"/>
    <s v="High Value"/>
    <s v="Mar-2024"/>
    <s v="Cricket Bat"/>
    <s v="Sports"/>
    <x v="82"/>
  </r>
  <r>
    <s v="SALE1345"/>
    <d v="2024-09-09T00:00:00"/>
    <x v="95"/>
    <s v="PROD63"/>
    <s v="STORE16"/>
    <n v="3"/>
    <n v="841.37"/>
    <n v="0.28999999999999998"/>
    <x v="1"/>
    <n v="1792.1180999999999"/>
    <n v="697360.53100000008"/>
    <n v="1064.6725664122139"/>
    <n v="213"/>
    <s v="High Value"/>
    <s v="Sep-2024"/>
    <s v="Organic Sunscreen Lotion"/>
    <s v="Beauty"/>
    <x v="94"/>
  </r>
  <r>
    <s v="SALE1346"/>
    <d v="2023-11-19T00:00:00"/>
    <x v="321"/>
    <s v="PROD48"/>
    <s v="STORE9"/>
    <n v="2"/>
    <n v="636.51"/>
    <n v="0.25"/>
    <x v="0"/>
    <n v="954.76499999999999"/>
    <n v="695568.41290000011"/>
    <n v="1063.5602643730888"/>
    <n v="212"/>
    <s v="Low Value"/>
    <s v="Nov-2023"/>
    <s v="Car Dashboard Phone Holder"/>
    <s v="Electronics"/>
    <x v="319"/>
  </r>
  <r>
    <s v="SALE1347"/>
    <d v="2025-01-02T00:00:00"/>
    <x v="158"/>
    <s v="PROD45"/>
    <s v="STORE8"/>
    <n v="2"/>
    <n v="732.37"/>
    <n v="0.22"/>
    <x v="2"/>
    <n v="1142.4972"/>
    <n v="694613.6479000001"/>
    <n v="1063.7268727411947"/>
    <n v="212"/>
    <s v="High Value"/>
    <s v="Jan-2025"/>
    <s v="High-Grip Football"/>
    <s v="Sports"/>
    <x v="157"/>
  </r>
  <r>
    <s v="SALE1348"/>
    <d v="2025-09-27T00:00:00"/>
    <x v="112"/>
    <s v="PROD54"/>
    <s v="STORE16"/>
    <n v="3"/>
    <n v="183.44"/>
    <n v="0.28000000000000003"/>
    <x v="2"/>
    <n v="396.23039999999992"/>
    <n v="693471.1507"/>
    <n v="1063.6060593558282"/>
    <n v="212"/>
    <s v="Low Value"/>
    <s v="Sep-2025"/>
    <s v="Sports Stopwatch Pro"/>
    <s v="Sports"/>
    <x v="111"/>
  </r>
  <r>
    <s v="SALE1349"/>
    <d v="2024-03-22T00:00:00"/>
    <x v="10"/>
    <s v="PROD11"/>
    <s v="STORE13"/>
    <n v="4"/>
    <n v="898.58"/>
    <n v="0.16"/>
    <x v="1"/>
    <n v="3019.2287999999999"/>
    <n v="693074.9203"/>
    <n v="1064.6312139784945"/>
    <n v="212"/>
    <s v="High Value"/>
    <s v="Mar-2024"/>
    <s v="HD Smart TV Stick"/>
    <s v="Electronics"/>
    <x v="10"/>
  </r>
  <r>
    <s v="SALE1350"/>
    <d v="2024-08-25T00:00:00"/>
    <x v="360"/>
    <s v="PROD23"/>
    <s v="STORE2"/>
    <n v="3"/>
    <n v="152.41"/>
    <n v="0.25"/>
    <x v="0"/>
    <n v="342.92250000000001"/>
    <n v="690055.69149999996"/>
    <n v="1061.6241407692307"/>
    <n v="211"/>
    <s v="Low Value"/>
    <s v="Aug-2024"/>
    <s v="Men's Formal Shirt"/>
    <s v="Clothing"/>
    <x v="358"/>
  </r>
  <r>
    <s v="SALE1351"/>
    <d v="2025-08-03T00:00:00"/>
    <x v="307"/>
    <s v="PROD92"/>
    <s v="STORE14"/>
    <n v="3"/>
    <n v="972.58"/>
    <n v="0.28000000000000003"/>
    <x v="2"/>
    <n v="2100.7728000000002"/>
    <n v="689712.76899999997"/>
    <n v="1062.7315392912171"/>
    <n v="211"/>
    <s v="High Value"/>
    <s v="Aug-2025"/>
    <s v="Microwave Oven"/>
    <s v="Home"/>
    <x v="305"/>
  </r>
  <r>
    <s v="SALE1352"/>
    <d v="2023-12-07T00:00:00"/>
    <x v="220"/>
    <s v="PROD69"/>
    <s v="STORE11"/>
    <n v="4"/>
    <n v="136.4"/>
    <n v="0.04"/>
    <x v="2"/>
    <n v="523.77599999999995"/>
    <n v="687611.99620000005"/>
    <n v="1061.1296237654321"/>
    <n v="211"/>
    <s v="Low Value"/>
    <s v="Dec-2023"/>
    <s v="Men's Sports Shorts"/>
    <s v="Clothing"/>
    <x v="219"/>
  </r>
  <r>
    <s v="SALE1353"/>
    <d v="2025-08-25T00:00:00"/>
    <x v="453"/>
    <s v="PROD94"/>
    <s v="STORE15"/>
    <n v="1"/>
    <n v="509.63"/>
    <n v="0.27"/>
    <x v="2"/>
    <n v="372.0299"/>
    <n v="687088.2202000001"/>
    <n v="1061.9601548686246"/>
    <n v="211"/>
    <s v="Low Value"/>
    <s v="Aug-2025"/>
    <s v="Vitamin E Body Lotion"/>
    <s v="Beauty"/>
    <x v="451"/>
  </r>
  <r>
    <s v="SALE1354"/>
    <d v="2024-02-09T00:00:00"/>
    <x v="458"/>
    <s v="PROD97"/>
    <s v="STORE3"/>
    <n v="4"/>
    <n v="360.28"/>
    <n v="0.09"/>
    <x v="2"/>
    <n v="1311.4192"/>
    <n v="686716.19030000002"/>
    <n v="1063.0281583591332"/>
    <n v="211"/>
    <s v="High Value"/>
    <s v="Feb-2024"/>
    <s v="Cricket Bat"/>
    <s v="Sports"/>
    <x v="456"/>
  </r>
  <r>
    <s v="SALE1355"/>
    <d v="2025-09-10T00:00:00"/>
    <x v="52"/>
    <s v="PROD89"/>
    <s v="STORE15"/>
    <n v="3"/>
    <n v="882.05"/>
    <n v="0.06"/>
    <x v="1"/>
    <n v="2487.3809999999989"/>
    <n v="685404.77110000013"/>
    <n v="1062.6430559689925"/>
    <n v="211"/>
    <s v="High Value"/>
    <s v="Sep-2025"/>
    <s v="Face Foundation Kit"/>
    <s v="Beauty"/>
    <x v="52"/>
  </r>
  <r>
    <s v="SALE1356"/>
    <d v="2024-09-29T00:00:00"/>
    <x v="420"/>
    <s v="PROD79"/>
    <s v="STORE8"/>
    <n v="3"/>
    <n v="141.54"/>
    <n v="0.12"/>
    <x v="1"/>
    <n v="373.66559999999998"/>
    <n v="682917.39010000008"/>
    <n v="1060.4307299689442"/>
    <n v="210"/>
    <s v="Low Value"/>
    <s v="Sep-2024"/>
    <s v="Decorative Lamp Shade"/>
    <s v="Home"/>
    <x v="418"/>
  </r>
  <r>
    <s v="SALE1357"/>
    <d v="2024-06-18T00:00:00"/>
    <x v="278"/>
    <s v="PROD15"/>
    <s v="STORE4"/>
    <n v="3"/>
    <n v="83.5"/>
    <n v="0.23"/>
    <x v="2"/>
    <n v="192.88499999999999"/>
    <n v="682543.72450000013"/>
    <n v="1061.4987939346813"/>
    <n v="209"/>
    <s v="Low Value"/>
    <s v="Jun-2024"/>
    <s v="4K Home Projector"/>
    <s v="Electronics"/>
    <x v="276"/>
  </r>
  <r>
    <s v="SALE1358"/>
    <d v="2023-11-28T00:00:00"/>
    <x v="331"/>
    <s v="PROD14"/>
    <s v="STORE6"/>
    <n v="2"/>
    <n v="629.73"/>
    <n v="7.0000000000000007E-2"/>
    <x v="1"/>
    <n v="1171.2978000000001"/>
    <n v="682350.83950000012"/>
    <n v="1062.8517749221185"/>
    <n v="209"/>
    <s v="High Value"/>
    <s v="Nov-2023"/>
    <s v="Decorative Wall Mirror"/>
    <s v="Home"/>
    <x v="329"/>
  </r>
  <r>
    <s v="SALE1359"/>
    <d v="2023-10-29T00:00:00"/>
    <x v="172"/>
    <s v="PROD33"/>
    <s v="STORE6"/>
    <n v="2"/>
    <n v="159.93"/>
    <n v="0.2"/>
    <x v="2"/>
    <n v="255.88800000000001"/>
    <n v="681179.54170000006"/>
    <n v="1062.6825923556944"/>
    <n v="208"/>
    <s v="Low Value"/>
    <s v="Oct-2023"/>
    <s v="Modern Wall Clock"/>
    <s v="Home"/>
    <x v="171"/>
  </r>
  <r>
    <s v="SALE1360"/>
    <d v="2025-07-20T00:00:00"/>
    <x v="172"/>
    <s v="PROD45"/>
    <s v="STORE18"/>
    <n v="1"/>
    <n v="459.89"/>
    <n v="0.18"/>
    <x v="2"/>
    <n v="377.10980000000001"/>
    <n v="680923.65370000002"/>
    <n v="1063.94320890625"/>
    <n v="208"/>
    <s v="Low Value"/>
    <s v="Jul-2025"/>
    <s v="High-Grip Football"/>
    <s v="Sports"/>
    <x v="171"/>
  </r>
  <r>
    <s v="SALE1361"/>
    <d v="2024-08-28T00:00:00"/>
    <x v="338"/>
    <s v="PROD33"/>
    <s v="STORE19"/>
    <n v="4"/>
    <n v="885.57"/>
    <n v="0.27"/>
    <x v="0"/>
    <n v="2585.8643999999999"/>
    <n v="680546.54390000005"/>
    <n v="1065.0180655712052"/>
    <n v="208"/>
    <s v="High Value"/>
    <s v="Aug-2024"/>
    <s v="Modern Wall Clock"/>
    <s v="Home"/>
    <x v="336"/>
  </r>
  <r>
    <s v="SALE1362"/>
    <d v="2024-06-11T00:00:00"/>
    <x v="363"/>
    <s v="PROD54"/>
    <s v="STORE15"/>
    <n v="3"/>
    <n v="789.05"/>
    <n v="0"/>
    <x v="1"/>
    <n v="2367.15"/>
    <n v="677960.67950000009"/>
    <n v="1062.6342938871476"/>
    <n v="208"/>
    <s v="High Value"/>
    <s v="Jun-2024"/>
    <s v="Sports Stopwatch Pro"/>
    <s v="Sports"/>
    <x v="361"/>
  </r>
  <r>
    <s v="SALE1363"/>
    <d v="2023-11-14T00:00:00"/>
    <x v="431"/>
    <s v="PROD66"/>
    <s v="STORE0"/>
    <n v="1"/>
    <n v="570.52"/>
    <n v="0"/>
    <x v="1"/>
    <n v="570.52"/>
    <n v="675593.52950000006"/>
    <n v="1060.5863885400315"/>
    <n v="207"/>
    <s v="Low Value"/>
    <s v="Nov-2023"/>
    <s v="Women's Hair Dryer Brush"/>
    <s v="Beauty"/>
    <x v="429"/>
  </r>
  <r>
    <s v="SALE1364"/>
    <d v="2024-01-31T00:00:00"/>
    <x v="449"/>
    <s v="PROD27"/>
    <s v="STORE16"/>
    <n v="4"/>
    <n v="310.79000000000002"/>
    <n v="0.22"/>
    <x v="2"/>
    <n v="969.66480000000013"/>
    <n v="675023.00950000016"/>
    <n v="1061.3569331761009"/>
    <n v="206"/>
    <s v="Low Value"/>
    <s v="Jan-2024"/>
    <s v="Decorative Floor Vase"/>
    <s v="Home"/>
    <x v="447"/>
  </r>
  <r>
    <s v="SALE1365"/>
    <d v="2025-04-10T00:00:00"/>
    <x v="333"/>
    <s v="PROD68"/>
    <s v="STORE17"/>
    <n v="4"/>
    <n v="255.67"/>
    <n v="0.17"/>
    <x v="0"/>
    <n v="848.82439999999997"/>
    <n v="674053.34470000025"/>
    <n v="1061.5013302362208"/>
    <n v="206"/>
    <s v="Low Value"/>
    <s v="Apr-2025"/>
    <s v="Wooden Nightstand"/>
    <s v="Home"/>
    <x v="331"/>
  </r>
  <r>
    <s v="SALE1366"/>
    <d v="2024-04-15T00:00:00"/>
    <x v="298"/>
    <s v="PROD27"/>
    <s v="STORE16"/>
    <n v="2"/>
    <n v="270.66000000000003"/>
    <n v="0.1"/>
    <x v="2"/>
    <n v="487.18799999999999"/>
    <n v="673204.52030000021"/>
    <n v="1061.8367828075714"/>
    <n v="206"/>
    <s v="Low Value"/>
    <s v="Apr-2024"/>
    <s v="Decorative Floor Vase"/>
    <s v="Home"/>
    <x v="296"/>
  </r>
  <r>
    <s v="SALE1367"/>
    <d v="2025-09-14T00:00:00"/>
    <x v="462"/>
    <s v="PROD23"/>
    <s v="STORE17"/>
    <n v="3"/>
    <n v="373.35"/>
    <n v="0.2"/>
    <x v="2"/>
    <n v="896.04000000000019"/>
    <n v="672717.33230000013"/>
    <n v="1062.7446007898895"/>
    <n v="206"/>
    <s v="Low Value"/>
    <s v="Sep-2025"/>
    <s v="Men's Formal Shirt"/>
    <s v="Clothing"/>
    <x v="460"/>
  </r>
  <r>
    <s v="SALE1368"/>
    <d v="2024-05-20T00:00:00"/>
    <x v="357"/>
    <s v="PROD59"/>
    <s v="STORE11"/>
    <n v="2"/>
    <n v="23.58"/>
    <n v="0.02"/>
    <x v="1"/>
    <n v="46.216799999999999"/>
    <n v="671821.29230000009"/>
    <n v="1063.0083738924052"/>
    <n v="206"/>
    <s v="Low Value"/>
    <s v="May-2024"/>
    <s v="Men's Hair Styling Gel"/>
    <s v="Beauty"/>
    <x v="355"/>
  </r>
  <r>
    <s v="SALE1369"/>
    <d v="2025-05-21T00:00:00"/>
    <x v="399"/>
    <s v="PROD35"/>
    <s v="STORE7"/>
    <n v="4"/>
    <n v="185.67"/>
    <n v="0.21"/>
    <x v="1"/>
    <n v="586.71719999999993"/>
    <n v="671775.07550000015"/>
    <n v="1064.6197709984156"/>
    <n v="205"/>
    <s v="Low Value"/>
    <s v="May-2025"/>
    <s v="Bedroom Table Lamp"/>
    <s v="Home"/>
    <x v="397"/>
  </r>
  <r>
    <s v="SALE1370"/>
    <d v="2024-04-14T00:00:00"/>
    <x v="263"/>
    <s v="PROD18"/>
    <s v="STORE13"/>
    <n v="3"/>
    <n v="928.74"/>
    <n v="0.27"/>
    <x v="1"/>
    <n v="2033.9405999999999"/>
    <n v="671188.35830000008"/>
    <n v="1065.3783465079366"/>
    <n v="204"/>
    <s v="High Value"/>
    <s v="Apr-2024"/>
    <s v="Women's Denim Jeans"/>
    <s v="Clothing"/>
    <x v="262"/>
  </r>
  <r>
    <s v="SALE1371"/>
    <d v="2023-11-05T00:00:00"/>
    <x v="92"/>
    <s v="PROD84"/>
    <s v="STORE5"/>
    <n v="3"/>
    <n v="923.38"/>
    <n v="7.0000000000000007E-2"/>
    <x v="2"/>
    <n v="2576.2302"/>
    <n v="669154.41769999999"/>
    <n v="1063.83850190779"/>
    <n v="203"/>
    <s v="High Value"/>
    <s v="Nov-2023"/>
    <s v="Wooden Bookshelf"/>
    <s v="Home"/>
    <x v="91"/>
  </r>
  <r>
    <s v="SALE1372"/>
    <d v="2024-07-26T00:00:00"/>
    <x v="152"/>
    <s v="PROD4"/>
    <s v="STORE9"/>
    <n v="2"/>
    <n v="409.26"/>
    <n v="0.1"/>
    <x v="1"/>
    <n v="736.66800000000001"/>
    <n v="666578.1875"/>
    <n v="1061.4302348726114"/>
    <n v="203"/>
    <s v="Low Value"/>
    <s v="Jul-2024"/>
    <s v="Women's Yoga Pants"/>
    <s v="Clothing"/>
    <x v="151"/>
  </r>
  <r>
    <s v="SALE1373"/>
    <d v="2023-12-12T00:00:00"/>
    <x v="463"/>
    <s v="PROD23"/>
    <s v="STORE7"/>
    <n v="2"/>
    <n v="608.46"/>
    <n v="0.16"/>
    <x v="0"/>
    <n v="1022.2128"/>
    <n v="665841.51950000005"/>
    <n v="1061.9481969696972"/>
    <n v="202"/>
    <s v="High Value"/>
    <s v="Dec-2023"/>
    <s v="Men's Formal Shirt"/>
    <s v="Clothing"/>
    <x v="461"/>
  </r>
  <r>
    <s v="SALE1374"/>
    <d v="2025-05-08T00:00:00"/>
    <x v="314"/>
    <s v="PROD42"/>
    <s v="STORE19"/>
    <n v="4"/>
    <n v="150.47999999999999"/>
    <n v="0.09"/>
    <x v="0"/>
    <n v="547.74720000000002"/>
    <n v="664819.30669999996"/>
    <n v="1062.0116720447284"/>
    <n v="202"/>
    <s v="Low Value"/>
    <s v="May-2025"/>
    <s v="Smart Home WiFi Camera"/>
    <s v="Electronics"/>
    <x v="312"/>
  </r>
  <r>
    <s v="SALE1375"/>
    <d v="2024-08-30T00:00:00"/>
    <x v="427"/>
    <s v="PROD68"/>
    <s v="STORE14"/>
    <n v="4"/>
    <n v="207.41"/>
    <n v="0.02"/>
    <x v="0"/>
    <n v="813.04719999999998"/>
    <n v="664271.55949999997"/>
    <n v="1062.8344952"/>
    <n v="202"/>
    <s v="Low Value"/>
    <s v="Aug-2024"/>
    <s v="Wooden Nightstand"/>
    <s v="Home"/>
    <x v="425"/>
  </r>
  <r>
    <s v="SALE1376"/>
    <d v="2025-05-26T00:00:00"/>
    <x v="396"/>
    <s v="PROD11"/>
    <s v="STORE6"/>
    <n v="1"/>
    <n v="56.59"/>
    <n v="0.15"/>
    <x v="1"/>
    <n v="48.101500000000001"/>
    <n v="663458.51230000006"/>
    <n v="1063.2347953525641"/>
    <n v="202"/>
    <s v="Low Value"/>
    <s v="May-2025"/>
    <s v="HD Smart TV Stick"/>
    <s v="Electronics"/>
    <x v="394"/>
  </r>
  <r>
    <s v="SALE1377"/>
    <d v="2025-01-10T00:00:00"/>
    <x v="131"/>
    <s v="PROD39"/>
    <s v="STORE4"/>
    <n v="4"/>
    <n v="995.4"/>
    <n v="0.27"/>
    <x v="0"/>
    <n v="2906.5680000000002"/>
    <n v="663410.41080000007"/>
    <n v="1064.8642227929374"/>
    <n v="201"/>
    <s v="High Value"/>
    <s v="Jan-2025"/>
    <s v="Portable Power Bank"/>
    <s v="Electronics"/>
    <x v="130"/>
  </r>
  <r>
    <s v="SALE1378"/>
    <d v="2024-12-30T00:00:00"/>
    <x v="464"/>
    <s v="PROD47"/>
    <s v="STORE12"/>
    <n v="2"/>
    <n v="591.33000000000004"/>
    <n v="0.24"/>
    <x v="0"/>
    <n v="898.8216000000001"/>
    <n v="660503.84279999998"/>
    <n v="1061.903284244373"/>
    <n v="201"/>
    <s v="Low Value"/>
    <s v="Dec-2024"/>
    <s v="Makeup Brush Set"/>
    <s v="Beauty"/>
    <x v="462"/>
  </r>
  <r>
    <s v="SALE1379"/>
    <d v="2025-07-31T00:00:00"/>
    <x v="74"/>
    <s v="PROD48"/>
    <s v="STORE17"/>
    <n v="2"/>
    <n v="204.89"/>
    <n v="0.24"/>
    <x v="0"/>
    <n v="311.43279999999999"/>
    <n v="659605.02120000008"/>
    <n v="1062.165895652174"/>
    <n v="201"/>
    <s v="Low Value"/>
    <s v="Jul-2025"/>
    <s v="Car Dashboard Phone Holder"/>
    <s v="Electronics"/>
    <x v="73"/>
  </r>
  <r>
    <s v="SALE1380"/>
    <d v="2024-09-14T00:00:00"/>
    <x v="465"/>
    <s v="PROD65"/>
    <s v="STORE14"/>
    <n v="2"/>
    <n v="546.41"/>
    <n v="0.08"/>
    <x v="2"/>
    <n v="1005.3944"/>
    <n v="659293.58840000012"/>
    <n v="1063.3767554838712"/>
    <n v="201"/>
    <s v="High Value"/>
    <s v="Sep-2024"/>
    <s v="Adjustable Dumbbells 20kg"/>
    <s v="Sports"/>
    <x v="463"/>
  </r>
  <r>
    <s v="SALE1381"/>
    <d v="2024-04-27T00:00:00"/>
    <x v="2"/>
    <s v="PROD18"/>
    <s v="STORE12"/>
    <n v="4"/>
    <n v="455.49"/>
    <n v="0.17"/>
    <x v="0"/>
    <n v="1512.2267999999999"/>
    <n v="658288.19400000013"/>
    <n v="1063.4704264943459"/>
    <n v="201"/>
    <s v="High Value"/>
    <s v="Apr-2024"/>
    <s v="Women's Denim Jeans"/>
    <s v="Clothing"/>
    <x v="2"/>
  </r>
  <r>
    <s v="SALE1382"/>
    <d v="2024-03-23T00:00:00"/>
    <x v="293"/>
    <s v="PROD10"/>
    <s v="STORE16"/>
    <n v="2"/>
    <n v="700.27"/>
    <n v="0.16"/>
    <x v="0"/>
    <n v="1176.4536000000001"/>
    <n v="656775.96720000019"/>
    <n v="1062.744283495146"/>
    <n v="201"/>
    <s v="High Value"/>
    <s v="Mar-2024"/>
    <s v="Ceramic Kitchen Bowl Set"/>
    <s v="Home"/>
    <x v="291"/>
  </r>
  <r>
    <s v="SALE1383"/>
    <d v="2023-12-22T00:00:00"/>
    <x v="290"/>
    <s v="PROD82"/>
    <s v="STORE17"/>
    <n v="2"/>
    <n v="160.21"/>
    <n v="0.09"/>
    <x v="0"/>
    <n v="291.5822"/>
    <n v="655599.51360000018"/>
    <n v="1062.5599896272288"/>
    <n v="201"/>
    <s v="Low Value"/>
    <s v="Dec-2023"/>
    <s v="Fitness Resistance Bands"/>
    <s v="Sports"/>
    <x v="288"/>
  </r>
  <r>
    <s v="SALE1384"/>
    <d v="2025-03-26T00:00:00"/>
    <x v="189"/>
    <s v="PROD47"/>
    <s v="STORE11"/>
    <n v="1"/>
    <n v="713.63"/>
    <n v="0.28000000000000003"/>
    <x v="2"/>
    <n v="513.81359999999995"/>
    <n v="655307.93140000012"/>
    <n v="1063.8115769480521"/>
    <n v="201"/>
    <s v="Low Value"/>
    <s v="Mar-2025"/>
    <s v="Makeup Brush Set"/>
    <s v="Beauty"/>
    <x v="188"/>
  </r>
  <r>
    <s v="SALE1385"/>
    <d v="2024-06-04T00:00:00"/>
    <x v="466"/>
    <s v="PROD93"/>
    <s v="STORE7"/>
    <n v="2"/>
    <n v="224.69"/>
    <n v="0.2"/>
    <x v="2"/>
    <n v="359.50400000000002"/>
    <n v="654794.11780000012"/>
    <n v="1064.7058826016262"/>
    <n v="201"/>
    <s v="Low Value"/>
    <s v="Jun-2024"/>
    <s v="USB-C Laptop Charger"/>
    <s v="Electronics"/>
    <x v="464"/>
  </r>
  <r>
    <s v="SALE1386"/>
    <d v="2025-03-17T00:00:00"/>
    <x v="32"/>
    <s v="PROD20"/>
    <s v="STORE14"/>
    <n v="2"/>
    <n v="740.57"/>
    <n v="0.06"/>
    <x v="0"/>
    <n v="1392.2716"/>
    <n v="654434.61380000017"/>
    <n v="1065.854419869707"/>
    <n v="201"/>
    <s v="High Value"/>
    <s v="Mar-2025"/>
    <s v="Outdoor Sports Water Bottle"/>
    <s v="Sports"/>
    <x v="32"/>
  </r>
  <r>
    <s v="SALE1387"/>
    <d v="2024-03-22T00:00:00"/>
    <x v="48"/>
    <s v="PROD11"/>
    <s v="STORE3"/>
    <n v="3"/>
    <n v="250.14"/>
    <n v="0.23"/>
    <x v="1"/>
    <n v="577.82339999999999"/>
    <n v="653042.34220000007"/>
    <n v="1065.3219285481241"/>
    <n v="201"/>
    <s v="Low Value"/>
    <s v="Mar-2024"/>
    <s v="HD Smart TV Stick"/>
    <s v="Electronics"/>
    <x v="48"/>
  </r>
  <r>
    <s v="SALE1388"/>
    <d v="2024-12-29T00:00:00"/>
    <x v="135"/>
    <s v="PROD98"/>
    <s v="STORE19"/>
    <n v="3"/>
    <n v="34.97"/>
    <n v="0.01"/>
    <x v="0"/>
    <n v="103.8609"/>
    <n v="652464.51880000008"/>
    <n v="1066.118494771242"/>
    <n v="200"/>
    <s v="Low Value"/>
    <s v="Dec-2024"/>
    <s v="Portable Bluetooth Speaker"/>
    <s v="Electronics"/>
    <x v="134"/>
  </r>
  <r>
    <s v="SALE1389"/>
    <d v="2025-07-30T00:00:00"/>
    <x v="235"/>
    <s v="PROD42"/>
    <s v="STORE16"/>
    <n v="1"/>
    <n v="653.91"/>
    <n v="0.3"/>
    <x v="1"/>
    <n v="457.73700000000002"/>
    <n v="652360.65790000011"/>
    <n v="1067.6933844517187"/>
    <n v="200"/>
    <s v="Low Value"/>
    <s v="Jul-2025"/>
    <s v="Smart Home WiFi Camera"/>
    <s v="Electronics"/>
    <x v="234"/>
  </r>
  <r>
    <s v="SALE1390"/>
    <d v="2024-02-16T00:00:00"/>
    <x v="402"/>
    <s v="PROD66"/>
    <s v="STORE3"/>
    <n v="1"/>
    <n v="997.87"/>
    <n v="0.24"/>
    <x v="0"/>
    <n v="758.38120000000004"/>
    <n v="651902.92090000003"/>
    <n v="1068.6933129508197"/>
    <n v="199"/>
    <s v="Low Value"/>
    <s v="Feb-2024"/>
    <s v="Women's Hair Dryer Brush"/>
    <s v="Beauty"/>
    <x v="400"/>
  </r>
  <r>
    <s v="SALE1391"/>
    <d v="2024-02-27T00:00:00"/>
    <x v="266"/>
    <s v="PROD89"/>
    <s v="STORE14"/>
    <n v="1"/>
    <n v="174.27"/>
    <n v="0.27"/>
    <x v="2"/>
    <n v="127.2171"/>
    <n v="651144.53970000008"/>
    <n v="1069.2028566502465"/>
    <n v="199"/>
    <s v="Low Value"/>
    <s v="Feb-2024"/>
    <s v="Face Foundation Kit"/>
    <s v="Beauty"/>
    <x v="123"/>
  </r>
  <r>
    <s v="SALE1392"/>
    <d v="2024-03-17T00:00:00"/>
    <x v="71"/>
    <s v="PROD49"/>
    <s v="STORE7"/>
    <n v="3"/>
    <n v="847.44"/>
    <n v="0.17"/>
    <x v="0"/>
    <n v="2110.1255999999998"/>
    <n v="651017.32260000007"/>
    <n v="1070.7521753289475"/>
    <n v="199"/>
    <s v="High Value"/>
    <s v="Mar-2024"/>
    <s v="Men's Roll-On Perfume"/>
    <s v="Beauty"/>
    <x v="70"/>
  </r>
  <r>
    <s v="SALE1393"/>
    <d v="2023-11-13T00:00:00"/>
    <x v="155"/>
    <s v="PROD2"/>
    <s v="STORE2"/>
    <n v="1"/>
    <n v="493.45"/>
    <n v="0.09"/>
    <x v="0"/>
    <n v="449.03949999999998"/>
    <n v="648907.19700000028"/>
    <n v="1069.0398632619444"/>
    <n v="199"/>
    <s v="Low Value"/>
    <s v="Nov-2023"/>
    <s v="Women's Casual Hoodie"/>
    <s v="Clothing"/>
    <x v="154"/>
  </r>
  <r>
    <s v="SALE1394"/>
    <d v="2024-10-12T00:00:00"/>
    <x v="309"/>
    <s v="PROD62"/>
    <s v="STORE2"/>
    <n v="4"/>
    <n v="111.66"/>
    <n v="0.14000000000000001"/>
    <x v="0"/>
    <n v="384.11040000000003"/>
    <n v="648458.1575000002"/>
    <n v="1070.0629661716175"/>
    <n v="199"/>
    <s v="Low Value"/>
    <s v="Oct-2024"/>
    <s v="Laptop Cooling Pad"/>
    <s v="Electronics"/>
    <x v="307"/>
  </r>
  <r>
    <s v="SALE1395"/>
    <d v="2024-02-21T00:00:00"/>
    <x v="335"/>
    <s v="PROD90"/>
    <s v="STORE11"/>
    <n v="1"/>
    <n v="413.65"/>
    <n v="0.1"/>
    <x v="2"/>
    <n v="372.28500000000003"/>
    <n v="648074.0471000002"/>
    <n v="1071.196772066116"/>
    <n v="199"/>
    <s v="Low Value"/>
    <s v="Feb-2024"/>
    <s v="Gaming Mouse Pad XL"/>
    <s v="Electronics"/>
    <x v="333"/>
  </r>
  <r>
    <s v="SALE1396"/>
    <d v="2025-03-28T00:00:00"/>
    <x v="405"/>
    <s v="PROD89"/>
    <s v="STORE9"/>
    <n v="1"/>
    <n v="317.14999999999998"/>
    <n v="0.24"/>
    <x v="2"/>
    <n v="241.03399999999999"/>
    <n v="647701.76210000028"/>
    <n v="1072.35391076159"/>
    <n v="199"/>
    <s v="Low Value"/>
    <s v="Mar-2025"/>
    <s v="Face Foundation Kit"/>
    <s v="Beauty"/>
    <x v="403"/>
  </r>
  <r>
    <s v="SALE1397"/>
    <d v="2025-08-04T00:00:00"/>
    <x v="448"/>
    <s v="PROD88"/>
    <s v="STORE1"/>
    <n v="3"/>
    <n v="642.94000000000005"/>
    <n v="0.05"/>
    <x v="2"/>
    <n v="1832.3789999999999"/>
    <n v="647460.72810000018"/>
    <n v="1073.732550746269"/>
    <n v="199"/>
    <s v="High Value"/>
    <s v="Aug-2025"/>
    <s v="Sports Wrist Sweatbands"/>
    <s v="Sports"/>
    <x v="446"/>
  </r>
  <r>
    <s v="SALE1398"/>
    <d v="2024-11-05T00:00:00"/>
    <x v="244"/>
    <s v="PROD57"/>
    <s v="STORE10"/>
    <n v="4"/>
    <n v="559.59"/>
    <n v="0.19"/>
    <x v="2"/>
    <n v="1813.0716"/>
    <n v="645628.34910000011"/>
    <n v="1072.4723406976746"/>
    <n v="199"/>
    <s v="High Value"/>
    <s v="Nov-2024"/>
    <s v="Foam Roller"/>
    <s v="Sports"/>
    <x v="243"/>
  </r>
  <r>
    <s v="SALE1399"/>
    <d v="2024-06-15T00:00:00"/>
    <x v="284"/>
    <s v="PROD29"/>
    <s v="STORE18"/>
    <n v="1"/>
    <n v="758.54"/>
    <n v="0.28999999999999998"/>
    <x v="1"/>
    <n v="538.5634"/>
    <n v="643815.27750000008"/>
    <n v="1071.2400623960068"/>
    <n v="199"/>
    <s v="Low Value"/>
    <s v="Jun-2024"/>
    <s v="Fabric Sofa Throw Blanket"/>
    <s v="Home"/>
    <x v="282"/>
  </r>
  <r>
    <s v="SALE1400"/>
    <d v="2024-12-23T00:00:00"/>
    <x v="152"/>
    <s v="PROD80"/>
    <s v="STORE15"/>
    <n v="4"/>
    <n v="643.96"/>
    <n v="0.16"/>
    <x v="1"/>
    <n v="2163.7055999999998"/>
    <n v="643276.71410000022"/>
    <n v="1072.1278568333337"/>
    <n v="198"/>
    <s v="High Value"/>
    <s v="Dec-2024"/>
    <s v="Wall-Mounted Spice Rack"/>
    <s v="Home"/>
    <x v="151"/>
  </r>
  <r>
    <s v="SALE1401"/>
    <d v="2024-12-27T00:00:00"/>
    <x v="129"/>
    <s v="PROD24"/>
    <s v="STORE9"/>
    <n v="1"/>
    <n v="882.73"/>
    <n v="0.1"/>
    <x v="0"/>
    <n v="794.45699999999999"/>
    <n v="641113.00850000011"/>
    <n v="1070.3055233722873"/>
    <n v="197"/>
    <s v="Low Value"/>
    <s v="Dec-2024"/>
    <s v="Foldable Camping Chair"/>
    <s v="Sports"/>
    <x v="128"/>
  </r>
  <r>
    <s v="SALE1402"/>
    <d v="2024-03-27T00:00:00"/>
    <x v="88"/>
    <s v="PROD91"/>
    <s v="STORE19"/>
    <n v="2"/>
    <n v="600.03"/>
    <n v="0.26"/>
    <x v="1"/>
    <n v="888.0444"/>
    <n v="640318.55150000006"/>
    <n v="1070.7668085284281"/>
    <n v="197"/>
    <s v="Low Value"/>
    <s v="Mar-2024"/>
    <s v="Women's High Heels"/>
    <s v="Clothing"/>
    <x v="87"/>
  </r>
  <r>
    <s v="SALE1403"/>
    <d v="2024-12-12T00:00:00"/>
    <x v="332"/>
    <s v="PROD54"/>
    <s v="STORE5"/>
    <n v="2"/>
    <n v="628.83000000000004"/>
    <n v="7.0000000000000007E-2"/>
    <x v="1"/>
    <n v="1169.6238000000001"/>
    <n v="639430.50710000005"/>
    <n v="1071.0728762144054"/>
    <n v="196"/>
    <s v="High Value"/>
    <s v="Dec-2024"/>
    <s v="Sports Stopwatch Pro"/>
    <s v="Sports"/>
    <x v="330"/>
  </r>
  <r>
    <s v="SALE1404"/>
    <d v="2023-12-17T00:00:00"/>
    <x v="143"/>
    <s v="PROD81"/>
    <s v="STORE9"/>
    <n v="3"/>
    <n v="113.87"/>
    <n v="0.21"/>
    <x v="2"/>
    <n v="269.87189999999998"/>
    <n v="638260.8833000001"/>
    <n v="1070.9075223154364"/>
    <n v="195"/>
    <s v="Low Value"/>
    <s v="Dec-2023"/>
    <s v="Badminton Racket Set"/>
    <s v="Sports"/>
    <x v="142"/>
  </r>
  <r>
    <s v="SALE1405"/>
    <d v="2024-02-29T00:00:00"/>
    <x v="306"/>
    <s v="PROD72"/>
    <s v="STORE7"/>
    <n v="4"/>
    <n v="282.07"/>
    <n v="0.18"/>
    <x v="1"/>
    <n v="925.18960000000004"/>
    <n v="637991.01140000008"/>
    <n v="1072.2538006722691"/>
    <n v="195"/>
    <s v="Low Value"/>
    <s v="Feb-2024"/>
    <s v="Professional Jump Rope"/>
    <s v="Sports"/>
    <x v="304"/>
  </r>
  <r>
    <s v="SALE1406"/>
    <d v="2023-12-30T00:00:00"/>
    <x v="308"/>
    <s v="PROD54"/>
    <s v="STORE6"/>
    <n v="3"/>
    <n v="676.77"/>
    <n v="0.17"/>
    <x v="1"/>
    <n v="1685.1573000000001"/>
    <n v="637065.82179999992"/>
    <n v="1072.5013835016834"/>
    <n v="194"/>
    <s v="High Value"/>
    <s v="Dec-2023"/>
    <s v="Sports Stopwatch Pro"/>
    <s v="Sports"/>
    <x v="306"/>
  </r>
  <r>
    <s v="SALE1407"/>
    <d v="2024-12-12T00:00:00"/>
    <x v="233"/>
    <s v="PROD7"/>
    <s v="STORE16"/>
    <n v="2"/>
    <n v="362.7"/>
    <n v="0.09"/>
    <x v="0"/>
    <n v="660.11400000000003"/>
    <n v="635380.66449999996"/>
    <n v="1071.46823693086"/>
    <n v="193"/>
    <s v="Low Value"/>
    <s v="Dec-2024"/>
    <s v="LED Table Lamp"/>
    <s v="Home"/>
    <x v="232"/>
  </r>
  <r>
    <s v="SALE1408"/>
    <d v="2025-01-22T00:00:00"/>
    <x v="163"/>
    <s v="PROD13"/>
    <s v="STORE2"/>
    <n v="1"/>
    <n v="908.5"/>
    <n v="0.2"/>
    <x v="2"/>
    <n v="726.80000000000007"/>
    <n v="634720.5504999999"/>
    <n v="1072.1630920608106"/>
    <n v="193"/>
    <s v="Low Value"/>
    <s v="Jan-2025"/>
    <s v="USB-C Fast Charger"/>
    <s v="Electronics"/>
    <x v="162"/>
  </r>
  <r>
    <s v="SALE1409"/>
    <d v="2024-01-05T00:00:00"/>
    <x v="101"/>
    <s v="PROD25"/>
    <s v="STORE15"/>
    <n v="2"/>
    <n v="795.37"/>
    <n v="0.2"/>
    <x v="2"/>
    <n v="1272.5920000000001"/>
    <n v="633993.75049999985"/>
    <n v="1072.7474627749575"/>
    <n v="193"/>
    <s v="High Value"/>
    <s v="Jan-2024"/>
    <s v="Women's Scarf Set"/>
    <s v="Clothing"/>
    <x v="100"/>
  </r>
  <r>
    <s v="SALE1410"/>
    <d v="2025-04-13T00:00:00"/>
    <x v="20"/>
    <s v="PROD35"/>
    <s v="STORE4"/>
    <n v="2"/>
    <n v="326.85000000000002"/>
    <n v="0.17"/>
    <x v="2"/>
    <n v="542.57100000000003"/>
    <n v="632721.1584999999"/>
    <n v="1072.4087432203389"/>
    <n v="193"/>
    <s v="Low Value"/>
    <s v="Apr-2025"/>
    <s v="Bedroom Table Lamp"/>
    <s v="Home"/>
    <x v="20"/>
  </r>
  <r>
    <s v="SALE1411"/>
    <d v="2024-11-07T00:00:00"/>
    <x v="401"/>
    <s v="PROD56"/>
    <s v="STORE14"/>
    <n v="3"/>
    <n v="169.43"/>
    <n v="0.19"/>
    <x v="0"/>
    <n v="411.71490000000011"/>
    <n v="632178.58749999991"/>
    <n v="1073.3082979626483"/>
    <n v="193"/>
    <s v="Low Value"/>
    <s v="Nov-2024"/>
    <s v="Premium Blanket Throw"/>
    <s v="Home"/>
    <x v="399"/>
  </r>
  <r>
    <s v="SALE1412"/>
    <d v="2024-05-01T00:00:00"/>
    <x v="300"/>
    <s v="PROD83"/>
    <s v="STORE6"/>
    <n v="1"/>
    <n v="254.47"/>
    <n v="0.1"/>
    <x v="0"/>
    <n v="229.023"/>
    <n v="631766.87259999989"/>
    <n v="1074.4334568027209"/>
    <n v="193"/>
    <s v="Low Value"/>
    <s v="May-2024"/>
    <s v="Hydrating Face Cleanser"/>
    <s v="Beauty"/>
    <x v="298"/>
  </r>
  <r>
    <s v="SALE1413"/>
    <d v="2024-08-02T00:00:00"/>
    <x v="306"/>
    <s v="PROD25"/>
    <s v="STORE16"/>
    <n v="4"/>
    <n v="627.73"/>
    <n v="0.11"/>
    <x v="2"/>
    <n v="2234.7188000000001"/>
    <n v="631537.84959999996"/>
    <n v="1075.8736790459966"/>
    <n v="193"/>
    <s v="High Value"/>
    <s v="Aug-2024"/>
    <s v="Women's Scarf Set"/>
    <s v="Clothing"/>
    <x v="304"/>
  </r>
  <r>
    <s v="SALE1414"/>
    <d v="2024-04-12T00:00:00"/>
    <x v="171"/>
    <s v="PROD31"/>
    <s v="STORE19"/>
    <n v="4"/>
    <n v="327.25"/>
    <n v="0.13"/>
    <x v="2"/>
    <n v="1138.83"/>
    <n v="629303.13080000004"/>
    <n v="1073.8961276450514"/>
    <n v="193"/>
    <s v="High Value"/>
    <s v="Apr-2024"/>
    <s v="Basketball"/>
    <s v="Sports"/>
    <x v="170"/>
  </r>
  <r>
    <s v="SALE1415"/>
    <d v="2025-04-08T00:00:00"/>
    <x v="281"/>
    <s v="PROD59"/>
    <s v="STORE11"/>
    <n v="4"/>
    <n v="511.43"/>
    <n v="0.18"/>
    <x v="2"/>
    <n v="1677.4903999999999"/>
    <n v="628164.30079999997"/>
    <n v="1073.7851295726496"/>
    <n v="193"/>
    <s v="High Value"/>
    <s v="Apr-2025"/>
    <s v="Men's Hair Styling Gel"/>
    <s v="Beauty"/>
    <x v="279"/>
  </r>
  <r>
    <s v="SALE1416"/>
    <d v="2024-06-30T00:00:00"/>
    <x v="255"/>
    <s v="PROD63"/>
    <s v="STORE17"/>
    <n v="4"/>
    <n v="194.67"/>
    <n v="0.23"/>
    <x v="1"/>
    <n v="599.58359999999993"/>
    <n v="626486.81039999996"/>
    <n v="1072.7513876712328"/>
    <n v="193"/>
    <s v="Low Value"/>
    <s v="Jun-2024"/>
    <s v="Organic Sunscreen Lotion"/>
    <s v="Beauty"/>
    <x v="254"/>
  </r>
  <r>
    <s v="SALE1417"/>
    <d v="2024-01-13T00:00:00"/>
    <x v="358"/>
    <s v="PROD23"/>
    <s v="STORE1"/>
    <n v="2"/>
    <n v="54.51"/>
    <n v="7.0000000000000007E-2"/>
    <x v="0"/>
    <n v="101.3886"/>
    <n v="625887.22680000006"/>
    <n v="1073.5629962264152"/>
    <n v="192"/>
    <s v="Low Value"/>
    <s v="Jan-2024"/>
    <s v="Men's Formal Shirt"/>
    <s v="Clothing"/>
    <x v="356"/>
  </r>
  <r>
    <s v="SALE1418"/>
    <d v="2024-09-22T00:00:00"/>
    <x v="136"/>
    <s v="PROD62"/>
    <s v="STORE11"/>
    <n v="4"/>
    <n v="964"/>
    <n v="0.14000000000000001"/>
    <x v="1"/>
    <n v="3316.16"/>
    <n v="625785.8382"/>
    <n v="1075.2333989690721"/>
    <n v="192"/>
    <s v="High Value"/>
    <s v="Sep-2024"/>
    <s v="Laptop Cooling Pad"/>
    <s v="Electronics"/>
    <x v="135"/>
  </r>
  <r>
    <s v="SALE1419"/>
    <d v="2024-08-23T00:00:00"/>
    <x v="345"/>
    <s v="PROD89"/>
    <s v="STORE4"/>
    <n v="1"/>
    <n v="170.12"/>
    <n v="0.26"/>
    <x v="1"/>
    <n v="125.8888"/>
    <n v="622469.6782000002"/>
    <n v="1071.3763824440623"/>
    <n v="191"/>
    <s v="Low Value"/>
    <s v="Aug-2024"/>
    <s v="Face Foundation Kit"/>
    <s v="Beauty"/>
    <x v="343"/>
  </r>
  <r>
    <s v="SALE1420"/>
    <d v="2025-08-06T00:00:00"/>
    <x v="7"/>
    <s v="PROD53"/>
    <s v="STORE19"/>
    <n v="2"/>
    <n v="664.5"/>
    <n v="0.23"/>
    <x v="0"/>
    <n v="1023.33"/>
    <n v="622343.78940000024"/>
    <n v="1073.0065334482763"/>
    <n v="190"/>
    <s v="High Value"/>
    <s v="Aug-2025"/>
    <s v="Men's Track Pants"/>
    <s v="Clothing"/>
    <x v="7"/>
  </r>
  <r>
    <s v="SALE1421"/>
    <d v="2025-10-06T00:00:00"/>
    <x v="171"/>
    <s v="PROD45"/>
    <s v="STORE10"/>
    <n v="4"/>
    <n v="557.51"/>
    <n v="0.11"/>
    <x v="0"/>
    <n v="1984.7356"/>
    <n v="621320.45940000017"/>
    <n v="1073.0923305699484"/>
    <n v="190"/>
    <s v="High Value"/>
    <s v="Oct-2025"/>
    <s v="High-Grip Football"/>
    <s v="Sports"/>
    <x v="170"/>
  </r>
  <r>
    <s v="SALE1422"/>
    <d v="2025-05-30T00:00:00"/>
    <x v="108"/>
    <s v="PROD90"/>
    <s v="STORE1"/>
    <n v="2"/>
    <n v="410"/>
    <n v="0.13"/>
    <x v="2"/>
    <n v="713.4"/>
    <n v="619335.72380000015"/>
    <n v="1071.5150930795851"/>
    <n v="190"/>
    <s v="Low Value"/>
    <s v="May-2025"/>
    <s v="Gaming Mouse Pad XL"/>
    <s v="Electronics"/>
    <x v="107"/>
  </r>
  <r>
    <s v="SALE1423"/>
    <d v="2024-06-30T00:00:00"/>
    <x v="408"/>
    <s v="PROD83"/>
    <s v="STORE5"/>
    <n v="2"/>
    <n v="879.93"/>
    <n v="0.28999999999999998"/>
    <x v="2"/>
    <n v="1249.5006000000001"/>
    <n v="618622.32380000013"/>
    <n v="1072.1357431542463"/>
    <n v="190"/>
    <s v="High Value"/>
    <s v="Jun-2024"/>
    <s v="Hydrating Face Cleanser"/>
    <s v="Beauty"/>
    <x v="406"/>
  </r>
  <r>
    <s v="SALE1424"/>
    <d v="2025-01-07T00:00:00"/>
    <x v="69"/>
    <s v="PROD13"/>
    <s v="STORE18"/>
    <n v="1"/>
    <n v="350.58"/>
    <n v="0.03"/>
    <x v="2"/>
    <n v="340.06259999999997"/>
    <n v="617372.82320000022"/>
    <n v="1071.827818055556"/>
    <n v="190"/>
    <s v="Low Value"/>
    <s v="Jan-2025"/>
    <s v="USB-C Fast Charger"/>
    <s v="Electronics"/>
    <x v="68"/>
  </r>
  <r>
    <s v="SALE1425"/>
    <d v="2024-12-07T00:00:00"/>
    <x v="401"/>
    <s v="PROD58"/>
    <s v="STORE3"/>
    <n v="4"/>
    <n v="348.58"/>
    <n v="0.16"/>
    <x v="0"/>
    <n v="1171.2288000000001"/>
    <n v="617032.76060000027"/>
    <n v="1073.1004532173918"/>
    <n v="190"/>
    <s v="High Value"/>
    <s v="Dec-2024"/>
    <s v="Womens Cotton Scarf"/>
    <s v="Clothing"/>
    <x v="399"/>
  </r>
  <r>
    <s v="SALE1426"/>
    <d v="2024-09-13T00:00:00"/>
    <x v="124"/>
    <s v="PROD25"/>
    <s v="STORE3"/>
    <n v="3"/>
    <n v="247.66"/>
    <n v="0.02"/>
    <x v="2"/>
    <n v="728.12040000000002"/>
    <n v="615861.53180000035"/>
    <n v="1072.9294979094082"/>
    <n v="190"/>
    <s v="Low Value"/>
    <s v="Sep-2024"/>
    <s v="Women's Scarf Set"/>
    <s v="Clothing"/>
    <x v="123"/>
  </r>
  <r>
    <s v="SALE1427"/>
    <d v="2023-11-14T00:00:00"/>
    <x v="327"/>
    <s v="PROD39"/>
    <s v="STORE15"/>
    <n v="3"/>
    <n v="836.27"/>
    <n v="0.16"/>
    <x v="0"/>
    <n v="2107.4004"/>
    <n v="615133.41140000033"/>
    <n v="1073.5312589877842"/>
    <n v="190"/>
    <s v="High Value"/>
    <s v="Nov-2023"/>
    <s v="Portable Power Bank"/>
    <s v="Electronics"/>
    <x v="325"/>
  </r>
  <r>
    <s v="SALE1428"/>
    <d v="2025-04-06T00:00:00"/>
    <x v="420"/>
    <s v="PROD14"/>
    <s v="STORE10"/>
    <n v="3"/>
    <n v="696.74"/>
    <n v="0.13"/>
    <x v="2"/>
    <n v="1818.4914000000001"/>
    <n v="613026.01100000029"/>
    <n v="1071.723795454546"/>
    <n v="190"/>
    <s v="High Value"/>
    <s v="Apr-2025"/>
    <s v="Decorative Wall Mirror"/>
    <s v="Home"/>
    <x v="418"/>
  </r>
  <r>
    <s v="SALE1429"/>
    <d v="2025-05-27T00:00:00"/>
    <x v="427"/>
    <s v="PROD94"/>
    <s v="STORE13"/>
    <n v="2"/>
    <n v="822.59"/>
    <n v="0.22"/>
    <x v="1"/>
    <n v="1283.2403999999999"/>
    <n v="611207.51960000035"/>
    <n v="1070.4159712784594"/>
    <n v="190"/>
    <s v="High Value"/>
    <s v="May-2025"/>
    <s v="Vitamin E Body Lotion"/>
    <s v="Beauty"/>
    <x v="425"/>
  </r>
  <r>
    <s v="SALE1430"/>
    <d v="2023-12-03T00:00:00"/>
    <x v="248"/>
    <s v="PROD79"/>
    <s v="STORE2"/>
    <n v="1"/>
    <n v="462.23"/>
    <n v="0.3"/>
    <x v="1"/>
    <n v="323.56099999999998"/>
    <n v="609924.27920000034"/>
    <n v="1070.04259508772"/>
    <n v="189"/>
    <s v="Low Value"/>
    <s v="Dec-2023"/>
    <s v="Decorative Lamp Shade"/>
    <s v="Home"/>
    <x v="247"/>
  </r>
  <r>
    <s v="SALE1431"/>
    <d v="2025-09-06T00:00:00"/>
    <x v="467"/>
    <s v="PROD42"/>
    <s v="STORE17"/>
    <n v="1"/>
    <n v="361.09"/>
    <n v="0.06"/>
    <x v="1"/>
    <n v="339.42459999999988"/>
    <n v="609600.71820000035"/>
    <n v="1071.3545135325137"/>
    <n v="188"/>
    <s v="Low Value"/>
    <s v="Sep-2025"/>
    <s v="Smart Home WiFi Camera"/>
    <s v="Electronics"/>
    <x v="465"/>
  </r>
  <r>
    <s v="SALE1432"/>
    <d v="2023-11-13T00:00:00"/>
    <x v="280"/>
    <s v="PROD73"/>
    <s v="STORE19"/>
    <n v="3"/>
    <n v="59.37"/>
    <n v="0.03"/>
    <x v="1"/>
    <n v="172.76669999999999"/>
    <n v="609261.29360000032"/>
    <n v="1072.6431225352119"/>
    <n v="187"/>
    <s v="Low Value"/>
    <s v="Nov-2023"/>
    <s v="Shin Guards – Adult"/>
    <s v="Sports"/>
    <x v="278"/>
  </r>
  <r>
    <s v="SALE1433"/>
    <d v="2025-01-29T00:00:00"/>
    <x v="357"/>
    <s v="PROD40"/>
    <s v="STORE1"/>
    <n v="3"/>
    <n v="765.21"/>
    <n v="0.14000000000000001"/>
    <x v="2"/>
    <n v="1974.2418"/>
    <n v="609088.52690000029"/>
    <n v="1074.2302061728401"/>
    <n v="186"/>
    <s v="High Value"/>
    <s v="Jan-2025"/>
    <s v="Noise-Canceling Headphones"/>
    <s v="Electronics"/>
    <x v="355"/>
  </r>
  <r>
    <s v="SALE1434"/>
    <d v="2024-06-29T00:00:00"/>
    <x v="129"/>
    <s v="PROD32"/>
    <s v="STORE12"/>
    <n v="4"/>
    <n v="303.56"/>
    <n v="0.2"/>
    <x v="2"/>
    <n v="971.39200000000005"/>
    <n v="607114.28510000033"/>
    <n v="1072.6400796819794"/>
    <n v="186"/>
    <s v="Low Value"/>
    <s v="Jun-2024"/>
    <s v="Vitamin C Face Serum"/>
    <s v="Beauty"/>
    <x v="128"/>
  </r>
  <r>
    <s v="SALE1435"/>
    <d v="2025-05-02T00:00:00"/>
    <x v="13"/>
    <s v="PROD27"/>
    <s v="STORE0"/>
    <n v="1"/>
    <n v="640.92999999999995"/>
    <n v="0.19"/>
    <x v="1"/>
    <n v="519.15329999999994"/>
    <n v="606142.89310000022"/>
    <n v="1072.8192798230093"/>
    <n v="186"/>
    <s v="Low Value"/>
    <s v="May-2025"/>
    <s v="Decorative Floor Vase"/>
    <s v="Home"/>
    <x v="13"/>
  </r>
  <r>
    <s v="SALE1436"/>
    <d v="2025-06-22T00:00:00"/>
    <x v="468"/>
    <s v="PROD86"/>
    <s v="STORE10"/>
    <n v="2"/>
    <n v="611.25"/>
    <n v="0.22"/>
    <x v="0"/>
    <n v="953.55000000000007"/>
    <n v="605623.73980000021"/>
    <n v="1073.800957092199"/>
    <n v="185"/>
    <s v="Low Value"/>
    <s v="Jun-2025"/>
    <s v="Kitchen Cutting Board"/>
    <s v="Home"/>
    <x v="466"/>
  </r>
  <r>
    <s v="SALE1437"/>
    <d v="2025-04-09T00:00:00"/>
    <x v="343"/>
    <s v="PROD66"/>
    <s v="STORE1"/>
    <n v="1"/>
    <n v="209.93"/>
    <n v="0.21"/>
    <x v="0"/>
    <n v="165.84469999999999"/>
    <n v="604670.18980000028"/>
    <n v="1074.0145467140326"/>
    <n v="185"/>
    <s v="Low Value"/>
    <s v="Apr-2025"/>
    <s v="Women's Hair Dryer Brush"/>
    <s v="Beauty"/>
    <x v="341"/>
  </r>
  <r>
    <s v="SALE1438"/>
    <d v="2025-07-09T00:00:00"/>
    <x v="407"/>
    <s v="PROD99"/>
    <s v="STORE10"/>
    <n v="3"/>
    <n v="130.38999999999999"/>
    <n v="0.24"/>
    <x v="1"/>
    <n v="297.28919999999999"/>
    <n v="604504.34510000027"/>
    <n v="1075.6305072953742"/>
    <n v="185"/>
    <s v="Low Value"/>
    <s v="Jul-2025"/>
    <s v="Stainless Steel Cookware Set"/>
    <s v="Home"/>
    <x v="405"/>
  </r>
  <r>
    <s v="SALE1439"/>
    <d v="2024-01-31T00:00:00"/>
    <x v="469"/>
    <s v="PROD93"/>
    <s v="STORE7"/>
    <n v="2"/>
    <n v="846.18"/>
    <n v="0.1"/>
    <x v="2"/>
    <n v="1523.124"/>
    <n v="604207.05590000027"/>
    <n v="1077.0179249554371"/>
    <n v="184"/>
    <s v="High Value"/>
    <s v="Jan-2024"/>
    <s v="USB-C Laptop Charger"/>
    <s v="Electronics"/>
    <x v="467"/>
  </r>
  <r>
    <s v="SALE1440"/>
    <d v="2025-06-21T00:00:00"/>
    <x v="368"/>
    <s v="PROD70"/>
    <s v="STORE14"/>
    <n v="2"/>
    <n v="424.53"/>
    <n v="0.14000000000000001"/>
    <x v="2"/>
    <n v="730.19159999999999"/>
    <n v="602683.93190000032"/>
    <n v="1076.2213069642862"/>
    <n v="184"/>
    <s v="Low Value"/>
    <s v="Jun-2025"/>
    <s v="Kitchen Storage Rack"/>
    <s v="Home"/>
    <x v="366"/>
  </r>
  <r>
    <s v="SALE1441"/>
    <d v="2024-09-04T00:00:00"/>
    <x v="470"/>
    <s v="PROD88"/>
    <s v="STORE14"/>
    <n v="4"/>
    <n v="450.42"/>
    <n v="0.08"/>
    <x v="2"/>
    <n v="1657.5455999999999"/>
    <n v="601953.7403000003"/>
    <n v="1076.840322540251"/>
    <n v="184"/>
    <s v="High Value"/>
    <s v="Sep-2024"/>
    <s v="Sports Wrist Sweatbands"/>
    <s v="Sports"/>
    <x v="468"/>
  </r>
  <r>
    <s v="SALE1442"/>
    <d v="2025-08-24T00:00:00"/>
    <x v="308"/>
    <s v="PROD26"/>
    <s v="STORE9"/>
    <n v="4"/>
    <n v="896.91"/>
    <n v="0.1"/>
    <x v="0"/>
    <n v="3228.8760000000002"/>
    <n v="600296.19470000023"/>
    <n v="1075.7996320788534"/>
    <n v="184"/>
    <s v="High Value"/>
    <s v="Aug-2025"/>
    <s v="Wireless Bluetooth Speaker"/>
    <s v="Electronics"/>
    <x v="306"/>
  </r>
  <r>
    <s v="SALE1443"/>
    <d v="2025-06-06T00:00:00"/>
    <x v="144"/>
    <s v="PROD97"/>
    <s v="STORE10"/>
    <n v="3"/>
    <n v="679.38"/>
    <n v="0.3"/>
    <x v="2"/>
    <n v="1426.6980000000001"/>
    <n v="597067.31870000029"/>
    <n v="1071.934144883304"/>
    <n v="184"/>
    <s v="High Value"/>
    <s v="Jun-2025"/>
    <s v="Cricket Bat"/>
    <s v="Sports"/>
    <x v="143"/>
  </r>
  <r>
    <s v="SALE1444"/>
    <d v="2024-10-06T00:00:00"/>
    <x v="6"/>
    <s v="PROD80"/>
    <s v="STORE16"/>
    <n v="3"/>
    <n v="483.63"/>
    <n v="0"/>
    <x v="0"/>
    <n v="1450.89"/>
    <n v="595640.6207000002"/>
    <n v="1071.2960803956839"/>
    <n v="184"/>
    <s v="High Value"/>
    <s v="Oct-2024"/>
    <s v="Wall-Mounted Spice Rack"/>
    <s v="Home"/>
    <x v="6"/>
  </r>
  <r>
    <s v="SALE1445"/>
    <d v="2024-09-07T00:00:00"/>
    <x v="454"/>
    <s v="PROD39"/>
    <s v="STORE0"/>
    <n v="3"/>
    <n v="158.27000000000001"/>
    <n v="0.24"/>
    <x v="2"/>
    <n v="360.85559999999998"/>
    <n v="594189.73070000019"/>
    <n v="1070.6121273873878"/>
    <n v="184"/>
    <s v="Low Value"/>
    <s v="Sep-2024"/>
    <s v="Portable Power Bank"/>
    <s v="Electronics"/>
    <x v="452"/>
  </r>
  <r>
    <s v="SALE1446"/>
    <d v="2025-04-11T00:00:00"/>
    <x v="71"/>
    <s v="PROD2"/>
    <s v="STORE15"/>
    <n v="4"/>
    <n v="601.5"/>
    <n v="0.18"/>
    <x v="0"/>
    <n v="1972.92"/>
    <n v="593828.87510000018"/>
    <n v="1071.893276353791"/>
    <n v="184"/>
    <s v="High Value"/>
    <s v="Apr-2025"/>
    <s v="Women's Casual Hoodie"/>
    <s v="Clothing"/>
    <x v="70"/>
  </r>
  <r>
    <s v="SALE1447"/>
    <d v="2025-02-21T00:00:00"/>
    <x v="182"/>
    <s v="PROD31"/>
    <s v="STORE18"/>
    <n v="2"/>
    <n v="46.39"/>
    <n v="7.0000000000000007E-2"/>
    <x v="0"/>
    <n v="86.285399999999996"/>
    <n v="591855.95510000014"/>
    <n v="1070.2639332730564"/>
    <n v="184"/>
    <s v="Low Value"/>
    <s v="Feb-2025"/>
    <s v="Basketball"/>
    <s v="Sports"/>
    <x v="181"/>
  </r>
  <r>
    <s v="SALE1448"/>
    <d v="2024-10-22T00:00:00"/>
    <x v="97"/>
    <s v="PROD82"/>
    <s v="STORE8"/>
    <n v="4"/>
    <n v="892.28"/>
    <n v="0.23"/>
    <x v="0"/>
    <n v="2748.2224000000001"/>
    <n v="591769.66970000009"/>
    <n v="1072.0465030797102"/>
    <n v="184"/>
    <s v="High Value"/>
    <s v="Oct-2024"/>
    <s v="Fitness Resistance Bands"/>
    <s v="Sports"/>
    <x v="96"/>
  </r>
  <r>
    <s v="SALE1449"/>
    <d v="2024-07-21T00:00:00"/>
    <x v="70"/>
    <s v="PROD10"/>
    <s v="STORE7"/>
    <n v="2"/>
    <n v="164.23"/>
    <n v="0.17"/>
    <x v="0"/>
    <n v="272.62180000000001"/>
    <n v="589021.4473"/>
    <n v="1069.0044415607986"/>
    <n v="184"/>
    <s v="Low Value"/>
    <s v="Jul-2024"/>
    <s v="Ceramic Kitchen Bowl Set"/>
    <s v="Home"/>
    <x v="69"/>
  </r>
  <r>
    <s v="SALE1450"/>
    <d v="2024-01-14T00:00:00"/>
    <x v="340"/>
    <s v="PROD9"/>
    <s v="STORE7"/>
    <n v="1"/>
    <n v="484.23"/>
    <n v="0.12"/>
    <x v="2"/>
    <n v="426.12240000000003"/>
    <n v="588748.82550000004"/>
    <n v="1070.4524100000001"/>
    <n v="184"/>
    <s v="Low Value"/>
    <s v="Jan-2024"/>
    <s v="Adjustable Dumbbell Set"/>
    <s v="Sports"/>
    <x v="338"/>
  </r>
  <r>
    <s v="SALE1451"/>
    <d v="2024-04-01T00:00:00"/>
    <x v="399"/>
    <s v="PROD35"/>
    <s v="STORE18"/>
    <n v="3"/>
    <n v="341.51"/>
    <n v="0.22"/>
    <x v="2"/>
    <n v="799.13340000000005"/>
    <n v="588322.70309999993"/>
    <n v="1071.6260530054644"/>
    <n v="184"/>
    <s v="Low Value"/>
    <s v="Apr-2024"/>
    <s v="Bedroom Table Lamp"/>
    <s v="Home"/>
    <x v="397"/>
  </r>
  <r>
    <s v="SALE1452"/>
    <d v="2025-05-11T00:00:00"/>
    <x v="423"/>
    <s v="PROD98"/>
    <s v="STORE13"/>
    <n v="3"/>
    <n v="758.87"/>
    <n v="0.11"/>
    <x v="1"/>
    <n v="2026.1829"/>
    <n v="587523.56969999999"/>
    <n v="1072.1233023722627"/>
    <n v="184"/>
    <s v="High Value"/>
    <s v="May-2025"/>
    <s v="Portable Bluetooth Speaker"/>
    <s v="Electronics"/>
    <x v="421"/>
  </r>
  <r>
    <s v="SALE1453"/>
    <d v="2025-07-17T00:00:00"/>
    <x v="44"/>
    <s v="PROD56"/>
    <s v="STORE12"/>
    <n v="3"/>
    <n v="560.52"/>
    <n v="0.17"/>
    <x v="0"/>
    <n v="1395.6948"/>
    <n v="585497.38679999998"/>
    <n v="1070.3791349177332"/>
    <n v="183"/>
    <s v="High Value"/>
    <s v="Jul-2025"/>
    <s v="Premium Blanket Throw"/>
    <s v="Home"/>
    <x v="44"/>
  </r>
  <r>
    <s v="SALE1454"/>
    <d v="2024-08-29T00:00:00"/>
    <x v="378"/>
    <s v="PROD96"/>
    <s v="STORE17"/>
    <n v="2"/>
    <n v="977.18"/>
    <n v="0.19"/>
    <x v="0"/>
    <n v="1583.0316"/>
    <n v="584101.69200000004"/>
    <n v="1069.7833186813189"/>
    <n v="183"/>
    <s v="High Value"/>
    <s v="Aug-2024"/>
    <s v="Women's Formal Blazer"/>
    <s v="Clothing"/>
    <x v="376"/>
  </r>
  <r>
    <s v="SALE1455"/>
    <d v="2025-04-16T00:00:00"/>
    <x v="471"/>
    <s v="PROD16"/>
    <s v="STORE14"/>
    <n v="4"/>
    <n v="761.35"/>
    <n v="0.08"/>
    <x v="0"/>
    <n v="2801.768"/>
    <n v="582518.66039999994"/>
    <n v="1068.8415787155961"/>
    <n v="183"/>
    <s v="High Value"/>
    <s v="Apr-2025"/>
    <s v="Beard Grooming Kit"/>
    <s v="Beauty"/>
    <x v="469"/>
  </r>
  <r>
    <s v="SALE1456"/>
    <d v="2025-08-31T00:00:00"/>
    <x v="449"/>
    <s v="PROD67"/>
    <s v="STORE18"/>
    <n v="2"/>
    <n v="947.56"/>
    <n v="0.02"/>
    <x v="2"/>
    <n v="1857.2175999999999"/>
    <n v="579716.89240000001"/>
    <n v="1065.6560522058824"/>
    <n v="183"/>
    <s v="High Value"/>
    <s v="Aug-2025"/>
    <s v="Smart LED Light Strip"/>
    <s v="Electronics"/>
    <x v="447"/>
  </r>
  <r>
    <s v="SALE1457"/>
    <d v="2025-10-13T00:00:00"/>
    <x v="472"/>
    <s v="PROD43"/>
    <s v="STORE18"/>
    <n v="4"/>
    <n v="975.47"/>
    <n v="0.04"/>
    <x v="0"/>
    <n v="3745.8047999999999"/>
    <n v="577859.67480000004"/>
    <n v="1064.1982961325969"/>
    <n v="183"/>
    <s v="High Value"/>
    <s v="Oct-2025"/>
    <s v="USB External Hard Drive"/>
    <s v="Electronics"/>
    <x v="470"/>
  </r>
  <r>
    <s v="SALE1458"/>
    <d v="2024-06-05T00:00:00"/>
    <x v="292"/>
    <s v="PROD13"/>
    <s v="STORE9"/>
    <n v="3"/>
    <n v="769.06"/>
    <n v="0.23"/>
    <x v="2"/>
    <n v="1776.5286000000001"/>
    <n v="574113.87"/>
    <n v="1059.2506826568265"/>
    <n v="183"/>
    <s v="High Value"/>
    <s v="Jun-2024"/>
    <s v="USB-C Fast Charger"/>
    <s v="Electronics"/>
    <x v="290"/>
  </r>
  <r>
    <s v="SALE1459"/>
    <d v="2025-09-29T00:00:00"/>
    <x v="371"/>
    <s v="PROD39"/>
    <s v="STORE2"/>
    <n v="3"/>
    <n v="824.75"/>
    <n v="0.23"/>
    <x v="0"/>
    <n v="1905.1724999999999"/>
    <n v="572337.34140000003"/>
    <n v="1057.9248454713495"/>
    <n v="183"/>
    <s v="High Value"/>
    <s v="Sep-2025"/>
    <s v="Portable Power Bank"/>
    <s v="Electronics"/>
    <x v="369"/>
  </r>
  <r>
    <s v="SALE1460"/>
    <d v="2024-07-05T00:00:00"/>
    <x v="123"/>
    <s v="PROD68"/>
    <s v="STORE4"/>
    <n v="2"/>
    <n v="821.35"/>
    <n v="0.11"/>
    <x v="1"/>
    <n v="1462.0029999999999"/>
    <n v="570432.16889999993"/>
    <n v="1056.3558683333333"/>
    <n v="183"/>
    <s v="High Value"/>
    <s v="Jul-2024"/>
    <s v="Wooden Nightstand"/>
    <s v="Home"/>
    <x v="122"/>
  </r>
  <r>
    <s v="SALE1461"/>
    <d v="2025-03-07T00:00:00"/>
    <x v="131"/>
    <s v="PROD13"/>
    <s v="STORE10"/>
    <n v="1"/>
    <n v="120.57"/>
    <n v="0.06"/>
    <x v="1"/>
    <n v="113.33580000000001"/>
    <n v="568970.16590000002"/>
    <n v="1055.6032762523191"/>
    <n v="182"/>
    <s v="Low Value"/>
    <s v="Mar-2025"/>
    <s v="USB-C Fast Charger"/>
    <s v="Electronics"/>
    <x v="130"/>
  </r>
  <r>
    <s v="SALE1462"/>
    <d v="2023-11-10T00:00:00"/>
    <x v="41"/>
    <s v="PROD89"/>
    <s v="STORE1"/>
    <n v="1"/>
    <n v="122.27"/>
    <n v="0.26"/>
    <x v="1"/>
    <n v="90.479799999999997"/>
    <n v="568856.83010000002"/>
    <n v="1057.3547027881041"/>
    <n v="181"/>
    <s v="Low Value"/>
    <s v="Nov-2023"/>
    <s v="Face Foundation Kit"/>
    <s v="Beauty"/>
    <x v="41"/>
  </r>
  <r>
    <s v="SALE1463"/>
    <d v="2025-08-21T00:00:00"/>
    <x v="166"/>
    <s v="PROD26"/>
    <s v="STORE2"/>
    <n v="2"/>
    <n v="182.89"/>
    <n v="0.11"/>
    <x v="0"/>
    <n v="325.54419999999999"/>
    <n v="568766.35029999993"/>
    <n v="1059.1552147113593"/>
    <n v="180"/>
    <s v="Low Value"/>
    <s v="Aug-2025"/>
    <s v="Wireless Bluetooth Speaker"/>
    <s v="Electronics"/>
    <x v="165"/>
  </r>
  <r>
    <s v="SALE1464"/>
    <d v="2025-05-19T00:00:00"/>
    <x v="171"/>
    <s v="PROD46"/>
    <s v="STORE4"/>
    <n v="1"/>
    <n v="695.26"/>
    <n v="0.23"/>
    <x v="1"/>
    <n v="535.35019999999997"/>
    <n v="568440.80610000005"/>
    <n v="1060.523891977612"/>
    <n v="180"/>
    <s v="Low Value"/>
    <s v="May-2025"/>
    <s v="Men's Winter Jacket"/>
    <s v="Clothing"/>
    <x v="170"/>
  </r>
  <r>
    <s v="SALE1465"/>
    <d v="2025-08-26T00:00:00"/>
    <x v="250"/>
    <s v="PROD29"/>
    <s v="STORE6"/>
    <n v="2"/>
    <n v="408.8"/>
    <n v="0.17"/>
    <x v="2"/>
    <n v="678.60799999999995"/>
    <n v="567905.45590000006"/>
    <n v="1061.5055250467292"/>
    <n v="179"/>
    <s v="Low Value"/>
    <s v="Aug-2025"/>
    <s v="Fabric Sofa Throw Blanket"/>
    <s v="Home"/>
    <x v="249"/>
  </r>
  <r>
    <s v="SALE1466"/>
    <d v="2025-01-19T00:00:00"/>
    <x v="473"/>
    <s v="PROD49"/>
    <s v="STORE8"/>
    <n v="3"/>
    <n v="512.15"/>
    <n v="0.12"/>
    <x v="0"/>
    <n v="1352.076"/>
    <n v="567226.84790000005"/>
    <n v="1062.222561610487"/>
    <n v="179"/>
    <s v="High Value"/>
    <s v="Jan-2025"/>
    <s v="Men's Roll-On Perfume"/>
    <s v="Beauty"/>
    <x v="471"/>
  </r>
  <r>
    <s v="SALE1467"/>
    <d v="2024-10-03T00:00:00"/>
    <x v="0"/>
    <s v="PROD9"/>
    <s v="STORE8"/>
    <n v="3"/>
    <n v="136.4"/>
    <n v="0.15"/>
    <x v="1"/>
    <n v="347.82000000000011"/>
    <n v="565874.77190000005"/>
    <n v="1061.6787465290809"/>
    <n v="179"/>
    <s v="Low Value"/>
    <s v="Oct-2024"/>
    <s v="Adjustable Dumbbell Set"/>
    <s v="Sports"/>
    <x v="0"/>
  </r>
  <r>
    <s v="SALE1468"/>
    <d v="2023-12-12T00:00:00"/>
    <x v="143"/>
    <s v="PROD6"/>
    <s v="STORE3"/>
    <n v="2"/>
    <n v="42.51"/>
    <n v="0.04"/>
    <x v="2"/>
    <n v="81.619199999999992"/>
    <n v="565526.9519000001"/>
    <n v="1063.0205862781957"/>
    <n v="178"/>
    <s v="Low Value"/>
    <s v="Dec-2023"/>
    <s v="Herbal Face Moisturizer"/>
    <s v="Beauty"/>
    <x v="142"/>
  </r>
  <r>
    <s v="SALE1469"/>
    <d v="2025-03-02T00:00:00"/>
    <x v="448"/>
    <s v="PROD75"/>
    <s v="STORE7"/>
    <n v="3"/>
    <n v="582.1"/>
    <n v="0.12"/>
    <x v="1"/>
    <n v="1536.7439999999999"/>
    <n v="565445.33270000014"/>
    <n v="1064.8687998116764"/>
    <n v="178"/>
    <s v="High Value"/>
    <s v="Mar-2025"/>
    <s v="Women's Ankle Boots"/>
    <s v="Clothing"/>
    <x v="446"/>
  </r>
  <r>
    <s v="SALE1470"/>
    <d v="2024-03-05T00:00:00"/>
    <x v="209"/>
    <s v="PROD82"/>
    <s v="STORE17"/>
    <n v="4"/>
    <n v="461.52"/>
    <n v="0"/>
    <x v="2"/>
    <n v="1846.08"/>
    <n v="563908.58870000008"/>
    <n v="1063.9784692452831"/>
    <n v="177"/>
    <s v="High Value"/>
    <s v="Mar-2024"/>
    <s v="Fitness Resistance Bands"/>
    <s v="Sports"/>
    <x v="208"/>
  </r>
  <r>
    <s v="SALE1471"/>
    <d v="2024-09-17T00:00:00"/>
    <x v="111"/>
    <s v="PROD16"/>
    <s v="STORE11"/>
    <n v="1"/>
    <n v="558.41999999999996"/>
    <n v="0.03"/>
    <x v="0"/>
    <n v="541.66739999999993"/>
    <n v="562062.50870000001"/>
    <n v="1062.5000164461248"/>
    <n v="177"/>
    <s v="Low Value"/>
    <s v="Sep-2024"/>
    <s v="Beard Grooming Kit"/>
    <s v="Beauty"/>
    <x v="110"/>
  </r>
  <r>
    <s v="SALE1472"/>
    <d v="2023-12-28T00:00:00"/>
    <x v="221"/>
    <s v="PROD12"/>
    <s v="STORE18"/>
    <n v="4"/>
    <n v="700.98"/>
    <n v="0.12"/>
    <x v="1"/>
    <n v="2467.4495999999999"/>
    <n v="561520.84130000009"/>
    <n v="1063.4864418560608"/>
    <n v="177"/>
    <s v="High Value"/>
    <s v="Dec-2023"/>
    <s v="Hair Strengthening Shampoo"/>
    <s v="Beauty"/>
    <x v="220"/>
  </r>
  <r>
    <s v="SALE1473"/>
    <d v="2024-11-09T00:00:00"/>
    <x v="131"/>
    <s v="PROD85"/>
    <s v="STORE18"/>
    <n v="2"/>
    <n v="227.97"/>
    <n v="0.08"/>
    <x v="2"/>
    <n v="419.46480000000003"/>
    <n v="559053.39169999992"/>
    <n v="1060.8223751423147"/>
    <n v="176"/>
    <s v="Low Value"/>
    <s v="Nov-2024"/>
    <s v="Women's Beanie Hat"/>
    <s v="Clothing"/>
    <x v="130"/>
  </r>
  <r>
    <s v="SALE1474"/>
    <d v="2024-08-12T00:00:00"/>
    <x v="403"/>
    <s v="PROD39"/>
    <s v="STORE11"/>
    <n v="4"/>
    <n v="278.70999999999998"/>
    <n v="0.2"/>
    <x v="1"/>
    <n v="891.87199999999996"/>
    <n v="558633.92689999996"/>
    <n v="1062.0416861216729"/>
    <n v="176"/>
    <s v="Low Value"/>
    <s v="Aug-2024"/>
    <s v="Portable Power Bank"/>
    <s v="Electronics"/>
    <x v="401"/>
  </r>
  <r>
    <s v="SALE1475"/>
    <d v="2024-03-28T00:00:00"/>
    <x v="415"/>
    <s v="PROD99"/>
    <s v="STORE8"/>
    <n v="2"/>
    <n v="916.12"/>
    <n v="0.05"/>
    <x v="1"/>
    <n v="1740.6279999999999"/>
    <n v="557742.05489999999"/>
    <n v="1062.3658188571428"/>
    <n v="175"/>
    <s v="High Value"/>
    <s v="Mar-2024"/>
    <s v="Stainless Steel Cookware Set"/>
    <s v="Home"/>
    <x v="413"/>
  </r>
  <r>
    <s v="SALE1476"/>
    <d v="2024-10-02T00:00:00"/>
    <x v="244"/>
    <s v="PROD10"/>
    <s v="STORE12"/>
    <n v="4"/>
    <n v="228.98"/>
    <n v="0.22"/>
    <x v="1"/>
    <n v="714.41759999999999"/>
    <n v="556001.42689999985"/>
    <n v="1061.0714253816791"/>
    <n v="174"/>
    <s v="Low Value"/>
    <s v="Oct-2024"/>
    <s v="Ceramic Kitchen Bowl Set"/>
    <s v="Home"/>
    <x v="243"/>
  </r>
  <r>
    <s v="SALE1477"/>
    <d v="2024-08-06T00:00:00"/>
    <x v="241"/>
    <s v="PROD89"/>
    <s v="STORE15"/>
    <n v="4"/>
    <n v="904.82"/>
    <n v="0.09"/>
    <x v="1"/>
    <n v="3293.5448000000001"/>
    <n v="555287.00929999992"/>
    <n v="1061.7342434034415"/>
    <n v="173"/>
    <s v="High Value"/>
    <s v="Aug-2024"/>
    <s v="Face Foundation Kit"/>
    <s v="Beauty"/>
    <x v="240"/>
  </r>
  <r>
    <s v="SALE1478"/>
    <d v="2025-05-29T00:00:00"/>
    <x v="150"/>
    <s v="PROD23"/>
    <s v="STORE11"/>
    <n v="1"/>
    <n v="588.61"/>
    <n v="0.1"/>
    <x v="1"/>
    <n v="529.74900000000002"/>
    <n v="551993.46449999989"/>
    <n v="1057.4587442528734"/>
    <n v="172"/>
    <s v="Low Value"/>
    <s v="May-2025"/>
    <s v="Men's Formal Shirt"/>
    <s v="Clothing"/>
    <x v="149"/>
  </r>
  <r>
    <s v="SALE1479"/>
    <d v="2023-11-10T00:00:00"/>
    <x v="121"/>
    <s v="PROD33"/>
    <s v="STORE3"/>
    <n v="4"/>
    <n v="695.97"/>
    <n v="0.02"/>
    <x v="0"/>
    <n v="2728.2024000000001"/>
    <n v="551463.71549999993"/>
    <n v="1058.4716228406908"/>
    <n v="171"/>
    <s v="High Value"/>
    <s v="Nov-2023"/>
    <s v="Modern Wall Clock"/>
    <s v="Home"/>
    <x v="120"/>
  </r>
  <r>
    <s v="SALE1480"/>
    <d v="2024-01-18T00:00:00"/>
    <x v="443"/>
    <s v="PROD97"/>
    <s v="STORE11"/>
    <n v="2"/>
    <n v="181.42"/>
    <n v="0.08"/>
    <x v="1"/>
    <n v="333.81279999999998"/>
    <n v="548735.51309999998"/>
    <n v="1055.2606021153845"/>
    <n v="171"/>
    <s v="Low Value"/>
    <s v="Jan-2024"/>
    <s v="Cricket Bat"/>
    <s v="Sports"/>
    <x v="441"/>
  </r>
  <r>
    <s v="SALE1481"/>
    <d v="2024-03-24T00:00:00"/>
    <x v="193"/>
    <s v="PROD97"/>
    <s v="STORE13"/>
    <n v="1"/>
    <n v="439.55"/>
    <n v="0.28999999999999998"/>
    <x v="2"/>
    <n v="312.08049999999997"/>
    <n v="548401.70029999991"/>
    <n v="1056.6506749518303"/>
    <n v="170"/>
    <s v="Low Value"/>
    <s v="Mar-2024"/>
    <s v="Cricket Bat"/>
    <s v="Sports"/>
    <x v="192"/>
  </r>
  <r>
    <s v="SALE1482"/>
    <d v="2025-03-17T00:00:00"/>
    <x v="284"/>
    <s v="PROD55"/>
    <s v="STORE18"/>
    <n v="3"/>
    <n v="471.27"/>
    <n v="0.27"/>
    <x v="2"/>
    <n v="1032.0813000000001"/>
    <n v="548089.61979999999"/>
    <n v="1058.0880691119692"/>
    <n v="170"/>
    <s v="High Value"/>
    <s v="Mar-2025"/>
    <s v="Ceramic Plant Pot"/>
    <s v="Home"/>
    <x v="282"/>
  </r>
  <r>
    <s v="SALE1483"/>
    <d v="2024-05-23T00:00:00"/>
    <x v="197"/>
    <s v="PROD59"/>
    <s v="STORE12"/>
    <n v="1"/>
    <n v="758.89"/>
    <n v="0.1"/>
    <x v="0"/>
    <n v="683.00099999999998"/>
    <n v="547057.53849999991"/>
    <n v="1058.1383723404253"/>
    <n v="170"/>
    <s v="Low Value"/>
    <s v="May-2024"/>
    <s v="Men's Hair Styling Gel"/>
    <s v="Beauty"/>
    <x v="196"/>
  </r>
  <r>
    <s v="SALE1484"/>
    <d v="2025-07-26T00:00:00"/>
    <x v="144"/>
    <s v="PROD95"/>
    <s v="STORE15"/>
    <n v="4"/>
    <n v="918.1"/>
    <n v="0.19"/>
    <x v="2"/>
    <n v="2974.6439999999998"/>
    <n v="546374.53749999986"/>
    <n v="1058.8653827519377"/>
    <n v="170"/>
    <s v="High Value"/>
    <s v="Jul-2025"/>
    <s v="Sports Stopwatch Basic"/>
    <s v="Sports"/>
    <x v="143"/>
  </r>
  <r>
    <s v="SALE1485"/>
    <d v="2024-10-04T00:00:00"/>
    <x v="415"/>
    <s v="PROD94"/>
    <s v="STORE11"/>
    <n v="1"/>
    <n v="861.5"/>
    <n v="0.05"/>
    <x v="2"/>
    <n v="818.42499999999995"/>
    <n v="543399.89349999989"/>
    <n v="1055.1454242718444"/>
    <n v="170"/>
    <s v="Low Value"/>
    <s v="Oct-2024"/>
    <s v="Vitamin E Body Lotion"/>
    <s v="Beauty"/>
    <x v="413"/>
  </r>
  <r>
    <s v="SALE1486"/>
    <d v="2025-01-07T00:00:00"/>
    <x v="152"/>
    <s v="PROD22"/>
    <s v="STORE14"/>
    <n v="1"/>
    <n v="588.29999999999995"/>
    <n v="0.26"/>
    <x v="2"/>
    <n v="435.34199999999998"/>
    <n v="542581.46849999996"/>
    <n v="1055.6059698443578"/>
    <n v="170"/>
    <s v="Low Value"/>
    <s v="Jan-2025"/>
    <s v="Carbon Fiber Tennis Racket"/>
    <s v="Sports"/>
    <x v="151"/>
  </r>
  <r>
    <s v="SALE1487"/>
    <d v="2024-12-19T00:00:00"/>
    <x v="152"/>
    <s v="PROD55"/>
    <s v="STORE7"/>
    <n v="1"/>
    <n v="917.26"/>
    <n v="0.05"/>
    <x v="1"/>
    <n v="871.39699999999993"/>
    <n v="542146.1264999999"/>
    <n v="1056.8150614035085"/>
    <n v="170"/>
    <s v="Low Value"/>
    <s v="Dec-2024"/>
    <s v="Ceramic Plant Pot"/>
    <s v="Home"/>
    <x v="151"/>
  </r>
  <r>
    <s v="SALE1488"/>
    <d v="2024-06-06T00:00:00"/>
    <x v="320"/>
    <s v="PROD6"/>
    <s v="STORE18"/>
    <n v="4"/>
    <n v="96.78"/>
    <n v="0.11"/>
    <x v="1"/>
    <n v="344.53680000000003"/>
    <n v="541274.72949999978"/>
    <n v="1057.1772060546871"/>
    <n v="169"/>
    <s v="Low Value"/>
    <s v="Jun-2024"/>
    <s v="Herbal Face Moisturizer"/>
    <s v="Beauty"/>
    <x v="318"/>
  </r>
  <r>
    <s v="SALE1489"/>
    <d v="2024-12-03T00:00:00"/>
    <x v="151"/>
    <s v="PROD28"/>
    <s v="STORE4"/>
    <n v="3"/>
    <n v="199.41"/>
    <n v="0.16"/>
    <x v="2"/>
    <n v="502.51319999999998"/>
    <n v="540930.19269999978"/>
    <n v="1058.5718056751464"/>
    <n v="168"/>
    <s v="Low Value"/>
    <s v="Dec-2024"/>
    <s v="Sports Stopwatch Timer"/>
    <s v="Sports"/>
    <x v="150"/>
  </r>
  <r>
    <s v="SALE1490"/>
    <d v="2025-03-23T00:00:00"/>
    <x v="68"/>
    <s v="PROD54"/>
    <s v="STORE9"/>
    <n v="1"/>
    <n v="687.91"/>
    <n v="0.25"/>
    <x v="0"/>
    <n v="515.9325"/>
    <n v="540427.67949999974"/>
    <n v="1059.6621166666662"/>
    <n v="168"/>
    <s v="Low Value"/>
    <s v="Mar-2025"/>
    <s v="Sports Stopwatch Pro"/>
    <s v="Sports"/>
    <x v="67"/>
  </r>
  <r>
    <s v="SALE1491"/>
    <d v="2025-07-11T00:00:00"/>
    <x v="276"/>
    <s v="PROD71"/>
    <s v="STORE2"/>
    <n v="3"/>
    <n v="769.62"/>
    <n v="0.09"/>
    <x v="1"/>
    <n v="2101.0626000000002"/>
    <n v="539911.74699999974"/>
    <n v="1060.7303477406674"/>
    <n v="168"/>
    <s v="High Value"/>
    <s v="Jul-2025"/>
    <s v="Hair Repair Oil Treatment"/>
    <s v="Beauty"/>
    <x v="274"/>
  </r>
  <r>
    <s v="SALE1492"/>
    <d v="2023-10-31T00:00:00"/>
    <x v="233"/>
    <s v="PROD4"/>
    <s v="STORE3"/>
    <n v="1"/>
    <n v="492.05"/>
    <n v="0.27"/>
    <x v="0"/>
    <n v="359.19650000000001"/>
    <n v="537810.68439999968"/>
    <n v="1058.6824496062986"/>
    <n v="167"/>
    <s v="Low Value"/>
    <s v="Oct-2023"/>
    <s v="Women's Yoga Pants"/>
    <s v="Clothing"/>
    <x v="232"/>
  </r>
  <r>
    <s v="SALE1493"/>
    <d v="2024-01-01T00:00:00"/>
    <x v="253"/>
    <s v="PROD17"/>
    <s v="STORE12"/>
    <n v="2"/>
    <n v="428.55"/>
    <n v="0"/>
    <x v="1"/>
    <n v="857.1"/>
    <n v="537451.4878999996"/>
    <n v="1060.0621063116364"/>
    <n v="167"/>
    <s v="Low Value"/>
    <s v="Jan-2024"/>
    <s v="Soccer Training Cone Set"/>
    <s v="Sports"/>
    <x v="252"/>
  </r>
  <r>
    <s v="SALE1494"/>
    <d v="2023-11-21T00:00:00"/>
    <x v="296"/>
    <s v="PROD10"/>
    <s v="STORE15"/>
    <n v="4"/>
    <n v="316.18"/>
    <n v="0.12"/>
    <x v="0"/>
    <n v="1112.9536000000001"/>
    <n v="536594.38789999974"/>
    <n v="1060.4632171936753"/>
    <n v="166"/>
    <s v="High Value"/>
    <s v="Nov-2023"/>
    <s v="Ceramic Kitchen Bowl Set"/>
    <s v="Home"/>
    <x v="294"/>
  </r>
  <r>
    <s v="SALE1495"/>
    <d v="2024-09-20T00:00:00"/>
    <x v="69"/>
    <s v="PROD13"/>
    <s v="STORE3"/>
    <n v="3"/>
    <n v="162.16999999999999"/>
    <n v="0.15"/>
    <x v="1"/>
    <n v="413.5335"/>
    <n v="535481.43429999962"/>
    <n v="1060.3592758415834"/>
    <n v="166"/>
    <s v="Low Value"/>
    <s v="Sep-2024"/>
    <s v="USB-C Fast Charger"/>
    <s v="Electronics"/>
    <x v="68"/>
  </r>
  <r>
    <s v="SALE1496"/>
    <d v="2024-04-03T00:00:00"/>
    <x v="474"/>
    <s v="PROD4"/>
    <s v="STORE3"/>
    <n v="3"/>
    <n v="698.14"/>
    <n v="0.04"/>
    <x v="1"/>
    <n v="2010.6432"/>
    <n v="535067.90079999971"/>
    <n v="1061.6426603174598"/>
    <n v="165"/>
    <s v="High Value"/>
    <s v="Apr-2024"/>
    <s v="Women's Yoga Pants"/>
    <s v="Clothing"/>
    <x v="472"/>
  </r>
  <r>
    <s v="SALE1497"/>
    <d v="2025-05-10T00:00:00"/>
    <x v="441"/>
    <s v="PROD74"/>
    <s v="STORE18"/>
    <n v="1"/>
    <n v="478.08"/>
    <n v="7.0000000000000007E-2"/>
    <x v="2"/>
    <n v="444.61439999999988"/>
    <n v="533057.25759999978"/>
    <n v="1059.7559793240553"/>
    <n v="164"/>
    <s v="Low Value"/>
    <s v="May-2025"/>
    <s v="Bluetooth Car Audio System"/>
    <s v="Electronics"/>
    <x v="439"/>
  </r>
  <r>
    <s v="SALE1498"/>
    <d v="2025-06-14T00:00:00"/>
    <x v="266"/>
    <s v="PROD59"/>
    <s v="STORE7"/>
    <n v="2"/>
    <n v="958.64"/>
    <n v="0.2"/>
    <x v="1"/>
    <n v="1533.8240000000001"/>
    <n v="532612.6431999997"/>
    <n v="1060.9813609561747"/>
    <n v="164"/>
    <s v="High Value"/>
    <s v="Jun-2025"/>
    <s v="Men's Hair Styling Gel"/>
    <s v="Beauty"/>
    <x v="123"/>
  </r>
  <r>
    <s v="SALE1499"/>
    <d v="2024-10-25T00:00:00"/>
    <x v="9"/>
    <s v="PROD41"/>
    <s v="STORE12"/>
    <n v="2"/>
    <n v="581.19000000000005"/>
    <n v="7.0000000000000007E-2"/>
    <x v="2"/>
    <n v="1081.0134"/>
    <n v="531078.81919999979"/>
    <n v="1060.0375632734526"/>
    <n v="163"/>
    <s v="High Value"/>
    <s v="Oct-2024"/>
    <s v="Yoga Exercise Mat"/>
    <s v="Sports"/>
    <x v="9"/>
  </r>
  <r>
    <s v="SALE1500"/>
    <d v="2024-11-22T00:00:00"/>
    <x v="459"/>
    <s v="PROD99"/>
    <s v="STORE11"/>
    <n v="1"/>
    <n v="736.54"/>
    <n v="0.16"/>
    <x v="1"/>
    <n v="618.69359999999995"/>
    <n v="529997.80579999974"/>
    <n v="1059.9956115999994"/>
    <n v="163"/>
    <s v="Low Value"/>
    <s v="Nov-2024"/>
    <s v="Stainless Steel Cookware Set"/>
    <s v="Home"/>
    <x v="457"/>
  </r>
  <r>
    <s v="SALE1501"/>
    <d v="2024-10-21T00:00:00"/>
    <x v="123"/>
    <s v="PROD65"/>
    <s v="STORE15"/>
    <n v="1"/>
    <n v="524"/>
    <n v="0.28000000000000003"/>
    <x v="0"/>
    <n v="377.28"/>
    <n v="529379.11219999974"/>
    <n v="1060.879984368737"/>
    <n v="162"/>
    <s v="Low Value"/>
    <s v="Oct-2024"/>
    <s v="Adjustable Dumbbells 20kg"/>
    <s v="Sports"/>
    <x v="122"/>
  </r>
  <r>
    <s v="SALE1502"/>
    <d v="2024-09-13T00:00:00"/>
    <x v="330"/>
    <s v="PROD28"/>
    <s v="STORE3"/>
    <n v="4"/>
    <n v="566.09"/>
    <n v="0.28000000000000003"/>
    <x v="2"/>
    <n v="1630.3391999999999"/>
    <n v="529001.83219999971"/>
    <n v="1062.2526751004011"/>
    <n v="162"/>
    <s v="High Value"/>
    <s v="Sep-2024"/>
    <s v="Sports Stopwatch Timer"/>
    <s v="Sports"/>
    <x v="328"/>
  </r>
  <r>
    <s v="SALE1503"/>
    <d v="2025-04-25T00:00:00"/>
    <x v="415"/>
    <s v="PROD21"/>
    <s v="STORE10"/>
    <n v="1"/>
    <n v="251.99"/>
    <n v="0.09"/>
    <x v="0"/>
    <n v="229.3109"/>
    <n v="527371.49299999978"/>
    <n v="1061.1096438631787"/>
    <n v="162"/>
    <s v="Low Value"/>
    <s v="Apr-2025"/>
    <s v="Multi-Purpose Storage Box"/>
    <s v="Home"/>
    <x v="413"/>
  </r>
  <r>
    <s v="SALE1504"/>
    <d v="2024-03-10T00:00:00"/>
    <x v="70"/>
    <s v="PROD17"/>
    <s v="STORE19"/>
    <n v="1"/>
    <n v="259.2"/>
    <n v="0.27"/>
    <x v="2"/>
    <n v="189.21600000000001"/>
    <n v="527142.18209999986"/>
    <n v="1062.7866574596771"/>
    <n v="162"/>
    <s v="Low Value"/>
    <s v="Mar-2024"/>
    <s v="Soccer Training Cone Set"/>
    <s v="Sports"/>
    <x v="69"/>
  </r>
  <r>
    <s v="SALE1505"/>
    <d v="2023-11-05T00:00:00"/>
    <x v="384"/>
    <s v="PROD59"/>
    <s v="STORE15"/>
    <n v="1"/>
    <n v="935.66"/>
    <n v="0.26"/>
    <x v="1"/>
    <n v="692.38839999999993"/>
    <n v="526952.96609999985"/>
    <n v="1064.5514466666664"/>
    <n v="162"/>
    <s v="Low Value"/>
    <s v="Nov-2023"/>
    <s v="Men's Hair Styling Gel"/>
    <s v="Beauty"/>
    <x v="382"/>
  </r>
  <r>
    <s v="SALE1506"/>
    <d v="2025-07-26T00:00:00"/>
    <x v="262"/>
    <s v="PROD35"/>
    <s v="STORE8"/>
    <n v="4"/>
    <n v="480.75"/>
    <n v="0.02"/>
    <x v="0"/>
    <n v="1884.54"/>
    <n v="526260.57769999979"/>
    <n v="1065.3048131578944"/>
    <n v="161"/>
    <s v="High Value"/>
    <s v="Jul-2025"/>
    <s v="Bedroom Table Lamp"/>
    <s v="Home"/>
    <x v="261"/>
  </r>
  <r>
    <s v="SALE1507"/>
    <d v="2025-01-24T00:00:00"/>
    <x v="89"/>
    <s v="PROD81"/>
    <s v="STORE15"/>
    <n v="2"/>
    <n v="457.83"/>
    <n v="0.01"/>
    <x v="2"/>
    <n v="906.50339999999994"/>
    <n v="524376.03769999987"/>
    <n v="1063.6430784989855"/>
    <n v="161"/>
    <s v="Low Value"/>
    <s v="Jan-2025"/>
    <s v="Badminton Racket Set"/>
    <s v="Sports"/>
    <x v="88"/>
  </r>
  <r>
    <s v="SALE1508"/>
    <d v="2025-09-05T00:00:00"/>
    <x v="112"/>
    <s v="PROD48"/>
    <s v="STORE14"/>
    <n v="1"/>
    <n v="994.63"/>
    <n v="0.28000000000000003"/>
    <x v="0"/>
    <n v="716.1336"/>
    <n v="523469.53429999988"/>
    <n v="1063.9624680894306"/>
    <n v="161"/>
    <s v="Low Value"/>
    <s v="Sep-2025"/>
    <s v="Car Dashboard Phone Holder"/>
    <s v="Electronics"/>
    <x v="111"/>
  </r>
  <r>
    <s v="SALE1509"/>
    <d v="2025-04-18T00:00:00"/>
    <x v="427"/>
    <s v="PROD90"/>
    <s v="STORE0"/>
    <n v="3"/>
    <n v="65.569999999999993"/>
    <n v="0.3"/>
    <x v="2"/>
    <n v="137.697"/>
    <n v="522753.40069999994"/>
    <n v="1064.6708771894093"/>
    <n v="161"/>
    <s v="Low Value"/>
    <s v="Apr-2025"/>
    <s v="Gaming Mouse Pad XL"/>
    <s v="Electronics"/>
    <x v="425"/>
  </r>
  <r>
    <s v="SALE1510"/>
    <d v="2025-06-13T00:00:00"/>
    <x v="318"/>
    <s v="PROD58"/>
    <s v="STORE17"/>
    <n v="3"/>
    <n v="622.98"/>
    <n v="0.28000000000000003"/>
    <x v="1"/>
    <n v="1345.6368"/>
    <n v="522615.7036999999"/>
    <n v="1066.5626606122446"/>
    <n v="161"/>
    <s v="High Value"/>
    <s v="Jun-2025"/>
    <s v="Womens Cotton Scarf"/>
    <s v="Clothing"/>
    <x v="316"/>
  </r>
  <r>
    <s v="SALE1511"/>
    <d v="2025-02-03T00:00:00"/>
    <x v="475"/>
    <s v="PROD55"/>
    <s v="STORE13"/>
    <n v="1"/>
    <n v="170.68"/>
    <n v="0.13"/>
    <x v="1"/>
    <n v="148.49160000000001"/>
    <n v="521270.06689999992"/>
    <n v="1065.9919568507155"/>
    <n v="160"/>
    <s v="Low Value"/>
    <s v="Feb-2025"/>
    <s v="Ceramic Plant Pot"/>
    <s v="Home"/>
    <x v="473"/>
  </r>
  <r>
    <s v="SALE1512"/>
    <d v="2025-07-22T00:00:00"/>
    <x v="181"/>
    <s v="PROD7"/>
    <s v="STORE8"/>
    <n v="4"/>
    <n v="797.83"/>
    <n v="0.08"/>
    <x v="0"/>
    <n v="2936.0144"/>
    <n v="521121.57529999997"/>
    <n v="1067.8720805327869"/>
    <n v="159"/>
    <s v="High Value"/>
    <s v="Jul-2025"/>
    <s v="LED Table Lamp"/>
    <s v="Home"/>
    <x v="180"/>
  </r>
  <r>
    <s v="SALE1513"/>
    <d v="2025-09-22T00:00:00"/>
    <x v="288"/>
    <s v="PROD2"/>
    <s v="STORE16"/>
    <n v="1"/>
    <n v="372.75"/>
    <n v="0.12"/>
    <x v="0"/>
    <n v="328.02"/>
    <n v="518185.56089999998"/>
    <n v="1064.0360593429157"/>
    <n v="159"/>
    <s v="Low Value"/>
    <s v="Sep-2025"/>
    <s v="Women's Casual Hoodie"/>
    <s v="Clothing"/>
    <x v="286"/>
  </r>
  <r>
    <s v="SALE1514"/>
    <d v="2024-07-04T00:00:00"/>
    <x v="21"/>
    <s v="PROD61"/>
    <s v="STORE4"/>
    <n v="1"/>
    <n v="994.18"/>
    <n v="0.05"/>
    <x v="1"/>
    <n v="944.47099999999989"/>
    <n v="517857.54089999996"/>
    <n v="1065.5504956790123"/>
    <n v="159"/>
    <s v="Low Value"/>
    <s v="Jul-2024"/>
    <s v="Tennis Ball 3-Pack"/>
    <s v="Sports"/>
    <x v="21"/>
  </r>
  <r>
    <s v="SALE1515"/>
    <d v="2024-07-31T00:00:00"/>
    <x v="293"/>
    <s v="PROD20"/>
    <s v="STORE13"/>
    <n v="1"/>
    <n v="136.12"/>
    <n v="7.0000000000000007E-2"/>
    <x v="0"/>
    <n v="126.5916"/>
    <n v="516913.06989999994"/>
    <n v="1065.8001441237113"/>
    <n v="158"/>
    <s v="Low Value"/>
    <s v="Jul-2024"/>
    <s v="Outdoor Sports Water Bottle"/>
    <s v="Sports"/>
    <x v="291"/>
  </r>
  <r>
    <s v="SALE1516"/>
    <d v="2025-07-24T00:00:00"/>
    <x v="454"/>
    <s v="PROD52"/>
    <s v="STORE18"/>
    <n v="3"/>
    <n v="634.45000000000005"/>
    <n v="0.17"/>
    <x v="1"/>
    <n v="1579.7805000000001"/>
    <n v="516786.47829999996"/>
    <n v="1067.7406576446281"/>
    <n v="158"/>
    <s v="High Value"/>
    <s v="Jul-2025"/>
    <s v="Rugby Ball"/>
    <s v="Sports"/>
    <x v="452"/>
  </r>
  <r>
    <s v="SALE1517"/>
    <d v="2024-10-14T00:00:00"/>
    <x v="113"/>
    <s v="PROD64"/>
    <s v="STORE0"/>
    <n v="4"/>
    <n v="179.62"/>
    <n v="0.05"/>
    <x v="0"/>
    <n v="682.55600000000004"/>
    <n v="515206.69779999997"/>
    <n v="1066.680533747412"/>
    <n v="157"/>
    <s v="Low Value"/>
    <s v="Oct-2024"/>
    <s v="Matte Lipstick Set"/>
    <s v="Beauty"/>
    <x v="112"/>
  </r>
  <r>
    <s v="SALE1518"/>
    <d v="2025-01-01T00:00:00"/>
    <x v="125"/>
    <s v="PROD20"/>
    <s v="STORE18"/>
    <n v="4"/>
    <n v="558.83000000000004"/>
    <n v="0.16"/>
    <x v="1"/>
    <n v="1877.6687999999999"/>
    <n v="514524.14179999998"/>
    <n v="1067.4774726141079"/>
    <n v="157"/>
    <s v="High Value"/>
    <s v="Jan-2025"/>
    <s v="Outdoor Sports Water Bottle"/>
    <s v="Sports"/>
    <x v="124"/>
  </r>
  <r>
    <s v="SALE1519"/>
    <d v="2025-01-07T00:00:00"/>
    <x v="120"/>
    <s v="PROD94"/>
    <s v="STORE6"/>
    <n v="2"/>
    <n v="859.74"/>
    <n v="0.25"/>
    <x v="2"/>
    <n v="1289.6099999999999"/>
    <n v="512646.473"/>
    <n v="1065.7930831600831"/>
    <n v="156"/>
    <s v="High Value"/>
    <s v="Jan-2025"/>
    <s v="Vitamin E Body Lotion"/>
    <s v="Beauty"/>
    <x v="119"/>
  </r>
  <r>
    <s v="SALE1520"/>
    <d v="2025-10-06T00:00:00"/>
    <x v="476"/>
    <s v="PROD65"/>
    <s v="STORE16"/>
    <n v="3"/>
    <n v="578.47"/>
    <n v="0.06"/>
    <x v="2"/>
    <n v="1631.2854"/>
    <n v="511356.86299999995"/>
    <n v="1065.3267979166665"/>
    <n v="156"/>
    <s v="High Value"/>
    <s v="Oct-2025"/>
    <s v="Adjustable Dumbbells 20kg"/>
    <s v="Sports"/>
    <x v="474"/>
  </r>
  <r>
    <s v="SALE1521"/>
    <d v="2024-02-22T00:00:00"/>
    <x v="366"/>
    <s v="PROD21"/>
    <s v="STORE12"/>
    <n v="1"/>
    <n v="440.48"/>
    <n v="0.11"/>
    <x v="2"/>
    <n v="392.02720000000011"/>
    <n v="509725.57759999996"/>
    <n v="1064.1452559498955"/>
    <n v="156"/>
    <s v="Low Value"/>
    <s v="Feb-2024"/>
    <s v="Multi-Purpose Storage Box"/>
    <s v="Home"/>
    <x v="364"/>
  </r>
  <r>
    <s v="SALE1522"/>
    <d v="2024-02-07T00:00:00"/>
    <x v="6"/>
    <s v="PROD16"/>
    <s v="STORE19"/>
    <n v="2"/>
    <n v="303.67"/>
    <n v="0.05"/>
    <x v="1"/>
    <n v="576.97299999999996"/>
    <n v="509333.55039999995"/>
    <n v="1065.551360669456"/>
    <n v="156"/>
    <s v="Low Value"/>
    <s v="Feb-2024"/>
    <s v="Beard Grooming Kit"/>
    <s v="Beauty"/>
    <x v="6"/>
  </r>
  <r>
    <s v="SALE1523"/>
    <d v="2025-08-26T00:00:00"/>
    <x v="361"/>
    <s v="PROD74"/>
    <s v="STORE14"/>
    <n v="2"/>
    <n v="611.21"/>
    <n v="0.22"/>
    <x v="2"/>
    <n v="953.48760000000004"/>
    <n v="508756.57739999995"/>
    <n v="1066.575633962264"/>
    <n v="155"/>
    <s v="Low Value"/>
    <s v="Aug-2025"/>
    <s v="Bluetooth Car Audio System"/>
    <s v="Electronics"/>
    <x v="359"/>
  </r>
  <r>
    <s v="SALE1524"/>
    <d v="2023-11-09T00:00:00"/>
    <x v="349"/>
    <s v="PROD39"/>
    <s v="STORE15"/>
    <n v="2"/>
    <n v="768.08"/>
    <n v="0.26"/>
    <x v="1"/>
    <n v="1136.7583999999999"/>
    <n v="507803.08979999996"/>
    <n v="1066.8132138655462"/>
    <n v="155"/>
    <s v="High Value"/>
    <s v="Nov-2023"/>
    <s v="Portable Power Bank"/>
    <s v="Electronics"/>
    <x v="347"/>
  </r>
  <r>
    <s v="SALE1525"/>
    <d v="2024-01-05T00:00:00"/>
    <x v="272"/>
    <s v="PROD23"/>
    <s v="STORE18"/>
    <n v="1"/>
    <n v="616.82000000000005"/>
    <n v="0.24"/>
    <x v="0"/>
    <n v="468.78320000000002"/>
    <n v="506666.33139999997"/>
    <n v="1066.6659608421053"/>
    <n v="154"/>
    <s v="Low Value"/>
    <s v="Jan-2024"/>
    <s v="Men's Formal Shirt"/>
    <s v="Clothing"/>
    <x v="270"/>
  </r>
  <r>
    <s v="SALE1526"/>
    <d v="2025-01-15T00:00:00"/>
    <x v="79"/>
    <s v="PROD40"/>
    <s v="STORE18"/>
    <n v="1"/>
    <n v="470.34"/>
    <n v="0.18"/>
    <x v="2"/>
    <n v="385.67880000000002"/>
    <n v="506197.5481999999"/>
    <n v="1067.9273168776369"/>
    <n v="154"/>
    <s v="Low Value"/>
    <s v="Jan-2025"/>
    <s v="Noise-Canceling Headphones"/>
    <s v="Electronics"/>
    <x v="78"/>
  </r>
  <r>
    <s v="SALE1527"/>
    <d v="2024-07-26T00:00:00"/>
    <x v="209"/>
    <s v="PROD53"/>
    <s v="STORE8"/>
    <n v="2"/>
    <n v="616.36"/>
    <n v="0.12"/>
    <x v="1"/>
    <n v="1084.7936"/>
    <n v="505811.86939999997"/>
    <n v="1069.3697027484143"/>
    <n v="154"/>
    <s v="High Value"/>
    <s v="Jul-2024"/>
    <s v="Men's Track Pants"/>
    <s v="Clothing"/>
    <x v="208"/>
  </r>
  <r>
    <s v="SALE1528"/>
    <d v="2024-05-22T00:00:00"/>
    <x v="196"/>
    <s v="PROD3"/>
    <s v="STORE9"/>
    <n v="3"/>
    <n v="657.24"/>
    <n v="0.18"/>
    <x v="1"/>
    <n v="1616.8104000000001"/>
    <n v="504727.07579999993"/>
    <n v="1069.3370249999998"/>
    <n v="153"/>
    <s v="High Value"/>
    <s v="May-2024"/>
    <s v="Men's Running Jacket"/>
    <s v="Clothing"/>
    <x v="195"/>
  </r>
  <r>
    <s v="SALE1529"/>
    <d v="2025-08-24T00:00:00"/>
    <x v="247"/>
    <s v="PROD41"/>
    <s v="STORE19"/>
    <n v="2"/>
    <n v="392.45"/>
    <n v="0.04"/>
    <x v="1"/>
    <n v="753.50399999999991"/>
    <n v="503110.26539999997"/>
    <n v="1068.1746611464969"/>
    <n v="152"/>
    <s v="Low Value"/>
    <s v="Aug-2025"/>
    <s v="Yoga Exercise Mat"/>
    <s v="Sports"/>
    <x v="246"/>
  </r>
  <r>
    <s v="SALE1530"/>
    <d v="2024-02-24T00:00:00"/>
    <x v="427"/>
    <s v="PROD40"/>
    <s v="STORE14"/>
    <n v="3"/>
    <n v="62.03"/>
    <n v="0.01"/>
    <x v="2"/>
    <n v="184.22909999999999"/>
    <n v="502356.76139999996"/>
    <n v="1068.8441731914893"/>
    <n v="151"/>
    <s v="Low Value"/>
    <s v="Feb-2024"/>
    <s v="Noise-Canceling Headphones"/>
    <s v="Electronics"/>
    <x v="425"/>
  </r>
  <r>
    <s v="SALE1531"/>
    <d v="2024-11-17T00:00:00"/>
    <x v="325"/>
    <s v="PROD96"/>
    <s v="STORE3"/>
    <n v="4"/>
    <n v="933.73"/>
    <n v="0.25"/>
    <x v="1"/>
    <n v="2801.19"/>
    <n v="502172.53229999996"/>
    <n v="1070.7303460554369"/>
    <n v="151"/>
    <s v="High Value"/>
    <s v="Nov-2024"/>
    <s v="Women's Formal Blazer"/>
    <s v="Clothing"/>
    <x v="323"/>
  </r>
  <r>
    <s v="SALE1532"/>
    <d v="2025-09-28T00:00:00"/>
    <x v="440"/>
    <s v="PROD85"/>
    <s v="STORE16"/>
    <n v="3"/>
    <n v="615.30999999999995"/>
    <n v="0.14000000000000001"/>
    <x v="1"/>
    <n v="1587.4998000000001"/>
    <n v="499371.34229999996"/>
    <n v="1067.0327826923076"/>
    <n v="150"/>
    <s v="High Value"/>
    <s v="Sep-2025"/>
    <s v="Women's Beanie Hat"/>
    <s v="Clothing"/>
    <x v="438"/>
  </r>
  <r>
    <s v="SALE1533"/>
    <d v="2024-11-23T00:00:00"/>
    <x v="141"/>
    <s v="PROD59"/>
    <s v="STORE18"/>
    <n v="4"/>
    <n v="790.38"/>
    <n v="0.22"/>
    <x v="2"/>
    <n v="2465.9856"/>
    <n v="497783.84249999997"/>
    <n v="1065.9182922912205"/>
    <n v="149"/>
    <s v="High Value"/>
    <s v="Nov-2024"/>
    <s v="Men's Hair Styling Gel"/>
    <s v="Beauty"/>
    <x v="140"/>
  </r>
  <r>
    <s v="SALE1534"/>
    <d v="2024-08-29T00:00:00"/>
    <x v="59"/>
    <s v="PROD59"/>
    <s v="STORE17"/>
    <n v="2"/>
    <n v="102.85"/>
    <n v="0.08"/>
    <x v="1"/>
    <n v="189.244"/>
    <n v="495317.85690000001"/>
    <n v="1062.9138560085837"/>
    <n v="149"/>
    <s v="Low Value"/>
    <s v="Aug-2024"/>
    <s v="Men's Hair Styling Gel"/>
    <s v="Beauty"/>
    <x v="59"/>
  </r>
  <r>
    <s v="SALE1535"/>
    <d v="2025-05-04T00:00:00"/>
    <x v="276"/>
    <s v="PROD11"/>
    <s v="STORE16"/>
    <n v="3"/>
    <n v="866.78"/>
    <n v="0.27"/>
    <x v="1"/>
    <n v="1898.2482"/>
    <n v="495128.61290000001"/>
    <n v="1064.7927159139786"/>
    <n v="148"/>
    <s v="High Value"/>
    <s v="May-2025"/>
    <s v="HD Smart TV Stick"/>
    <s v="Electronics"/>
    <x v="274"/>
  </r>
  <r>
    <s v="SALE1536"/>
    <d v="2024-03-27T00:00:00"/>
    <x v="266"/>
    <s v="PROD78"/>
    <s v="STORE16"/>
    <n v="3"/>
    <n v="392.84"/>
    <n v="0.27"/>
    <x v="1"/>
    <n v="860.31959999999992"/>
    <n v="493230.36470000003"/>
    <n v="1062.9964756465517"/>
    <n v="147"/>
    <s v="Low Value"/>
    <s v="Mar-2024"/>
    <s v="Essential Oil Diffuser"/>
    <s v="Home"/>
    <x v="123"/>
  </r>
  <r>
    <s v="SALE1537"/>
    <d v="2025-01-31T00:00:00"/>
    <x v="162"/>
    <s v="PROD9"/>
    <s v="STORE5"/>
    <n v="2"/>
    <n v="753.1"/>
    <n v="0.19"/>
    <x v="1"/>
    <n v="1220.0219999999999"/>
    <n v="492370.0451000001"/>
    <n v="1063.434222678186"/>
    <n v="146"/>
    <s v="High Value"/>
    <s v="Jan-2025"/>
    <s v="Adjustable Dumbbell Set"/>
    <s v="Sports"/>
    <x v="161"/>
  </r>
  <r>
    <s v="SALE1538"/>
    <d v="2025-09-27T00:00:00"/>
    <x v="69"/>
    <s v="PROD54"/>
    <s v="STORE17"/>
    <n v="2"/>
    <n v="700.91"/>
    <n v="0.1"/>
    <x v="1"/>
    <n v="1261.6379999999999"/>
    <n v="491150.02310000011"/>
    <n v="1063.0952880952384"/>
    <n v="145"/>
    <s v="High Value"/>
    <s v="Sep-2025"/>
    <s v="Sports Stopwatch Pro"/>
    <s v="Sports"/>
    <x v="68"/>
  </r>
  <r>
    <s v="SALE1539"/>
    <d v="2025-04-28T00:00:00"/>
    <x v="39"/>
    <s v="PROD15"/>
    <s v="STORE12"/>
    <n v="4"/>
    <n v="935.98"/>
    <n v="0.11"/>
    <x v="1"/>
    <n v="3332.0888"/>
    <n v="489888.38510000007"/>
    <n v="1062.6646097613884"/>
    <n v="144"/>
    <s v="High Value"/>
    <s v="Apr-2025"/>
    <s v="4K Home Projector"/>
    <s v="Electronics"/>
    <x v="39"/>
  </r>
  <r>
    <s v="SALE1540"/>
    <d v="2025-07-11T00:00:00"/>
    <x v="144"/>
    <s v="PROD76"/>
    <s v="STORE16"/>
    <n v="1"/>
    <n v="539.9"/>
    <n v="7.0000000000000007E-2"/>
    <x v="0"/>
    <n v="502.10700000000003"/>
    <n v="486556.2963000001"/>
    <n v="1057.7310789130438"/>
    <n v="143"/>
    <s v="Low Value"/>
    <s v="Jul-2025"/>
    <s v="Wireless Mouse"/>
    <s v="Electronics"/>
    <x v="143"/>
  </r>
  <r>
    <s v="SALE1541"/>
    <d v="2024-10-08T00:00:00"/>
    <x v="120"/>
    <s v="PROD40"/>
    <s v="STORE6"/>
    <n v="1"/>
    <n v="312.81"/>
    <n v="0.14000000000000001"/>
    <x v="1"/>
    <n v="269.01659999999998"/>
    <n v="486054.18930000009"/>
    <n v="1058.9415888888891"/>
    <n v="143"/>
    <s v="Low Value"/>
    <s v="Oct-2024"/>
    <s v="Noise-Canceling Headphones"/>
    <s v="Electronics"/>
    <x v="119"/>
  </r>
  <r>
    <s v="SALE1542"/>
    <d v="2024-03-05T00:00:00"/>
    <x v="434"/>
    <s v="PROD48"/>
    <s v="STORE7"/>
    <n v="3"/>
    <n v="855.96"/>
    <n v="0.28999999999999998"/>
    <x v="2"/>
    <n v="1823.1948"/>
    <n v="485785.17270000011"/>
    <n v="1060.666315938865"/>
    <n v="142"/>
    <s v="High Value"/>
    <s v="Mar-2024"/>
    <s v="Car Dashboard Phone Holder"/>
    <s v="Electronics"/>
    <x v="432"/>
  </r>
  <r>
    <s v="SALE1543"/>
    <d v="2024-02-04T00:00:00"/>
    <x v="394"/>
    <s v="PROD1"/>
    <s v="STORE11"/>
    <n v="3"/>
    <n v="305"/>
    <n v="0.01"/>
    <x v="2"/>
    <n v="905.85"/>
    <n v="483961.97790000011"/>
    <n v="1058.9977634573306"/>
    <n v="142"/>
    <s v="Low Value"/>
    <s v="Feb-2024"/>
    <s v="Men's Graphic T-Shirt"/>
    <s v="Clothing"/>
    <x v="392"/>
  </r>
  <r>
    <s v="SALE1544"/>
    <d v="2024-03-10T00:00:00"/>
    <x v="228"/>
    <s v="PROD99"/>
    <s v="STORE12"/>
    <n v="3"/>
    <n v="831.15"/>
    <n v="0.19"/>
    <x v="0"/>
    <n v="2019.6945000000001"/>
    <n v="483056.12790000014"/>
    <n v="1059.3336138157897"/>
    <n v="142"/>
    <s v="High Value"/>
    <s v="Mar-2024"/>
    <s v="Stainless Steel Cookware Set"/>
    <s v="Home"/>
    <x v="227"/>
  </r>
  <r>
    <s v="SALE1545"/>
    <d v="2025-09-26T00:00:00"/>
    <x v="477"/>
    <s v="PROD96"/>
    <s v="STORE3"/>
    <n v="2"/>
    <n v="644.97"/>
    <n v="0.24"/>
    <x v="2"/>
    <n v="980.35440000000006"/>
    <n v="481036.43340000015"/>
    <n v="1057.2229305494509"/>
    <n v="142"/>
    <s v="Low Value"/>
    <s v="Sep-2025"/>
    <s v="Women's Formal Blazer"/>
    <s v="Clothing"/>
    <x v="475"/>
  </r>
  <r>
    <s v="SALE1546"/>
    <d v="2025-07-01T00:00:00"/>
    <x v="50"/>
    <s v="PROD88"/>
    <s v="STORE1"/>
    <n v="1"/>
    <n v="149.56"/>
    <n v="0.09"/>
    <x v="0"/>
    <n v="136.09960000000001"/>
    <n v="480056.07900000014"/>
    <n v="1057.3922444933924"/>
    <n v="142"/>
    <s v="Low Value"/>
    <s v="Jul-2025"/>
    <s v="Sports Wrist Sweatbands"/>
    <s v="Sports"/>
    <x v="50"/>
  </r>
  <r>
    <s v="SALE1547"/>
    <d v="2024-05-22T00:00:00"/>
    <x v="478"/>
    <s v="PROD43"/>
    <s v="STORE19"/>
    <n v="1"/>
    <n v="661.77"/>
    <n v="0.03"/>
    <x v="1"/>
    <n v="641.91689999999994"/>
    <n v="479919.97940000013"/>
    <n v="1059.4260030905079"/>
    <n v="142"/>
    <s v="Low Value"/>
    <s v="May-2024"/>
    <s v="USB External Hard Drive"/>
    <s v="Electronics"/>
    <x v="476"/>
  </r>
  <r>
    <s v="SALE1548"/>
    <d v="2025-06-11T00:00:00"/>
    <x v="140"/>
    <s v="PROD94"/>
    <s v="STORE7"/>
    <n v="3"/>
    <n v="99.67"/>
    <n v="0.17"/>
    <x v="0"/>
    <n v="248.17830000000001"/>
    <n v="479278.06250000012"/>
    <n v="1060.3496957964605"/>
    <n v="141"/>
    <s v="Low Value"/>
    <s v="Jun-2025"/>
    <s v="Vitamin E Body Lotion"/>
    <s v="Beauty"/>
    <x v="139"/>
  </r>
  <r>
    <s v="SALE1549"/>
    <d v="2024-09-18T00:00:00"/>
    <x v="70"/>
    <s v="PROD62"/>
    <s v="STORE1"/>
    <n v="3"/>
    <n v="103.66"/>
    <n v="0.26"/>
    <x v="2"/>
    <n v="230.12520000000001"/>
    <n v="479029.88420000015"/>
    <n v="1062.150519290466"/>
    <n v="141"/>
    <s v="Low Value"/>
    <s v="Sep-2024"/>
    <s v="Laptop Cooling Pad"/>
    <s v="Electronics"/>
    <x v="69"/>
  </r>
  <r>
    <s v="SALE1550"/>
    <d v="2023-11-28T00:00:00"/>
    <x v="439"/>
    <s v="PROD40"/>
    <s v="STORE2"/>
    <n v="4"/>
    <n v="54.4"/>
    <n v="0.22"/>
    <x v="0"/>
    <n v="169.72800000000001"/>
    <n v="478799.75900000008"/>
    <n v="1063.9994644444446"/>
    <n v="141"/>
    <s v="Low Value"/>
    <s v="Nov-2023"/>
    <s v="Noise-Canceling Headphones"/>
    <s v="Electronics"/>
    <x v="437"/>
  </r>
  <r>
    <s v="SALE1551"/>
    <d v="2024-05-23T00:00:00"/>
    <x v="216"/>
    <s v="PROD84"/>
    <s v="STORE14"/>
    <n v="1"/>
    <n v="46.66"/>
    <n v="0.2"/>
    <x v="0"/>
    <n v="37.328000000000003"/>
    <n v="478630.03100000008"/>
    <n v="1065.9911603563476"/>
    <n v="141"/>
    <s v="Low Value"/>
    <s v="May-2024"/>
    <s v="Wooden Bookshelf"/>
    <s v="Home"/>
    <x v="215"/>
  </r>
  <r>
    <s v="SALE1552"/>
    <d v="2024-06-04T00:00:00"/>
    <x v="69"/>
    <s v="PROD73"/>
    <s v="STORE11"/>
    <n v="4"/>
    <n v="871.2"/>
    <n v="0.28999999999999998"/>
    <x v="0"/>
    <n v="2474.2080000000001"/>
    <n v="478592.7030000001"/>
    <n v="1068.287283482143"/>
    <n v="141"/>
    <s v="High Value"/>
    <s v="Jun-2024"/>
    <s v="Shin Guards – Adult"/>
    <s v="Sports"/>
    <x v="68"/>
  </r>
  <r>
    <s v="SALE1553"/>
    <d v="2025-03-08T00:00:00"/>
    <x v="273"/>
    <s v="PROD18"/>
    <s v="STORE14"/>
    <n v="4"/>
    <n v="317.11"/>
    <n v="0.16"/>
    <x v="1"/>
    <n v="1065.4896000000001"/>
    <n v="476118.49500000011"/>
    <n v="1065.1420469798661"/>
    <n v="141"/>
    <s v="High Value"/>
    <s v="Mar-2025"/>
    <s v="Women's Denim Jeans"/>
    <s v="Clothing"/>
    <x v="271"/>
  </r>
  <r>
    <s v="SALE1554"/>
    <d v="2024-02-16T00:00:00"/>
    <x v="470"/>
    <s v="PROD25"/>
    <s v="STORE13"/>
    <n v="2"/>
    <n v="388.34"/>
    <n v="0.09"/>
    <x v="1"/>
    <n v="706.77879999999993"/>
    <n v="475053.00540000008"/>
    <n v="1065.1412677130047"/>
    <n v="140"/>
    <s v="Low Value"/>
    <s v="Feb-2024"/>
    <s v="Women's Scarf Set"/>
    <s v="Clothing"/>
    <x v="468"/>
  </r>
  <r>
    <s v="SALE1555"/>
    <d v="2023-11-22T00:00:00"/>
    <x v="133"/>
    <s v="PROD30"/>
    <s v="STORE6"/>
    <n v="4"/>
    <n v="998.2"/>
    <n v="0.15"/>
    <x v="0"/>
    <n v="3393.88"/>
    <n v="474346.22660000011"/>
    <n v="1065.9465766292137"/>
    <n v="139"/>
    <s v="High Value"/>
    <s v="Nov-2023"/>
    <s v="Stainless Steel Cutlery Set"/>
    <s v="Home"/>
    <x v="132"/>
  </r>
  <r>
    <s v="SALE1556"/>
    <d v="2024-11-10T00:00:00"/>
    <x v="4"/>
    <s v="PROD36"/>
    <s v="STORE0"/>
    <n v="1"/>
    <n v="887.38"/>
    <n v="0.01"/>
    <x v="2"/>
    <n v="878.50620000000004"/>
    <n v="470952.34660000011"/>
    <n v="1060.7034833333337"/>
    <n v="139"/>
    <s v="Low Value"/>
    <s v="Nov-2024"/>
    <s v="Women's Summer Dress"/>
    <s v="Clothing"/>
    <x v="4"/>
  </r>
  <r>
    <s v="SALE1557"/>
    <d v="2024-08-20T00:00:00"/>
    <x v="212"/>
    <s v="PROD37"/>
    <s v="STORE12"/>
    <n v="4"/>
    <n v="332.97"/>
    <n v="0.28000000000000003"/>
    <x v="0"/>
    <n v="958.95360000000005"/>
    <n v="470073.8404000001"/>
    <n v="1061.1147638826187"/>
    <n v="139"/>
    <s v="Low Value"/>
    <s v="Aug-2024"/>
    <s v="Men's Casual Sneakers"/>
    <s v="Clothing"/>
    <x v="211"/>
  </r>
  <r>
    <s v="SALE1558"/>
    <d v="2025-10-04T00:00:00"/>
    <x v="460"/>
    <s v="PROD46"/>
    <s v="STORE0"/>
    <n v="2"/>
    <n v="157.91"/>
    <n v="0.09"/>
    <x v="2"/>
    <n v="287.39620000000002"/>
    <n v="469114.88680000009"/>
    <n v="1061.3458977375567"/>
    <n v="139"/>
    <s v="Low Value"/>
    <s v="Oct-2025"/>
    <s v="Men's Winter Jacket"/>
    <s v="Clothing"/>
    <x v="458"/>
  </r>
  <r>
    <s v="SALE1559"/>
    <d v="2024-09-04T00:00:00"/>
    <x v="412"/>
    <s v="PROD12"/>
    <s v="STORE18"/>
    <n v="1"/>
    <n v="548.15"/>
    <n v="0.11"/>
    <x v="0"/>
    <n v="487.8535"/>
    <n v="468827.49060000008"/>
    <n v="1063.1008857142858"/>
    <n v="139"/>
    <s v="Low Value"/>
    <s v="Sep-2024"/>
    <s v="Hair Strengthening Shampoo"/>
    <s v="Beauty"/>
    <x v="410"/>
  </r>
  <r>
    <s v="SALE1560"/>
    <d v="2024-09-20T00:00:00"/>
    <x v="204"/>
    <s v="PROD48"/>
    <s v="STORE15"/>
    <n v="1"/>
    <n v="135.13"/>
    <n v="0.04"/>
    <x v="0"/>
    <n v="129.72479999999999"/>
    <n v="468339.63710000011"/>
    <n v="1064.4082661363639"/>
    <n v="139"/>
    <s v="Low Value"/>
    <s v="Sep-2024"/>
    <s v="Car Dashboard Phone Holder"/>
    <s v="Electronics"/>
    <x v="203"/>
  </r>
  <r>
    <s v="SALE1561"/>
    <d v="2023-12-21T00:00:00"/>
    <x v="209"/>
    <s v="PROD56"/>
    <s v="STORE3"/>
    <n v="3"/>
    <n v="579.26"/>
    <n v="0.19"/>
    <x v="0"/>
    <n v="1407.6017999999999"/>
    <n v="468209.91230000014"/>
    <n v="1066.5373856492031"/>
    <n v="139"/>
    <s v="High Value"/>
    <s v="Dec-2023"/>
    <s v="Premium Blanket Throw"/>
    <s v="Home"/>
    <x v="208"/>
  </r>
  <r>
    <s v="SALE1562"/>
    <d v="2024-10-17T00:00:00"/>
    <x v="337"/>
    <s v="PROD17"/>
    <s v="STORE0"/>
    <n v="1"/>
    <n v="465.63"/>
    <n v="0.25"/>
    <x v="0"/>
    <n v="349.22250000000003"/>
    <n v="466802.31050000014"/>
    <n v="1065.7586997716899"/>
    <n v="139"/>
    <s v="Low Value"/>
    <s v="Oct-2024"/>
    <s v="Soccer Training Cone Set"/>
    <s v="Sports"/>
    <x v="335"/>
  </r>
  <r>
    <s v="SALE1563"/>
    <d v="2024-03-21T00:00:00"/>
    <x v="234"/>
    <s v="PROD76"/>
    <s v="STORE16"/>
    <n v="2"/>
    <n v="675.61"/>
    <n v="0.08"/>
    <x v="2"/>
    <n v="1243.1224"/>
    <n v="466453.08800000016"/>
    <n v="1067.3983707093826"/>
    <n v="139"/>
    <s v="High Value"/>
    <s v="Mar-2024"/>
    <s v="Wireless Mouse"/>
    <s v="Electronics"/>
    <x v="233"/>
  </r>
  <r>
    <s v="SALE1564"/>
    <d v="2024-06-15T00:00:00"/>
    <x v="51"/>
    <s v="PROD33"/>
    <s v="STORE6"/>
    <n v="1"/>
    <n v="718.99"/>
    <n v="0.08"/>
    <x v="1"/>
    <n v="661.47080000000005"/>
    <n v="465209.96560000017"/>
    <n v="1066.9953339449546"/>
    <n v="139"/>
    <s v="Low Value"/>
    <s v="Jun-2024"/>
    <s v="Modern Wall Clock"/>
    <s v="Home"/>
    <x v="51"/>
  </r>
  <r>
    <s v="SALE1565"/>
    <d v="2025-10-13T00:00:00"/>
    <x v="365"/>
    <s v="PROD14"/>
    <s v="STORE10"/>
    <n v="2"/>
    <n v="675.65"/>
    <n v="0.2"/>
    <x v="2"/>
    <n v="1081.04"/>
    <n v="464548.4948000001"/>
    <n v="1067.9275742528739"/>
    <n v="138"/>
    <s v="High Value"/>
    <s v="Oct-2025"/>
    <s v="Decorative Wall Mirror"/>
    <s v="Home"/>
    <x v="363"/>
  </r>
  <r>
    <s v="SALE1566"/>
    <d v="2024-03-23T00:00:00"/>
    <x v="361"/>
    <s v="PROD95"/>
    <s v="STORE15"/>
    <n v="4"/>
    <n v="284.24"/>
    <n v="0.1"/>
    <x v="0"/>
    <n v="1023.264"/>
    <n v="463467.45480000012"/>
    <n v="1067.8973612903228"/>
    <n v="138"/>
    <s v="High Value"/>
    <s v="Mar-2024"/>
    <s v="Sports Stopwatch Basic"/>
    <s v="Sports"/>
    <x v="359"/>
  </r>
  <r>
    <s v="SALE1567"/>
    <d v="2024-03-23T00:00:00"/>
    <x v="26"/>
    <s v="PROD1"/>
    <s v="STORE3"/>
    <n v="1"/>
    <n v="94.26"/>
    <n v="0.18"/>
    <x v="1"/>
    <n v="77.293200000000013"/>
    <n v="462444.1908000001"/>
    <n v="1068.0004406466514"/>
    <n v="138"/>
    <s v="Low Value"/>
    <s v="Mar-2024"/>
    <s v="Men's Graphic T-Shirt"/>
    <s v="Clothing"/>
    <x v="26"/>
  </r>
  <r>
    <s v="SALE1568"/>
    <d v="2025-05-12T00:00:00"/>
    <x v="51"/>
    <s v="PROD6"/>
    <s v="STORE10"/>
    <n v="4"/>
    <n v="458.58"/>
    <n v="0.28999999999999998"/>
    <x v="2"/>
    <n v="1302.3671999999999"/>
    <n v="462366.89760000014"/>
    <n v="1070.2937444444449"/>
    <n v="137"/>
    <s v="High Value"/>
    <s v="May-2025"/>
    <s v="Herbal Face Moisturizer"/>
    <s v="Beauty"/>
    <x v="51"/>
  </r>
  <r>
    <s v="SALE1569"/>
    <d v="2024-06-09T00:00:00"/>
    <x v="121"/>
    <s v="PROD65"/>
    <s v="STORE10"/>
    <n v="4"/>
    <n v="704.49"/>
    <n v="0.05"/>
    <x v="2"/>
    <n v="2677.0619999999999"/>
    <n v="461064.53040000016"/>
    <n v="1069.7552909512765"/>
    <n v="137"/>
    <s v="High Value"/>
    <s v="Jun-2024"/>
    <s v="Adjustable Dumbbells 20kg"/>
    <s v="Sports"/>
    <x v="120"/>
  </r>
  <r>
    <s v="SALE1570"/>
    <d v="2023-12-24T00:00:00"/>
    <x v="326"/>
    <s v="PROD27"/>
    <s v="STORE19"/>
    <n v="4"/>
    <n v="822.32"/>
    <n v="0.26"/>
    <x v="1"/>
    <n v="2434.0672"/>
    <n v="458387.46840000013"/>
    <n v="1066.0173683720934"/>
    <n v="137"/>
    <s v="High Value"/>
    <s v="Dec-2023"/>
    <s v="Decorative Floor Vase"/>
    <s v="Home"/>
    <x v="324"/>
  </r>
  <r>
    <s v="SALE1571"/>
    <d v="2024-02-03T00:00:00"/>
    <x v="427"/>
    <s v="PROD3"/>
    <s v="STORE13"/>
    <n v="4"/>
    <n v="785.41"/>
    <n v="0.13"/>
    <x v="2"/>
    <n v="2733.2267999999999"/>
    <n v="455953.40120000014"/>
    <n v="1062.8284410256413"/>
    <n v="136"/>
    <s v="High Value"/>
    <s v="Feb-2024"/>
    <s v="Men's Running Jacket"/>
    <s v="Clothing"/>
    <x v="425"/>
  </r>
  <r>
    <s v="SALE1572"/>
    <d v="2024-06-22T00:00:00"/>
    <x v="189"/>
    <s v="PROD39"/>
    <s v="STORE14"/>
    <n v="1"/>
    <n v="405.8"/>
    <n v="0.11"/>
    <x v="1"/>
    <n v="361.16199999999998"/>
    <n v="453220.17440000008"/>
    <n v="1058.9256411214956"/>
    <n v="136"/>
    <s v="Low Value"/>
    <s v="Jun-2024"/>
    <s v="Portable Power Bank"/>
    <s v="Electronics"/>
    <x v="188"/>
  </r>
  <r>
    <s v="SALE1573"/>
    <d v="2024-11-16T00:00:00"/>
    <x v="207"/>
    <s v="PROD91"/>
    <s v="STORE9"/>
    <n v="2"/>
    <n v="976.83"/>
    <n v="0.1"/>
    <x v="1"/>
    <n v="1758.2940000000001"/>
    <n v="452859.01240000007"/>
    <n v="1060.5597480093679"/>
    <n v="135"/>
    <s v="High Value"/>
    <s v="Nov-2024"/>
    <s v="Women's High Heels"/>
    <s v="Clothing"/>
    <x v="206"/>
  </r>
  <r>
    <s v="SALE1574"/>
    <d v="2024-06-29T00:00:00"/>
    <x v="66"/>
    <s v="PROD64"/>
    <s v="STORE2"/>
    <n v="1"/>
    <n v="644.15"/>
    <n v="0.06"/>
    <x v="0"/>
    <n v="605.50099999999998"/>
    <n v="451100.71840000007"/>
    <n v="1058.9218741784039"/>
    <n v="134"/>
    <s v="Low Value"/>
    <s v="Jun-2024"/>
    <s v="Matte Lipstick Set"/>
    <s v="Beauty"/>
    <x v="65"/>
  </r>
  <r>
    <s v="SALE1575"/>
    <d v="2025-08-28T00:00:00"/>
    <x v="119"/>
    <s v="PROD67"/>
    <s v="STORE13"/>
    <n v="1"/>
    <n v="470.55"/>
    <n v="0.23"/>
    <x v="1"/>
    <n v="362.32350000000002"/>
    <n v="450495.21740000008"/>
    <n v="1059.9887468235297"/>
    <n v="134"/>
    <s v="Low Value"/>
    <s v="Aug-2025"/>
    <s v="Smart LED Light Strip"/>
    <s v="Electronics"/>
    <x v="118"/>
  </r>
  <r>
    <s v="SALE1576"/>
    <d v="2023-11-11T00:00:00"/>
    <x v="151"/>
    <s v="PROD7"/>
    <s v="STORE6"/>
    <n v="3"/>
    <n v="598.82000000000005"/>
    <n v="0.19"/>
    <x v="2"/>
    <n v="1455.1325999999999"/>
    <n v="450132.89390000014"/>
    <n v="1061.6341837264154"/>
    <n v="133"/>
    <s v="High Value"/>
    <s v="Nov-2023"/>
    <s v="LED Table Lamp"/>
    <s v="Home"/>
    <x v="150"/>
  </r>
  <r>
    <s v="SALE1577"/>
    <d v="2025-07-13T00:00:00"/>
    <x v="210"/>
    <s v="PROD20"/>
    <s v="STORE12"/>
    <n v="4"/>
    <n v="659.17"/>
    <n v="0.12"/>
    <x v="0"/>
    <n v="2320.2784000000001"/>
    <n v="448677.76130000019"/>
    <n v="1060.7039274231684"/>
    <n v="133"/>
    <s v="High Value"/>
    <s v="Jul-2025"/>
    <s v="Outdoor Sports Water Bottle"/>
    <s v="Sports"/>
    <x v="209"/>
  </r>
  <r>
    <s v="SALE1578"/>
    <d v="2024-10-07T00:00:00"/>
    <x v="253"/>
    <s v="PROD46"/>
    <s v="STORE1"/>
    <n v="2"/>
    <n v="216.02"/>
    <n v="0.25"/>
    <x v="0"/>
    <n v="324.02999999999997"/>
    <n v="446357.48290000018"/>
    <n v="1057.7191537914696"/>
    <n v="133"/>
    <s v="Low Value"/>
    <s v="Oct-2024"/>
    <s v="Men's Winter Jacket"/>
    <s v="Clothing"/>
    <x v="252"/>
  </r>
  <r>
    <s v="SALE1579"/>
    <d v="2025-04-27T00:00:00"/>
    <x v="454"/>
    <s v="PROD31"/>
    <s v="STORE10"/>
    <n v="2"/>
    <n v="613.47"/>
    <n v="0.02"/>
    <x v="1"/>
    <n v="1202.4012"/>
    <n v="446033.45290000015"/>
    <n v="1059.4618833729219"/>
    <n v="133"/>
    <s v="High Value"/>
    <s v="Apr-2025"/>
    <s v="Basketball"/>
    <s v="Sports"/>
    <x v="452"/>
  </r>
  <r>
    <s v="SALE1580"/>
    <d v="2025-09-21T00:00:00"/>
    <x v="288"/>
    <s v="PROD58"/>
    <s v="STORE12"/>
    <n v="2"/>
    <n v="485.17"/>
    <n v="0.11"/>
    <x v="1"/>
    <n v="863.60260000000005"/>
    <n v="444831.05170000019"/>
    <n v="1059.1215516666671"/>
    <n v="132"/>
    <s v="Low Value"/>
    <s v="Sep-2025"/>
    <s v="Womens Cotton Scarf"/>
    <s v="Clothing"/>
    <x v="286"/>
  </r>
  <r>
    <s v="SALE1581"/>
    <d v="2023-12-08T00:00:00"/>
    <x v="132"/>
    <s v="PROD46"/>
    <s v="STORE10"/>
    <n v="1"/>
    <n v="209.7"/>
    <n v="0.2"/>
    <x v="1"/>
    <n v="167.76"/>
    <n v="443967.4491000002"/>
    <n v="1059.5881840095469"/>
    <n v="131"/>
    <s v="Low Value"/>
    <s v="Dec-2023"/>
    <s v="Men's Winter Jacket"/>
    <s v="Clothing"/>
    <x v="131"/>
  </r>
  <r>
    <s v="SALE1582"/>
    <d v="2024-04-20T00:00:00"/>
    <x v="215"/>
    <s v="PROD92"/>
    <s v="STORE0"/>
    <n v="1"/>
    <n v="681.47"/>
    <n v="0.15"/>
    <x v="0"/>
    <n v="579.24950000000001"/>
    <n v="443799.68910000019"/>
    <n v="1061.7217442583737"/>
    <n v="130"/>
    <s v="Low Value"/>
    <s v="Apr-2024"/>
    <s v="Microwave Oven"/>
    <s v="Home"/>
    <x v="214"/>
  </r>
  <r>
    <s v="SALE1583"/>
    <d v="2025-01-10T00:00:00"/>
    <x v="364"/>
    <s v="PROD76"/>
    <s v="STORE17"/>
    <n v="2"/>
    <n v="877.21"/>
    <n v="0.1"/>
    <x v="0"/>
    <n v="1578.9780000000001"/>
    <n v="443220.43960000022"/>
    <n v="1062.8787520383698"/>
    <n v="130"/>
    <s v="High Value"/>
    <s v="Jan-2025"/>
    <s v="Wireless Mouse"/>
    <s v="Electronics"/>
    <x v="362"/>
  </r>
  <r>
    <s v="SALE1584"/>
    <d v="2025-09-02T00:00:00"/>
    <x v="479"/>
    <s v="PROD78"/>
    <s v="STORE5"/>
    <n v="2"/>
    <n v="479.77"/>
    <n v="0.21"/>
    <x v="1"/>
    <n v="758.03660000000002"/>
    <n v="441641.46160000016"/>
    <n v="1061.6381288461541"/>
    <n v="130"/>
    <s v="Low Value"/>
    <s v="Sep-2025"/>
    <s v="Essential Oil Diffuser"/>
    <s v="Home"/>
    <x v="477"/>
  </r>
  <r>
    <s v="SALE1585"/>
    <d v="2024-10-24T00:00:00"/>
    <x v="242"/>
    <s v="PROD83"/>
    <s v="STORE15"/>
    <n v="1"/>
    <n v="140.72"/>
    <n v="0"/>
    <x v="2"/>
    <n v="140.72"/>
    <n v="440883.42500000016"/>
    <n v="1062.3696987951812"/>
    <n v="129"/>
    <s v="Low Value"/>
    <s v="Oct-2024"/>
    <s v="Hydrating Face Cleanser"/>
    <s v="Beauty"/>
    <x v="241"/>
  </r>
  <r>
    <s v="SALE1586"/>
    <d v="2025-01-11T00:00:00"/>
    <x v="250"/>
    <s v="PROD19"/>
    <s v="STORE6"/>
    <n v="2"/>
    <n v="764.25"/>
    <n v="0.23"/>
    <x v="1"/>
    <n v="1176.9449999999999"/>
    <n v="440742.70500000013"/>
    <n v="1064.5959057971018"/>
    <n v="129"/>
    <s v="High Value"/>
    <s v="Jan-2025"/>
    <s v="Knee Support Brace"/>
    <s v="Sports"/>
    <x v="249"/>
  </r>
  <r>
    <s v="SALE1587"/>
    <d v="2024-01-09T00:00:00"/>
    <x v="248"/>
    <s v="PROD83"/>
    <s v="STORE5"/>
    <n v="3"/>
    <n v="107.8"/>
    <n v="0.28999999999999998"/>
    <x v="1"/>
    <n v="229.614"/>
    <n v="439565.76000000018"/>
    <n v="1064.3238740920101"/>
    <n v="128"/>
    <s v="Low Value"/>
    <s v="Jan-2024"/>
    <s v="Hydrating Face Cleanser"/>
    <s v="Beauty"/>
    <x v="247"/>
  </r>
  <r>
    <s v="SALE1588"/>
    <d v="2025-04-10T00:00:00"/>
    <x v="347"/>
    <s v="PROD22"/>
    <s v="STORE8"/>
    <n v="4"/>
    <n v="565.37"/>
    <n v="7.0000000000000007E-2"/>
    <x v="1"/>
    <n v="2103.1763999999998"/>
    <n v="439336.14600000018"/>
    <n v="1066.3498689320393"/>
    <n v="127"/>
    <s v="High Value"/>
    <s v="Apr-2025"/>
    <s v="Carbon Fiber Tennis Racket"/>
    <s v="Sports"/>
    <x v="345"/>
  </r>
  <r>
    <s v="SALE1589"/>
    <d v="2023-11-05T00:00:00"/>
    <x v="247"/>
    <s v="PROD36"/>
    <s v="STORE4"/>
    <n v="3"/>
    <n v="811.45"/>
    <n v="0.26"/>
    <x v="0"/>
    <n v="1801.4190000000001"/>
    <n v="437232.96960000013"/>
    <n v="1063.8271766423361"/>
    <n v="126"/>
    <s v="High Value"/>
    <s v="Nov-2023"/>
    <s v="Women's Summer Dress"/>
    <s v="Clothing"/>
    <x v="246"/>
  </r>
  <r>
    <s v="SALE1590"/>
    <d v="2025-04-02T00:00:00"/>
    <x v="362"/>
    <s v="PROD33"/>
    <s v="STORE19"/>
    <n v="4"/>
    <n v="62.25"/>
    <n v="0.11"/>
    <x v="1"/>
    <n v="221.61"/>
    <n v="435431.55060000019"/>
    <n v="1062.0281721951224"/>
    <n v="126"/>
    <s v="Low Value"/>
    <s v="Apr-2025"/>
    <s v="Modern Wall Clock"/>
    <s v="Home"/>
    <x v="360"/>
  </r>
  <r>
    <s v="SALE1591"/>
    <d v="2025-05-30T00:00:00"/>
    <x v="480"/>
    <s v="PROD95"/>
    <s v="STORE10"/>
    <n v="1"/>
    <n v="749.78"/>
    <n v="0.03"/>
    <x v="0"/>
    <n v="727.28659999999991"/>
    <n v="435209.94060000021"/>
    <n v="1064.0829843520787"/>
    <n v="125"/>
    <s v="Low Value"/>
    <s v="May-2025"/>
    <s v="Sports Stopwatch Basic"/>
    <s v="Sports"/>
    <x v="478"/>
  </r>
  <r>
    <s v="SALE1592"/>
    <d v="2024-07-23T00:00:00"/>
    <x v="401"/>
    <s v="PROD59"/>
    <s v="STORE5"/>
    <n v="3"/>
    <n v="630.28"/>
    <n v="7.0000000000000007E-2"/>
    <x v="2"/>
    <n v="1758.4811999999999"/>
    <n v="434482.65400000021"/>
    <n v="1064.9084656862751"/>
    <n v="125"/>
    <s v="High Value"/>
    <s v="Jul-2024"/>
    <s v="Men's Hair Styling Gel"/>
    <s v="Beauty"/>
    <x v="399"/>
  </r>
  <r>
    <s v="SALE1593"/>
    <d v="2024-03-04T00:00:00"/>
    <x v="80"/>
    <s v="PROD30"/>
    <s v="STORE16"/>
    <n v="1"/>
    <n v="101.84"/>
    <n v="0.17"/>
    <x v="0"/>
    <n v="84.527199999999993"/>
    <n v="432724.17280000023"/>
    <n v="1063.2043557739564"/>
    <n v="125"/>
    <s v="Low Value"/>
    <s v="Mar-2024"/>
    <s v="Stainless Steel Cutlery Set"/>
    <s v="Home"/>
    <x v="79"/>
  </r>
  <r>
    <s v="SALE1594"/>
    <d v="2023-11-26T00:00:00"/>
    <x v="366"/>
    <s v="PROD24"/>
    <s v="STORE18"/>
    <n v="4"/>
    <n v="641.45000000000005"/>
    <n v="0.16"/>
    <x v="2"/>
    <n v="2155.2719999999999"/>
    <n v="432639.64560000022"/>
    <n v="1065.6148906403946"/>
    <n v="125"/>
    <s v="High Value"/>
    <s v="Nov-2023"/>
    <s v="Foldable Camping Chair"/>
    <s v="Sports"/>
    <x v="364"/>
  </r>
  <r>
    <s v="SALE1595"/>
    <d v="2025-07-11T00:00:00"/>
    <x v="198"/>
    <s v="PROD43"/>
    <s v="STORE1"/>
    <n v="1"/>
    <n v="135.87"/>
    <n v="0.23"/>
    <x v="1"/>
    <n v="104.6199"/>
    <n v="430484.37360000022"/>
    <n v="1062.9243792592599"/>
    <n v="125"/>
    <s v="Low Value"/>
    <s v="Jul-2025"/>
    <s v="USB External Hard Drive"/>
    <s v="Electronics"/>
    <x v="197"/>
  </r>
  <r>
    <s v="SALE1596"/>
    <d v="2024-02-22T00:00:00"/>
    <x v="50"/>
    <s v="PROD21"/>
    <s v="STORE6"/>
    <n v="1"/>
    <n v="388.35"/>
    <n v="0.01"/>
    <x v="1"/>
    <n v="384.4665"/>
    <n v="430379.75370000018"/>
    <n v="1065.2964200495053"/>
    <n v="124"/>
    <s v="Low Value"/>
    <s v="Feb-2024"/>
    <s v="Multi-Purpose Storage Box"/>
    <s v="Home"/>
    <x v="50"/>
  </r>
  <r>
    <s v="SALE1597"/>
    <d v="2024-03-16T00:00:00"/>
    <x v="371"/>
    <s v="PROD38"/>
    <s v="STORE9"/>
    <n v="2"/>
    <n v="999.08"/>
    <n v="0.3"/>
    <x v="1"/>
    <n v="1398.712"/>
    <n v="429995.2872000002"/>
    <n v="1066.9858243176184"/>
    <n v="123"/>
    <s v="High Value"/>
    <s v="Mar-2024"/>
    <s v="Sports Water Hydration Pack"/>
    <s v="Sports"/>
    <x v="369"/>
  </r>
  <r>
    <s v="SALE1598"/>
    <d v="2025-08-18T00:00:00"/>
    <x v="166"/>
    <s v="PROD38"/>
    <s v="STORE17"/>
    <n v="3"/>
    <n v="453.19"/>
    <n v="0.08"/>
    <x v="2"/>
    <n v="1250.8044"/>
    <n v="428596.57520000014"/>
    <n v="1066.1606348258711"/>
    <n v="122"/>
    <s v="High Value"/>
    <s v="Aug-2025"/>
    <s v="Sports Water Hydration Pack"/>
    <s v="Sports"/>
    <x v="165"/>
  </r>
  <r>
    <s v="SALE1599"/>
    <d v="2024-10-02T00:00:00"/>
    <x v="328"/>
    <s v="PROD80"/>
    <s v="STORE10"/>
    <n v="2"/>
    <n v="61.31"/>
    <n v="0.15"/>
    <x v="2"/>
    <n v="104.227"/>
    <n v="427345.77080000017"/>
    <n v="1065.700176558604"/>
    <n v="122"/>
    <s v="Low Value"/>
    <s v="Oct-2024"/>
    <s v="Wall-Mounted Spice Rack"/>
    <s v="Home"/>
    <x v="326"/>
  </r>
  <r>
    <s v="SALE1600"/>
    <d v="2023-10-24T00:00:00"/>
    <x v="395"/>
    <s v="PROD81"/>
    <s v="STORE10"/>
    <n v="2"/>
    <n v="870.13"/>
    <n v="0.23"/>
    <x v="0"/>
    <n v="1340.0001999999999"/>
    <n v="427241.54380000016"/>
    <n v="1068.1038595000005"/>
    <n v="122"/>
    <s v="High Value"/>
    <s v="Oct-2023"/>
    <s v="Badminton Racket Set"/>
    <s v="Sports"/>
    <x v="393"/>
  </r>
  <r>
    <s v="SALE1601"/>
    <d v="2025-01-07T00:00:00"/>
    <x v="101"/>
    <s v="PROD15"/>
    <s v="STORE19"/>
    <n v="1"/>
    <n v="336.51"/>
    <n v="0.11"/>
    <x v="1"/>
    <n v="299.4939"/>
    <n v="425901.54360000021"/>
    <n v="1067.4224150375944"/>
    <n v="122"/>
    <s v="Low Value"/>
    <s v="Jan-2025"/>
    <s v="4K Home Projector"/>
    <s v="Electronics"/>
    <x v="100"/>
  </r>
  <r>
    <s v="SALE1602"/>
    <d v="2024-01-22T00:00:00"/>
    <x v="282"/>
    <s v="PROD67"/>
    <s v="STORE0"/>
    <n v="1"/>
    <n v="305.70999999999998"/>
    <n v="0.26"/>
    <x v="2"/>
    <n v="226.22540000000001"/>
    <n v="425602.04970000021"/>
    <n v="1069.3518836683422"/>
    <n v="121"/>
    <s v="Low Value"/>
    <s v="Jan-2024"/>
    <s v="Smart LED Light Strip"/>
    <s v="Electronics"/>
    <x v="280"/>
  </r>
  <r>
    <s v="SALE1603"/>
    <d v="2023-10-25T00:00:00"/>
    <x v="418"/>
    <s v="PROD10"/>
    <s v="STORE18"/>
    <n v="2"/>
    <n v="635.39"/>
    <n v="0.28999999999999998"/>
    <x v="2"/>
    <n v="902.25379999999996"/>
    <n v="425375.82430000015"/>
    <n v="1071.4756279596982"/>
    <n v="121"/>
    <s v="Low Value"/>
    <s v="Oct-2023"/>
    <s v="Ceramic Kitchen Bowl Set"/>
    <s v="Home"/>
    <x v="416"/>
  </r>
  <r>
    <s v="SALE1604"/>
    <d v="2024-07-18T00:00:00"/>
    <x v="5"/>
    <s v="PROD92"/>
    <s v="STORE19"/>
    <n v="2"/>
    <n v="253.87"/>
    <n v="0.23"/>
    <x v="2"/>
    <n v="390.95979999999997"/>
    <n v="424473.57050000021"/>
    <n v="1071.9029558080813"/>
    <n v="121"/>
    <s v="Low Value"/>
    <s v="Jul-2024"/>
    <s v="Microwave Oven"/>
    <s v="Home"/>
    <x v="5"/>
  </r>
  <r>
    <s v="SALE1605"/>
    <d v="2024-06-29T00:00:00"/>
    <x v="213"/>
    <s v="PROD76"/>
    <s v="STORE17"/>
    <n v="3"/>
    <n v="915.81"/>
    <n v="0.17"/>
    <x v="2"/>
    <n v="2280.3669"/>
    <n v="424082.61070000019"/>
    <n v="1073.6268625316461"/>
    <n v="121"/>
    <s v="High Value"/>
    <s v="Jun-2024"/>
    <s v="Wireless Mouse"/>
    <s v="Electronics"/>
    <x v="212"/>
  </r>
  <r>
    <s v="SALE1606"/>
    <d v="2025-05-18T00:00:00"/>
    <x v="204"/>
    <s v="PROD42"/>
    <s v="STORE8"/>
    <n v="3"/>
    <n v="779.5"/>
    <n v="0.02"/>
    <x v="0"/>
    <n v="2291.73"/>
    <n v="421802.24380000023"/>
    <n v="1070.5640705583762"/>
    <n v="121"/>
    <s v="High Value"/>
    <s v="May-2025"/>
    <s v="Smart Home WiFi Camera"/>
    <s v="Electronics"/>
    <x v="203"/>
  </r>
  <r>
    <s v="SALE1607"/>
    <d v="2024-06-27T00:00:00"/>
    <x v="262"/>
    <s v="PROD61"/>
    <s v="STORE16"/>
    <n v="2"/>
    <n v="780.57"/>
    <n v="0.26"/>
    <x v="0"/>
    <n v="1155.2436"/>
    <n v="419510.51380000025"/>
    <n v="1067.456778117049"/>
    <n v="121"/>
    <s v="High Value"/>
    <s v="Jun-2024"/>
    <s v="Tennis Ball 3-Pack"/>
    <s v="Sports"/>
    <x v="261"/>
  </r>
  <r>
    <s v="SALE1608"/>
    <d v="2024-04-08T00:00:00"/>
    <x v="280"/>
    <s v="PROD95"/>
    <s v="STORE19"/>
    <n v="1"/>
    <n v="511.35"/>
    <n v="0"/>
    <x v="0"/>
    <n v="511.35"/>
    <n v="418355.2702000002"/>
    <n v="1067.2328321428577"/>
    <n v="121"/>
    <s v="Low Value"/>
    <s v="Apr-2024"/>
    <s v="Sports Stopwatch Basic"/>
    <s v="Sports"/>
    <x v="278"/>
  </r>
  <r>
    <s v="SALE1609"/>
    <d v="2025-05-26T00:00:00"/>
    <x v="6"/>
    <s v="PROD97"/>
    <s v="STORE3"/>
    <n v="4"/>
    <n v="44.07"/>
    <n v="0.28999999999999998"/>
    <x v="2"/>
    <n v="125.1588"/>
    <n v="417843.92020000017"/>
    <n v="1068.6545273657293"/>
    <n v="121"/>
    <s v="Low Value"/>
    <s v="May-2025"/>
    <s v="Cricket Bat"/>
    <s v="Sports"/>
    <x v="6"/>
  </r>
  <r>
    <s v="SALE1610"/>
    <d v="2024-01-29T00:00:00"/>
    <x v="303"/>
    <s v="PROD69"/>
    <s v="STORE11"/>
    <n v="2"/>
    <n v="895.92"/>
    <n v="0.15"/>
    <x v="0"/>
    <n v="1523.0640000000001"/>
    <n v="417718.76140000019"/>
    <n v="1071.0737471794878"/>
    <n v="121"/>
    <s v="High Value"/>
    <s v="Jan-2024"/>
    <s v="Men's Sports Shorts"/>
    <s v="Clothing"/>
    <x v="301"/>
  </r>
  <r>
    <s v="SALE1611"/>
    <d v="2024-11-23T00:00:00"/>
    <x v="428"/>
    <s v="PROD53"/>
    <s v="STORE2"/>
    <n v="4"/>
    <n v="456.32"/>
    <n v="0.22"/>
    <x v="2"/>
    <n v="1423.7184"/>
    <n v="416195.69740000018"/>
    <n v="1069.9118185089978"/>
    <n v="121"/>
    <s v="High Value"/>
    <s v="Nov-2024"/>
    <s v="Men's Track Pants"/>
    <s v="Clothing"/>
    <x v="426"/>
  </r>
  <r>
    <s v="SALE1612"/>
    <d v="2025-04-30T00:00:00"/>
    <x v="47"/>
    <s v="PROD34"/>
    <s v="STORE0"/>
    <n v="1"/>
    <n v="905.5"/>
    <n v="0.28999999999999998"/>
    <x v="2"/>
    <n v="642.90499999999997"/>
    <n v="414771.97900000022"/>
    <n v="1068.9999458762893"/>
    <n v="121"/>
    <s v="Low Value"/>
    <s v="Apr-2025"/>
    <s v="Gaming Mechanical Keyboard"/>
    <s v="Electronics"/>
    <x v="47"/>
  </r>
  <r>
    <s v="SALE1613"/>
    <d v="2024-08-19T00:00:00"/>
    <x v="329"/>
    <s v="PROD16"/>
    <s v="STORE13"/>
    <n v="3"/>
    <n v="63.19"/>
    <n v="0.08"/>
    <x v="0"/>
    <n v="174.40440000000001"/>
    <n v="414129.0740000002"/>
    <n v="1070.1009664082692"/>
    <n v="121"/>
    <s v="Low Value"/>
    <s v="Aug-2024"/>
    <s v="Beard Grooming Kit"/>
    <s v="Beauty"/>
    <x v="327"/>
  </r>
  <r>
    <s v="SALE1614"/>
    <d v="2024-12-02T00:00:00"/>
    <x v="274"/>
    <s v="PROD70"/>
    <s v="STORE7"/>
    <n v="3"/>
    <n v="687.66"/>
    <n v="0.06"/>
    <x v="1"/>
    <n v="1939.2012"/>
    <n v="413954.6696000002"/>
    <n v="1072.4214238341974"/>
    <n v="121"/>
    <s v="High Value"/>
    <s v="Dec-2024"/>
    <s v="Kitchen Storage Rack"/>
    <s v="Home"/>
    <x v="272"/>
  </r>
  <r>
    <s v="SALE1615"/>
    <d v="2025-03-26T00:00:00"/>
    <x v="209"/>
    <s v="PROD43"/>
    <s v="STORE9"/>
    <n v="4"/>
    <n v="639.05999999999995"/>
    <n v="0.12"/>
    <x v="1"/>
    <n v="2249.4911999999999"/>
    <n v="412015.46840000019"/>
    <n v="1070.1700477922084"/>
    <n v="120"/>
    <s v="High Value"/>
    <s v="Mar-2025"/>
    <s v="USB External Hard Drive"/>
    <s v="Electronics"/>
    <x v="208"/>
  </r>
  <r>
    <s v="SALE1616"/>
    <d v="2024-06-13T00:00:00"/>
    <x v="101"/>
    <s v="PROD71"/>
    <s v="STORE7"/>
    <n v="1"/>
    <n v="475.15"/>
    <n v="0.04"/>
    <x v="2"/>
    <n v="456.14399999999989"/>
    <n v="409765.9772000002"/>
    <n v="1067.0988989583338"/>
    <n v="119"/>
    <s v="Low Value"/>
    <s v="Jun-2024"/>
    <s v="Hair Repair Oil Treatment"/>
    <s v="Beauty"/>
    <x v="100"/>
  </r>
  <r>
    <s v="SALE1617"/>
    <d v="2024-08-30T00:00:00"/>
    <x v="410"/>
    <s v="PROD44"/>
    <s v="STORE6"/>
    <n v="1"/>
    <n v="62.38"/>
    <n v="0.08"/>
    <x v="2"/>
    <n v="57.389600000000002"/>
    <n v="409309.83320000017"/>
    <n v="1068.6940814621414"/>
    <n v="119"/>
    <s v="Low Value"/>
    <s v="Aug-2024"/>
    <s v="Adjustable Jump Rope"/>
    <s v="Sports"/>
    <x v="408"/>
  </r>
  <r>
    <s v="SALE1618"/>
    <d v="2024-03-24T00:00:00"/>
    <x v="368"/>
    <s v="PROD15"/>
    <s v="STORE7"/>
    <n v="1"/>
    <n v="977.02"/>
    <n v="0.2"/>
    <x v="2"/>
    <n v="781.61599999999999"/>
    <n v="409252.44360000017"/>
    <n v="1071.3414753926706"/>
    <n v="119"/>
    <s v="Low Value"/>
    <s v="Mar-2024"/>
    <s v="4K Home Projector"/>
    <s v="Electronics"/>
    <x v="366"/>
  </r>
  <r>
    <s v="SALE1619"/>
    <d v="2024-09-11T00:00:00"/>
    <x v="481"/>
    <s v="PROD83"/>
    <s v="STORE4"/>
    <n v="2"/>
    <n v="898.81"/>
    <n v="0.25"/>
    <x v="0"/>
    <n v="1348.2149999999999"/>
    <n v="408470.82760000019"/>
    <n v="1072.1019097112867"/>
    <n v="119"/>
    <s v="High Value"/>
    <s v="Sep-2024"/>
    <s v="Hydrating Face Cleanser"/>
    <s v="Beauty"/>
    <x v="479"/>
  </r>
  <r>
    <s v="SALE1620"/>
    <d v="2025-04-22T00:00:00"/>
    <x v="378"/>
    <s v="PROD57"/>
    <s v="STORE3"/>
    <n v="2"/>
    <n v="422.13"/>
    <n v="0.28000000000000003"/>
    <x v="0"/>
    <n v="607.86720000000003"/>
    <n v="407122.61260000023"/>
    <n v="1071.3752963157901"/>
    <n v="119"/>
    <s v="Low Value"/>
    <s v="Apr-2025"/>
    <s v="Foam Roller"/>
    <s v="Sports"/>
    <x v="376"/>
  </r>
  <r>
    <s v="SALE1621"/>
    <d v="2024-08-20T00:00:00"/>
    <x v="274"/>
    <s v="PROD34"/>
    <s v="STORE11"/>
    <n v="1"/>
    <n v="324.56"/>
    <n v="0.03"/>
    <x v="2"/>
    <n v="314.82319999999999"/>
    <n v="406514.74540000019"/>
    <n v="1072.5982728232195"/>
    <n v="119"/>
    <s v="Low Value"/>
    <s v="Aug-2024"/>
    <s v="Gaming Mechanical Keyboard"/>
    <s v="Electronics"/>
    <x v="272"/>
  </r>
  <r>
    <s v="SALE1622"/>
    <d v="2024-08-27T00:00:00"/>
    <x v="228"/>
    <s v="PROD55"/>
    <s v="STORE16"/>
    <n v="4"/>
    <n v="570.38"/>
    <n v="0.26"/>
    <x v="1"/>
    <n v="1688.3248000000001"/>
    <n v="406199.9222000002"/>
    <n v="1074.6029687830694"/>
    <n v="119"/>
    <s v="High Value"/>
    <s v="Aug-2024"/>
    <s v="Ceramic Plant Pot"/>
    <s v="Home"/>
    <x v="227"/>
  </r>
  <r>
    <s v="SALE1623"/>
    <d v="2024-07-06T00:00:00"/>
    <x v="134"/>
    <s v="PROD34"/>
    <s v="STORE15"/>
    <n v="2"/>
    <n v="223.73"/>
    <n v="0.11"/>
    <x v="1"/>
    <n v="398.23939999999999"/>
    <n v="404511.5974000002"/>
    <n v="1072.9750594164461"/>
    <n v="118"/>
    <s v="Low Value"/>
    <s v="Jul-2024"/>
    <s v="Gaming Mechanical Keyboard"/>
    <s v="Electronics"/>
    <x v="133"/>
  </r>
  <r>
    <s v="SALE1624"/>
    <d v="2025-07-30T00:00:00"/>
    <x v="378"/>
    <s v="PROD86"/>
    <s v="STORE16"/>
    <n v="4"/>
    <n v="164.93"/>
    <n v="0.11"/>
    <x v="0"/>
    <n v="587.1508"/>
    <n v="404113.35800000018"/>
    <n v="1074.7695691489366"/>
    <n v="117"/>
    <s v="Low Value"/>
    <s v="Jul-2025"/>
    <s v="Kitchen Cutting Board"/>
    <s v="Home"/>
    <x v="376"/>
  </r>
  <r>
    <s v="SALE1625"/>
    <d v="2024-10-04T00:00:00"/>
    <x v="434"/>
    <s v="PROD15"/>
    <s v="STORE7"/>
    <n v="3"/>
    <n v="326.66000000000003"/>
    <n v="0.28000000000000003"/>
    <x v="2"/>
    <n v="705.5856"/>
    <n v="403526.20720000018"/>
    <n v="1076.0698858666672"/>
    <n v="117"/>
    <s v="Low Value"/>
    <s v="Oct-2024"/>
    <s v="4K Home Projector"/>
    <s v="Electronics"/>
    <x v="432"/>
  </r>
  <r>
    <s v="SALE1626"/>
    <d v="2024-03-31T00:00:00"/>
    <x v="91"/>
    <s v="PROD1"/>
    <s v="STORE15"/>
    <n v="2"/>
    <n v="462.93"/>
    <n v="0.17"/>
    <x v="1"/>
    <n v="768.46379999999999"/>
    <n v="402820.62160000019"/>
    <n v="1077.0604855614979"/>
    <n v="117"/>
    <s v="Low Value"/>
    <s v="Mar-2024"/>
    <s v="Men's Graphic T-Shirt"/>
    <s v="Clothing"/>
    <x v="90"/>
  </r>
  <r>
    <s v="SALE1627"/>
    <d v="2025-08-16T00:00:00"/>
    <x v="347"/>
    <s v="PROD0"/>
    <s v="STORE16"/>
    <n v="3"/>
    <n v="60.26"/>
    <n v="0.04"/>
    <x v="0"/>
    <n v="173.5488"/>
    <n v="402052.15780000016"/>
    <n v="1077.8878225201076"/>
    <n v="116"/>
    <s v="Low Value"/>
    <s v="Aug-2025"/>
    <s v="Brother Laser Printer"/>
    <s v="Electronics"/>
    <x v="345"/>
  </r>
  <r>
    <s v="SALE1628"/>
    <d v="2025-06-21T00:00:00"/>
    <x v="291"/>
    <s v="PROD34"/>
    <s v="STORE9"/>
    <n v="3"/>
    <n v="109.5"/>
    <n v="0.06"/>
    <x v="2"/>
    <n v="308.79000000000002"/>
    <n v="401878.60900000017"/>
    <n v="1080.3188413978498"/>
    <n v="116"/>
    <s v="Low Value"/>
    <s v="Jun-2025"/>
    <s v="Gaming Mechanical Keyboard"/>
    <s v="Electronics"/>
    <x v="289"/>
  </r>
  <r>
    <s v="SALE1629"/>
    <d v="2025-03-05T00:00:00"/>
    <x v="157"/>
    <s v="PROD70"/>
    <s v="STORE16"/>
    <n v="1"/>
    <n v="505.83"/>
    <n v="0.14000000000000001"/>
    <x v="2"/>
    <n v="435.0138"/>
    <n v="401569.81900000019"/>
    <n v="1082.3984339622646"/>
    <n v="116"/>
    <s v="Low Value"/>
    <s v="Mar-2025"/>
    <s v="Kitchen Storage Rack"/>
    <s v="Home"/>
    <x v="156"/>
  </r>
  <r>
    <s v="SALE1630"/>
    <d v="2024-08-07T00:00:00"/>
    <x v="300"/>
    <s v="PROD98"/>
    <s v="STORE10"/>
    <n v="2"/>
    <n v="443.15"/>
    <n v="0.27"/>
    <x v="1"/>
    <n v="646.99899999999991"/>
    <n v="401134.80520000018"/>
    <n v="1084.1481221621627"/>
    <n v="116"/>
    <s v="Low Value"/>
    <s v="Aug-2024"/>
    <s v="Portable Bluetooth Speaker"/>
    <s v="Electronics"/>
    <x v="298"/>
  </r>
  <r>
    <s v="SALE1631"/>
    <d v="2025-03-23T00:00:00"/>
    <x v="388"/>
    <s v="PROD7"/>
    <s v="STORE7"/>
    <n v="2"/>
    <n v="784.26"/>
    <n v="0.23"/>
    <x v="1"/>
    <n v="1207.7603999999999"/>
    <n v="400487.80620000017"/>
    <n v="1085.3328081300817"/>
    <n v="115"/>
    <s v="High Value"/>
    <s v="Mar-2025"/>
    <s v="LED Table Lamp"/>
    <s v="Home"/>
    <x v="386"/>
  </r>
  <r>
    <s v="SALE1632"/>
    <d v="2024-08-29T00:00:00"/>
    <x v="264"/>
    <s v="PROD39"/>
    <s v="STORE11"/>
    <n v="3"/>
    <n v="590.30999999999995"/>
    <n v="0.17"/>
    <x v="1"/>
    <n v="1469.8719000000001"/>
    <n v="399280.04580000014"/>
    <n v="1085.0001244565221"/>
    <n v="114"/>
    <s v="High Value"/>
    <s v="Aug-2024"/>
    <s v="Portable Power Bank"/>
    <s v="Electronics"/>
    <x v="263"/>
  </r>
  <r>
    <s v="SALE1633"/>
    <d v="2024-09-18T00:00:00"/>
    <x v="263"/>
    <s v="PROD69"/>
    <s v="STORE16"/>
    <n v="1"/>
    <n v="696.13"/>
    <n v="0.06"/>
    <x v="2"/>
    <n v="654.36219999999992"/>
    <n v="397810.17390000017"/>
    <n v="1083.9514275204365"/>
    <n v="113"/>
    <s v="Low Value"/>
    <s v="Sep-2024"/>
    <s v="Men's Sports Shorts"/>
    <s v="Clothing"/>
    <x v="262"/>
  </r>
  <r>
    <s v="SALE1634"/>
    <d v="2024-02-19T00:00:00"/>
    <x v="253"/>
    <s v="PROD51"/>
    <s v="STORE6"/>
    <n v="4"/>
    <n v="194.39"/>
    <n v="0.25"/>
    <x v="0"/>
    <n v="583.16999999999996"/>
    <n v="397155.81170000014"/>
    <n v="1085.1251685792354"/>
    <n v="113"/>
    <s v="Low Value"/>
    <s v="Feb-2024"/>
    <s v="HDMI Cable – 2m"/>
    <s v="Electronics"/>
    <x v="252"/>
  </r>
  <r>
    <s v="SALE1635"/>
    <d v="2024-05-18T00:00:00"/>
    <x v="393"/>
    <s v="PROD33"/>
    <s v="STORE1"/>
    <n v="1"/>
    <n v="339.7"/>
    <n v="0.1"/>
    <x v="0"/>
    <n v="305.73"/>
    <n v="396572.64170000015"/>
    <n v="1086.5003882191786"/>
    <n v="113"/>
    <s v="Low Value"/>
    <s v="May-2024"/>
    <s v="Modern Wall Clock"/>
    <s v="Home"/>
    <x v="391"/>
  </r>
  <r>
    <s v="SALE1636"/>
    <d v="2025-09-12T00:00:00"/>
    <x v="369"/>
    <s v="PROD68"/>
    <s v="STORE13"/>
    <n v="4"/>
    <n v="463.16"/>
    <n v="0.27"/>
    <x v="1"/>
    <n v="1352.4272000000001"/>
    <n v="396266.91170000017"/>
    <n v="1088.6453618131873"/>
    <n v="113"/>
    <s v="High Value"/>
    <s v="Sep-2025"/>
    <s v="Wooden Nightstand"/>
    <s v="Home"/>
    <x v="367"/>
  </r>
  <r>
    <s v="SALE1637"/>
    <d v="2025-02-21T00:00:00"/>
    <x v="183"/>
    <s v="PROD5"/>
    <s v="STORE10"/>
    <n v="2"/>
    <n v="824.91"/>
    <n v="0.09"/>
    <x v="0"/>
    <n v="1501.3362"/>
    <n v="394914.48450000014"/>
    <n v="1087.9186900826451"/>
    <n v="112"/>
    <s v="High Value"/>
    <s v="Feb-2025"/>
    <s v="Men's Leather Belt"/>
    <s v="Clothing"/>
    <x v="182"/>
  </r>
  <r>
    <s v="SALE1638"/>
    <d v="2024-08-16T00:00:00"/>
    <x v="45"/>
    <s v="PROD5"/>
    <s v="STORE2"/>
    <n v="4"/>
    <n v="796.89"/>
    <n v="0.17"/>
    <x v="0"/>
    <n v="2645.6747999999998"/>
    <n v="393413.14830000012"/>
    <n v="1086.7766527624312"/>
    <n v="112"/>
    <s v="High Value"/>
    <s v="Aug-2024"/>
    <s v="Men's Leather Belt"/>
    <s v="Clothing"/>
    <x v="45"/>
  </r>
  <r>
    <s v="SALE1639"/>
    <d v="2024-07-05T00:00:00"/>
    <x v="195"/>
    <s v="PROD26"/>
    <s v="STORE17"/>
    <n v="3"/>
    <n v="543.92999999999995"/>
    <n v="0.3"/>
    <x v="2"/>
    <n v="1142.2529999999999"/>
    <n v="390767.47350000014"/>
    <n v="1082.4583753462607"/>
    <n v="112"/>
    <s v="High Value"/>
    <s v="Jul-2024"/>
    <s v="Wireless Bluetooth Speaker"/>
    <s v="Electronics"/>
    <x v="194"/>
  </r>
  <r>
    <s v="SALE1640"/>
    <d v="2024-07-23T00:00:00"/>
    <x v="348"/>
    <s v="PROD14"/>
    <s v="STORE7"/>
    <n v="2"/>
    <n v="44.65"/>
    <n v="0.03"/>
    <x v="1"/>
    <n v="86.620999999999995"/>
    <n v="389625.22050000005"/>
    <n v="1082.2922791666667"/>
    <n v="112"/>
    <s v="Low Value"/>
    <s v="Jul-2024"/>
    <s v="Decorative Wall Mirror"/>
    <s v="Home"/>
    <x v="346"/>
  </r>
  <r>
    <s v="SALE1641"/>
    <d v="2025-03-26T00:00:00"/>
    <x v="475"/>
    <s v="PROD56"/>
    <s v="STORE0"/>
    <n v="4"/>
    <n v="827.39"/>
    <n v="0.06"/>
    <x v="2"/>
    <n v="3110.9863999999998"/>
    <n v="389538.59950000007"/>
    <n v="1085.0657367688025"/>
    <n v="111"/>
    <s v="High Value"/>
    <s v="Mar-2025"/>
    <s v="Premium Blanket Throw"/>
    <s v="Home"/>
    <x v="473"/>
  </r>
  <r>
    <s v="SALE1642"/>
    <d v="2024-01-10T00:00:00"/>
    <x v="482"/>
    <s v="PROD14"/>
    <s v="STORE12"/>
    <n v="2"/>
    <n v="403.2"/>
    <n v="0.21"/>
    <x v="1"/>
    <n v="637.05600000000004"/>
    <n v="386427.61310000008"/>
    <n v="1079.4067405027936"/>
    <n v="111"/>
    <s v="Low Value"/>
    <s v="Jan-2024"/>
    <s v="Decorative Wall Mirror"/>
    <s v="Home"/>
    <x v="480"/>
  </r>
  <r>
    <s v="SALE1643"/>
    <d v="2024-09-12T00:00:00"/>
    <x v="223"/>
    <s v="PROD86"/>
    <s v="STORE13"/>
    <n v="4"/>
    <n v="292.31"/>
    <n v="0.27"/>
    <x v="1"/>
    <n v="853.54520000000002"/>
    <n v="385790.55710000003"/>
    <n v="1080.6458182072829"/>
    <n v="110"/>
    <s v="Low Value"/>
    <s v="Sep-2024"/>
    <s v="Kitchen Cutting Board"/>
    <s v="Home"/>
    <x v="222"/>
  </r>
  <r>
    <s v="SALE1644"/>
    <d v="2025-05-29T00:00:00"/>
    <x v="36"/>
    <s v="PROD2"/>
    <s v="STORE10"/>
    <n v="1"/>
    <n v="948.33"/>
    <n v="0.11"/>
    <x v="0"/>
    <n v="844.01370000000009"/>
    <n v="384937.01189999998"/>
    <n v="1081.2837412921349"/>
    <n v="109"/>
    <s v="Low Value"/>
    <s v="May-2025"/>
    <s v="Women's Casual Hoodie"/>
    <s v="Clothing"/>
    <x v="36"/>
  </r>
  <r>
    <s v="SALE1645"/>
    <d v="2024-01-03T00:00:00"/>
    <x v="110"/>
    <s v="PROD39"/>
    <s v="STORE5"/>
    <n v="1"/>
    <n v="702.27"/>
    <n v="0.17"/>
    <x v="2"/>
    <n v="582.88409999999999"/>
    <n v="384092.99819999997"/>
    <n v="1081.9521076056337"/>
    <n v="109"/>
    <s v="Low Value"/>
    <s v="Jan-2024"/>
    <s v="Portable Power Bank"/>
    <s v="Electronics"/>
    <x v="109"/>
  </r>
  <r>
    <s v="SALE1646"/>
    <d v="2025-08-06T00:00:00"/>
    <x v="95"/>
    <s v="PROD30"/>
    <s v="STORE3"/>
    <n v="2"/>
    <n v="379.28"/>
    <n v="0.26"/>
    <x v="0"/>
    <n v="561.33439999999996"/>
    <n v="383510.11410000001"/>
    <n v="1083.3619042372882"/>
    <n v="109"/>
    <s v="Low Value"/>
    <s v="Aug-2025"/>
    <s v="Stainless Steel Cutlery Set"/>
    <s v="Home"/>
    <x v="94"/>
  </r>
  <r>
    <s v="SALE1647"/>
    <d v="2025-01-12T00:00:00"/>
    <x v="483"/>
    <s v="PROD47"/>
    <s v="STORE0"/>
    <n v="4"/>
    <n v="92.35"/>
    <n v="0.15"/>
    <x v="0"/>
    <n v="313.99"/>
    <n v="382948.77970000001"/>
    <n v="1084.8407356940511"/>
    <n v="109"/>
    <s v="Low Value"/>
    <s v="Jan-2025"/>
    <s v="Makeup Brush Set"/>
    <s v="Beauty"/>
    <x v="481"/>
  </r>
  <r>
    <s v="SALE1648"/>
    <d v="2024-11-10T00:00:00"/>
    <x v="209"/>
    <s v="PROD39"/>
    <s v="STORE12"/>
    <n v="4"/>
    <n v="721.54"/>
    <n v="0.21"/>
    <x v="0"/>
    <n v="2280.0664000000002"/>
    <n v="382634.78970000002"/>
    <n v="1087.0306525568183"/>
    <n v="109"/>
    <s v="High Value"/>
    <s v="Nov-2024"/>
    <s v="Portable Power Bank"/>
    <s v="Electronics"/>
    <x v="208"/>
  </r>
  <r>
    <s v="SALE1649"/>
    <d v="2025-05-10T00:00:00"/>
    <x v="286"/>
    <s v="PROD38"/>
    <s v="STORE9"/>
    <n v="1"/>
    <n v="228.69"/>
    <n v="0.14000000000000001"/>
    <x v="0"/>
    <n v="196.67339999999999"/>
    <n v="380354.72330000001"/>
    <n v="1083.6316903133904"/>
    <n v="109"/>
    <s v="Low Value"/>
    <s v="May-2025"/>
    <s v="Sports Water Hydration Pack"/>
    <s v="Sports"/>
    <x v="284"/>
  </r>
  <r>
    <s v="SALE1650"/>
    <d v="2025-09-29T00:00:00"/>
    <x v="394"/>
    <s v="PROD53"/>
    <s v="STORE10"/>
    <n v="1"/>
    <n v="899.09"/>
    <n v="0.2"/>
    <x v="1"/>
    <n v="719.27200000000005"/>
    <n v="380158.04989999998"/>
    <n v="1086.1658568571429"/>
    <n v="109"/>
    <s v="Low Value"/>
    <s v="Sep-2025"/>
    <s v="Men's Track Pants"/>
    <s v="Clothing"/>
    <x v="392"/>
  </r>
  <r>
    <s v="SALE1651"/>
    <d v="2024-03-28T00:00:00"/>
    <x v="304"/>
    <s v="PROD8"/>
    <s v="STORE8"/>
    <n v="4"/>
    <n v="195.75"/>
    <n v="0.17"/>
    <x v="0"/>
    <n v="649.89"/>
    <n v="379438.77789999999"/>
    <n v="1087.217128653295"/>
    <n v="108"/>
    <s v="Low Value"/>
    <s v="Mar-2024"/>
    <s v="Wireless Bluetooth Earbuds"/>
    <s v="Electronics"/>
    <x v="302"/>
  </r>
  <r>
    <s v="SALE1652"/>
    <d v="2024-08-28T00:00:00"/>
    <x v="438"/>
    <s v="PROD93"/>
    <s v="STORE15"/>
    <n v="3"/>
    <n v="199.13"/>
    <n v="0.24"/>
    <x v="0"/>
    <n v="454.01639999999998"/>
    <n v="378788.88790000003"/>
    <n v="1088.4738158045977"/>
    <n v="108"/>
    <s v="Low Value"/>
    <s v="Aug-2024"/>
    <s v="USB-C Laptop Charger"/>
    <s v="Electronics"/>
    <x v="436"/>
  </r>
  <r>
    <s v="SALE1653"/>
    <d v="2024-06-23T00:00:00"/>
    <x v="318"/>
    <s v="PROD22"/>
    <s v="STORE14"/>
    <n v="2"/>
    <n v="833.62"/>
    <n v="0.18"/>
    <x v="0"/>
    <n v="1367.1368"/>
    <n v="378334.87150000001"/>
    <n v="1090.3022233429394"/>
    <n v="108"/>
    <s v="High Value"/>
    <s v="Jun-2024"/>
    <s v="Carbon Fiber Tennis Racket"/>
    <s v="Sports"/>
    <x v="316"/>
  </r>
  <r>
    <s v="SALE1654"/>
    <d v="2024-04-13T00:00:00"/>
    <x v="213"/>
    <s v="PROD75"/>
    <s v="STORE0"/>
    <n v="1"/>
    <n v="676.26"/>
    <n v="0.14000000000000001"/>
    <x v="0"/>
    <n v="581.58359999999993"/>
    <n v="376967.73470000009"/>
    <n v="1089.5021234104049"/>
    <n v="108"/>
    <s v="Low Value"/>
    <s v="Apr-2024"/>
    <s v="Women's Ankle Boots"/>
    <s v="Clothing"/>
    <x v="212"/>
  </r>
  <r>
    <s v="SALE1655"/>
    <d v="2025-02-20T00:00:00"/>
    <x v="326"/>
    <s v="PROD60"/>
    <s v="STORE9"/>
    <n v="2"/>
    <n v="666.49"/>
    <n v="0.06"/>
    <x v="0"/>
    <n v="1253.0011999999999"/>
    <n v="376386.15110000008"/>
    <n v="1090.9743510144929"/>
    <n v="108"/>
    <s v="High Value"/>
    <s v="Feb-2025"/>
    <s v="Luxury Perfume Spray"/>
    <s v="Beauty"/>
    <x v="324"/>
  </r>
  <r>
    <s v="SALE1656"/>
    <d v="2025-03-19T00:00:00"/>
    <x v="484"/>
    <s v="PROD15"/>
    <s v="STORE4"/>
    <n v="3"/>
    <n v="471.19"/>
    <n v="0.28000000000000003"/>
    <x v="2"/>
    <n v="1017.7704"/>
    <n v="375133.14990000013"/>
    <n v="1090.5033427325586"/>
    <n v="108"/>
    <s v="High Value"/>
    <s v="Mar-2025"/>
    <s v="4K Home Projector"/>
    <s v="Electronics"/>
    <x v="482"/>
  </r>
  <r>
    <s v="SALE1657"/>
    <d v="2023-11-07T00:00:00"/>
    <x v="97"/>
    <s v="PROD8"/>
    <s v="STORE3"/>
    <n v="4"/>
    <n v="555.65"/>
    <n v="0.25"/>
    <x v="2"/>
    <n v="1666.95"/>
    <n v="374115.3795000001"/>
    <n v="1090.7153921282802"/>
    <n v="108"/>
    <s v="High Value"/>
    <s v="Nov-2023"/>
    <s v="Wireless Bluetooth Earbuds"/>
    <s v="Electronics"/>
    <x v="96"/>
  </r>
  <r>
    <s v="SALE1658"/>
    <d v="2023-12-22T00:00:00"/>
    <x v="67"/>
    <s v="PROD95"/>
    <s v="STORE14"/>
    <n v="2"/>
    <n v="100.42"/>
    <n v="0.06"/>
    <x v="0"/>
    <n v="188.78960000000001"/>
    <n v="372448.42950000014"/>
    <n v="1089.0304956140355"/>
    <n v="108"/>
    <s v="Low Value"/>
    <s v="Dec-2023"/>
    <s v="Sports Stopwatch Basic"/>
    <s v="Sports"/>
    <x v="66"/>
  </r>
  <r>
    <s v="SALE1659"/>
    <d v="2024-02-15T00:00:00"/>
    <x v="274"/>
    <s v="PROD98"/>
    <s v="STORE18"/>
    <n v="3"/>
    <n v="981.69"/>
    <n v="0.05"/>
    <x v="2"/>
    <n v="2797.8164999999999"/>
    <n v="372259.63990000013"/>
    <n v="1091.6704982404697"/>
    <n v="108"/>
    <s v="High Value"/>
    <s v="Feb-2024"/>
    <s v="Portable Bluetooth Speaker"/>
    <s v="Electronics"/>
    <x v="272"/>
  </r>
  <r>
    <s v="SALE1660"/>
    <d v="2024-01-19T00:00:00"/>
    <x v="78"/>
    <s v="PROD10"/>
    <s v="STORE16"/>
    <n v="2"/>
    <n v="848.87"/>
    <n v="0.09"/>
    <x v="2"/>
    <n v="1544.9434000000001"/>
    <n v="369461.82340000017"/>
    <n v="1086.6524217647063"/>
    <n v="108"/>
    <s v="High Value"/>
    <s v="Jan-2024"/>
    <s v="Ceramic Kitchen Bowl Set"/>
    <s v="Home"/>
    <x v="77"/>
  </r>
  <r>
    <s v="SALE1661"/>
    <d v="2023-10-31T00:00:00"/>
    <x v="446"/>
    <s v="PROD96"/>
    <s v="STORE10"/>
    <n v="3"/>
    <n v="582.32000000000005"/>
    <n v="0"/>
    <x v="1"/>
    <n v="1746.96"/>
    <n v="367916.88000000018"/>
    <n v="1085.3005309734519"/>
    <n v="108"/>
    <s v="High Value"/>
    <s v="Oct-2023"/>
    <s v="Women's Formal Blazer"/>
    <s v="Clothing"/>
    <x v="444"/>
  </r>
  <r>
    <s v="SALE1662"/>
    <d v="2024-02-19T00:00:00"/>
    <x v="120"/>
    <s v="PROD49"/>
    <s v="STORE17"/>
    <n v="2"/>
    <n v="869.43"/>
    <n v="0.24"/>
    <x v="2"/>
    <n v="1321.5336"/>
    <n v="366169.92000000016"/>
    <n v="1083.3429585798822"/>
    <n v="107"/>
    <s v="High Value"/>
    <s v="Feb-2024"/>
    <s v="Men's Roll-On Perfume"/>
    <s v="Beauty"/>
    <x v="119"/>
  </r>
  <r>
    <s v="SALE1663"/>
    <d v="2024-05-28T00:00:00"/>
    <x v="460"/>
    <s v="PROD54"/>
    <s v="STORE4"/>
    <n v="1"/>
    <n v="62.26"/>
    <n v="0.03"/>
    <x v="2"/>
    <n v="60.392200000000003"/>
    <n v="364848.38640000013"/>
    <n v="1082.6361614243328"/>
    <n v="107"/>
    <s v="Low Value"/>
    <s v="May-2024"/>
    <s v="Sports Stopwatch Pro"/>
    <s v="Sports"/>
    <x v="458"/>
  </r>
  <r>
    <s v="SALE1664"/>
    <d v="2025-05-21T00:00:00"/>
    <x v="7"/>
    <s v="PROD39"/>
    <s v="STORE14"/>
    <n v="3"/>
    <n v="343.97"/>
    <n v="0.04"/>
    <x v="2"/>
    <n v="990.6336"/>
    <n v="364787.99420000013"/>
    <n v="1085.678554166667"/>
    <n v="107"/>
    <s v="Low Value"/>
    <s v="May-2025"/>
    <s v="Portable Power Bank"/>
    <s v="Electronics"/>
    <x v="7"/>
  </r>
  <r>
    <s v="SALE1665"/>
    <d v="2024-01-02T00:00:00"/>
    <x v="77"/>
    <s v="PROD24"/>
    <s v="STORE12"/>
    <n v="3"/>
    <n v="304.67"/>
    <n v="0.11"/>
    <x v="0"/>
    <n v="813.46889999999996"/>
    <n v="363797.36060000013"/>
    <n v="1085.9622704477615"/>
    <n v="107"/>
    <s v="Low Value"/>
    <s v="Jan-2024"/>
    <s v="Foldable Camping Chair"/>
    <s v="Sports"/>
    <x v="76"/>
  </r>
  <r>
    <s v="SALE1666"/>
    <d v="2024-01-05T00:00:00"/>
    <x v="317"/>
    <s v="PROD27"/>
    <s v="STORE9"/>
    <n v="4"/>
    <n v="208.34"/>
    <n v="0.01"/>
    <x v="1"/>
    <n v="825.02639999999997"/>
    <n v="362983.89170000015"/>
    <n v="1086.778118862276"/>
    <n v="107"/>
    <s v="Low Value"/>
    <s v="Jan-2024"/>
    <s v="Decorative Floor Vase"/>
    <s v="Home"/>
    <x v="315"/>
  </r>
  <r>
    <s v="SALE1667"/>
    <d v="2025-07-22T00:00:00"/>
    <x v="212"/>
    <s v="PROD86"/>
    <s v="STORE1"/>
    <n v="1"/>
    <n v="119.04"/>
    <n v="0.13"/>
    <x v="2"/>
    <n v="103.56480000000001"/>
    <n v="362158.86530000012"/>
    <n v="1087.5641600600604"/>
    <n v="106"/>
    <s v="Low Value"/>
    <s v="Jul-2025"/>
    <s v="Kitchen Cutting Board"/>
    <s v="Home"/>
    <x v="211"/>
  </r>
  <r>
    <s v="SALE1668"/>
    <d v="2025-07-05T00:00:00"/>
    <x v="84"/>
    <s v="PROD44"/>
    <s v="STORE9"/>
    <n v="4"/>
    <n v="791.65"/>
    <n v="0.06"/>
    <x v="2"/>
    <n v="2976.6039999999998"/>
    <n v="362055.30050000013"/>
    <n v="1090.5280135542173"/>
    <n v="106"/>
    <s v="High Value"/>
    <s v="Jul-2025"/>
    <s v="Adjustable Jump Rope"/>
    <s v="Sports"/>
    <x v="83"/>
  </r>
  <r>
    <s v="SALE1669"/>
    <d v="2025-07-24T00:00:00"/>
    <x v="406"/>
    <s v="PROD14"/>
    <s v="STORE2"/>
    <n v="2"/>
    <n v="414.86"/>
    <n v="0.23"/>
    <x v="0"/>
    <n v="638.88440000000003"/>
    <n v="359078.69650000014"/>
    <n v="1084.8298987915412"/>
    <n v="106"/>
    <s v="Low Value"/>
    <s v="Jul-2025"/>
    <s v="Decorative Wall Mirror"/>
    <s v="Home"/>
    <x v="404"/>
  </r>
  <r>
    <s v="SALE1670"/>
    <d v="2024-04-03T00:00:00"/>
    <x v="151"/>
    <s v="PROD38"/>
    <s v="STORE12"/>
    <n v="2"/>
    <n v="960.81"/>
    <n v="0.28000000000000003"/>
    <x v="1"/>
    <n v="1383.5663999999999"/>
    <n v="358439.8121000001"/>
    <n v="1086.181248787879"/>
    <n v="106"/>
    <s v="High Value"/>
    <s v="Apr-2024"/>
    <s v="Sports Water Hydration Pack"/>
    <s v="Sports"/>
    <x v="150"/>
  </r>
  <r>
    <s v="SALE1671"/>
    <d v="2025-01-11T00:00:00"/>
    <x v="314"/>
    <s v="PROD50"/>
    <s v="STORE4"/>
    <n v="4"/>
    <n v="943.36"/>
    <n v="0.18"/>
    <x v="1"/>
    <n v="3094.2208000000001"/>
    <n v="357056.24570000015"/>
    <n v="1085.2773425531918"/>
    <n v="105"/>
    <s v="High Value"/>
    <s v="Jan-2025"/>
    <s v="Boxing Hand Wraps"/>
    <s v="Sports"/>
    <x v="312"/>
  </r>
  <r>
    <s v="SALE1672"/>
    <d v="2024-09-26T00:00:00"/>
    <x v="26"/>
    <s v="PROD3"/>
    <s v="STORE13"/>
    <n v="1"/>
    <n v="830.42"/>
    <n v="0.26"/>
    <x v="2"/>
    <n v="614.51080000000002"/>
    <n v="353962.02490000013"/>
    <n v="1079.1525149390247"/>
    <n v="104"/>
    <s v="Low Value"/>
    <s v="Sep-2024"/>
    <s v="Men's Running Jacket"/>
    <s v="Clothing"/>
    <x v="26"/>
  </r>
  <r>
    <s v="SALE1673"/>
    <d v="2024-12-11T00:00:00"/>
    <x v="356"/>
    <s v="PROD67"/>
    <s v="STORE17"/>
    <n v="1"/>
    <n v="762.55"/>
    <n v="0.19"/>
    <x v="0"/>
    <n v="617.66549999999995"/>
    <n v="353347.51410000009"/>
    <n v="1080.5734376146793"/>
    <n v="104"/>
    <s v="Low Value"/>
    <s v="Dec-2024"/>
    <s v="Smart LED Light Strip"/>
    <s v="Electronics"/>
    <x v="354"/>
  </r>
  <r>
    <s v="SALE1674"/>
    <d v="2025-07-01T00:00:00"/>
    <x v="110"/>
    <s v="PROD74"/>
    <s v="STORE18"/>
    <n v="2"/>
    <n v="464.43"/>
    <n v="0.24"/>
    <x v="2"/>
    <n v="705.93360000000007"/>
    <n v="352729.84860000008"/>
    <n v="1081.9934006134972"/>
    <n v="104"/>
    <s v="Low Value"/>
    <s v="Jul-2025"/>
    <s v="Bluetooth Car Audio System"/>
    <s v="Electronics"/>
    <x v="109"/>
  </r>
  <r>
    <s v="SALE1675"/>
    <d v="2025-07-13T00:00:00"/>
    <x v="6"/>
    <s v="PROD64"/>
    <s v="STORE18"/>
    <n v="1"/>
    <n v="711.08"/>
    <n v="0.24"/>
    <x v="1"/>
    <n v="540.42079999999999"/>
    <n v="352023.91500000004"/>
    <n v="1083.1505076923079"/>
    <n v="104"/>
    <s v="Low Value"/>
    <s v="Jul-2025"/>
    <s v="Matte Lipstick Set"/>
    <s v="Beauty"/>
    <x v="6"/>
  </r>
  <r>
    <s v="SALE1676"/>
    <d v="2024-12-30T00:00:00"/>
    <x v="243"/>
    <s v="PROD45"/>
    <s v="STORE14"/>
    <n v="2"/>
    <n v="984.96"/>
    <n v="0.16"/>
    <x v="1"/>
    <n v="1654.7328"/>
    <n v="351483.49420000007"/>
    <n v="1084.8255993827163"/>
    <n v="103"/>
    <s v="High Value"/>
    <s v="Dec-2024"/>
    <s v="High-Grip Football"/>
    <s v="Sports"/>
    <x v="242"/>
  </r>
  <r>
    <s v="SALE1677"/>
    <d v="2025-04-12T00:00:00"/>
    <x v="110"/>
    <s v="PROD38"/>
    <s v="STORE12"/>
    <n v="1"/>
    <n v="21.14"/>
    <n v="0.06"/>
    <x v="2"/>
    <n v="19.871600000000001"/>
    <n v="349828.76140000002"/>
    <n v="1083.0611808049537"/>
    <n v="102"/>
    <s v="Low Value"/>
    <s v="Apr-2025"/>
    <s v="Sports Water Hydration Pack"/>
    <s v="Sports"/>
    <x v="109"/>
  </r>
  <r>
    <s v="SALE1678"/>
    <d v="2025-01-22T00:00:00"/>
    <x v="476"/>
    <s v="PROD98"/>
    <s v="STORE8"/>
    <n v="1"/>
    <n v="343.03"/>
    <n v="0.16"/>
    <x v="0"/>
    <n v="288.14519999999999"/>
    <n v="349808.8898"/>
    <n v="1086.3630118012422"/>
    <n v="102"/>
    <s v="Low Value"/>
    <s v="Jan-2025"/>
    <s v="Portable Bluetooth Speaker"/>
    <s v="Electronics"/>
    <x v="474"/>
  </r>
  <r>
    <s v="SALE1679"/>
    <d v="2023-11-07T00:00:00"/>
    <x v="400"/>
    <s v="PROD20"/>
    <s v="STORE18"/>
    <n v="3"/>
    <n v="94.83"/>
    <n v="0.16"/>
    <x v="2"/>
    <n v="238.9716"/>
    <n v="349520.74460000003"/>
    <n v="1088.8496716510904"/>
    <n v="102"/>
    <s v="Low Value"/>
    <s v="Nov-2023"/>
    <s v="Outdoor Sports Water Bottle"/>
    <s v="Sports"/>
    <x v="398"/>
  </r>
  <r>
    <s v="SALE1680"/>
    <d v="2025-05-13T00:00:00"/>
    <x v="456"/>
    <s v="PROD69"/>
    <s v="STORE19"/>
    <n v="3"/>
    <n v="74.66"/>
    <n v="0.03"/>
    <x v="1"/>
    <n v="217.26060000000001"/>
    <n v="349281.77299999999"/>
    <n v="1091.5055406249999"/>
    <n v="102"/>
    <s v="Low Value"/>
    <s v="May-2025"/>
    <s v="Men's Sports Shorts"/>
    <s v="Clothing"/>
    <x v="454"/>
  </r>
  <r>
    <s v="SALE1681"/>
    <d v="2023-12-08T00:00:00"/>
    <x v="200"/>
    <s v="PROD37"/>
    <s v="STORE15"/>
    <n v="3"/>
    <n v="281.95999999999998"/>
    <n v="0.01"/>
    <x v="2"/>
    <n v="837.42119999999989"/>
    <n v="349064.51240000001"/>
    <n v="1094.2461203761757"/>
    <n v="101"/>
    <s v="Low Value"/>
    <s v="Dec-2023"/>
    <s v="Men's Casual Sneakers"/>
    <s v="Clothing"/>
    <x v="199"/>
  </r>
  <r>
    <s v="SALE1682"/>
    <d v="2025-01-07T00:00:00"/>
    <x v="471"/>
    <s v="PROD71"/>
    <s v="STORE18"/>
    <n v="4"/>
    <n v="622.27"/>
    <n v="0.02"/>
    <x v="1"/>
    <n v="2439.2984000000001"/>
    <n v="348227.09120000002"/>
    <n v="1095.0537459119498"/>
    <n v="101"/>
    <s v="High Value"/>
    <s v="Jan-2025"/>
    <s v="Hair Repair Oil Treatment"/>
    <s v="Beauty"/>
    <x v="469"/>
  </r>
  <r>
    <s v="SALE1683"/>
    <d v="2024-07-02T00:00:00"/>
    <x v="257"/>
    <s v="PROD37"/>
    <s v="STORE7"/>
    <n v="2"/>
    <n v="78.27"/>
    <n v="0.28999999999999998"/>
    <x v="2"/>
    <n v="111.1434"/>
    <n v="345787.7928"/>
    <n v="1090.8132264984226"/>
    <n v="100"/>
    <s v="Low Value"/>
    <s v="Jul-2024"/>
    <s v="Men's Casual Sneakers"/>
    <s v="Clothing"/>
    <x v="256"/>
  </r>
  <r>
    <s v="SALE1684"/>
    <d v="2025-07-07T00:00:00"/>
    <x v="172"/>
    <s v="PROD62"/>
    <s v="STORE13"/>
    <n v="4"/>
    <n v="676.58"/>
    <n v="0.23"/>
    <x v="2"/>
    <n v="2083.8663999999999"/>
    <n v="345676.64939999999"/>
    <n v="1093.9134474683544"/>
    <n v="100"/>
    <s v="High Value"/>
    <s v="Jul-2025"/>
    <s v="Laptop Cooling Pad"/>
    <s v="Electronics"/>
    <x v="171"/>
  </r>
  <r>
    <s v="SALE1685"/>
    <d v="2024-06-03T00:00:00"/>
    <x v="371"/>
    <s v="PROD31"/>
    <s v="STORE1"/>
    <n v="2"/>
    <n v="938.6"/>
    <n v="0.04"/>
    <x v="1"/>
    <n v="1802.1120000000001"/>
    <n v="343592.783"/>
    <n v="1090.7707396825397"/>
    <n v="100"/>
    <s v="High Value"/>
    <s v="Jun-2024"/>
    <s v="Basketball"/>
    <s v="Sports"/>
    <x v="369"/>
  </r>
  <r>
    <s v="SALE1686"/>
    <d v="2025-04-14T00:00:00"/>
    <x v="394"/>
    <s v="PROD13"/>
    <s v="STORE14"/>
    <n v="2"/>
    <n v="859.47"/>
    <n v="0.01"/>
    <x v="0"/>
    <n v="1701.7506000000001"/>
    <n v="341790.67100000003"/>
    <n v="1088.5053216560511"/>
    <n v="99"/>
    <s v="High Value"/>
    <s v="Apr-2025"/>
    <s v="USB-C Fast Charger"/>
    <s v="Electronics"/>
    <x v="392"/>
  </r>
  <r>
    <s v="SALE1687"/>
    <d v="2024-03-12T00:00:00"/>
    <x v="333"/>
    <s v="PROD27"/>
    <s v="STORE14"/>
    <n v="3"/>
    <n v="672.98"/>
    <n v="0.23"/>
    <x v="1"/>
    <n v="1554.5838000000001"/>
    <n v="340088.9204"/>
    <n v="1086.5460715654951"/>
    <n v="99"/>
    <s v="High Value"/>
    <s v="Mar-2024"/>
    <s v="Decorative Floor Vase"/>
    <s v="Home"/>
    <x v="331"/>
  </r>
  <r>
    <s v="SALE1688"/>
    <d v="2024-05-08T00:00:00"/>
    <x v="271"/>
    <s v="PROD56"/>
    <s v="STORE18"/>
    <n v="1"/>
    <n v="75.8"/>
    <n v="0.28999999999999998"/>
    <x v="1"/>
    <n v="53.817999999999998"/>
    <n v="338534.33659999998"/>
    <n v="1085.0459506410257"/>
    <n v="98"/>
    <s v="Low Value"/>
    <s v="May-2024"/>
    <s v="Premium Blanket Throw"/>
    <s v="Home"/>
    <x v="269"/>
  </r>
  <r>
    <s v="SALE1689"/>
    <d v="2024-09-01T00:00:00"/>
    <x v="247"/>
    <s v="PROD17"/>
    <s v="STORE15"/>
    <n v="4"/>
    <n v="742.15"/>
    <n v="0.1"/>
    <x v="2"/>
    <n v="2671.74"/>
    <n v="338480.51859999995"/>
    <n v="1088.3617961414789"/>
    <n v="97"/>
    <s v="High Value"/>
    <s v="Sep-2024"/>
    <s v="Soccer Training Cone Set"/>
    <s v="Sports"/>
    <x v="246"/>
  </r>
  <r>
    <s v="SALE1690"/>
    <d v="2024-06-02T00:00:00"/>
    <x v="39"/>
    <s v="PROD30"/>
    <s v="STORE7"/>
    <n v="1"/>
    <n v="637.39"/>
    <n v="0.22"/>
    <x v="1"/>
    <n v="497.16419999999999"/>
    <n v="335808.77859999996"/>
    <n v="1083.254124516129"/>
    <n v="97"/>
    <s v="Low Value"/>
    <s v="Jun-2024"/>
    <s v="Stainless Steel Cutlery Set"/>
    <s v="Home"/>
    <x v="39"/>
  </r>
  <r>
    <s v="SALE1691"/>
    <d v="2023-10-31T00:00:00"/>
    <x v="277"/>
    <s v="PROD6"/>
    <s v="STORE17"/>
    <n v="1"/>
    <n v="631"/>
    <n v="0.04"/>
    <x v="0"/>
    <n v="605.76"/>
    <n v="335311.61439999996"/>
    <n v="1085.1508556634303"/>
    <n v="96"/>
    <s v="Low Value"/>
    <s v="Oct-2023"/>
    <s v="Herbal Face Moisturizer"/>
    <s v="Beauty"/>
    <x v="275"/>
  </r>
  <r>
    <s v="SALE1692"/>
    <d v="2025-09-16T00:00:00"/>
    <x v="485"/>
    <s v="PROD80"/>
    <s v="STORE3"/>
    <n v="4"/>
    <n v="983.98"/>
    <n v="0.11"/>
    <x v="2"/>
    <n v="3502.9688000000001"/>
    <n v="334705.85439999995"/>
    <n v="1086.7073194805193"/>
    <n v="96"/>
    <s v="High Value"/>
    <s v="Sep-2025"/>
    <s v="Wall-Mounted Spice Rack"/>
    <s v="Home"/>
    <x v="483"/>
  </r>
  <r>
    <s v="SALE1693"/>
    <d v="2024-03-02T00:00:00"/>
    <x v="76"/>
    <s v="PROD55"/>
    <s v="STORE11"/>
    <n v="4"/>
    <n v="73.69"/>
    <n v="0.08"/>
    <x v="0"/>
    <n v="271.17919999999998"/>
    <n v="331202.88559999998"/>
    <n v="1078.8367609120521"/>
    <n v="96"/>
    <s v="Low Value"/>
    <s v="Mar-2024"/>
    <s v="Ceramic Plant Pot"/>
    <s v="Home"/>
    <x v="75"/>
  </r>
  <r>
    <s v="SALE1694"/>
    <d v="2024-07-17T00:00:00"/>
    <x v="207"/>
    <s v="PROD11"/>
    <s v="STORE7"/>
    <n v="3"/>
    <n v="110.99"/>
    <n v="0.21"/>
    <x v="0"/>
    <n v="263.04629999999997"/>
    <n v="330931.70639999997"/>
    <n v="1081.4761647058822"/>
    <n v="96"/>
    <s v="Low Value"/>
    <s v="Jul-2024"/>
    <s v="HD Smart TV Stick"/>
    <s v="Electronics"/>
    <x v="206"/>
  </r>
  <r>
    <s v="SALE1695"/>
    <d v="2025-07-12T00:00:00"/>
    <x v="192"/>
    <s v="PROD10"/>
    <s v="STORE7"/>
    <n v="1"/>
    <n v="66.86"/>
    <n v="0.22"/>
    <x v="2"/>
    <n v="52.150799999999997"/>
    <n v="330668.66009999998"/>
    <n v="1084.1595413114753"/>
    <n v="96"/>
    <s v="Low Value"/>
    <s v="Jul-2025"/>
    <s v="Ceramic Kitchen Bowl Set"/>
    <s v="Home"/>
    <x v="191"/>
  </r>
  <r>
    <s v="SALE1696"/>
    <d v="2024-08-11T00:00:00"/>
    <x v="222"/>
    <s v="PROD67"/>
    <s v="STORE18"/>
    <n v="1"/>
    <n v="980.26"/>
    <n v="0.14000000000000001"/>
    <x v="1"/>
    <n v="843.02359999999999"/>
    <n v="330616.50929999998"/>
    <n v="1087.5543069078947"/>
    <n v="96"/>
    <s v="Low Value"/>
    <s v="Aug-2024"/>
    <s v="Smart LED Light Strip"/>
    <s v="Electronics"/>
    <x v="221"/>
  </r>
  <r>
    <s v="SALE1697"/>
    <d v="2024-01-31T00:00:00"/>
    <x v="65"/>
    <s v="PROD18"/>
    <s v="STORE18"/>
    <n v="1"/>
    <n v="235.28"/>
    <n v="0.05"/>
    <x v="1"/>
    <n v="223.51599999999999"/>
    <n v="329773.48569999996"/>
    <n v="1088.3613389438942"/>
    <n v="95"/>
    <s v="Low Value"/>
    <s v="Jan-2024"/>
    <s v="Women's Denim Jeans"/>
    <s v="Clothing"/>
    <x v="64"/>
  </r>
  <r>
    <s v="SALE1698"/>
    <d v="2024-09-07T00:00:00"/>
    <x v="51"/>
    <s v="PROD0"/>
    <s v="STORE15"/>
    <n v="3"/>
    <n v="407.39"/>
    <n v="0.08"/>
    <x v="1"/>
    <n v="1124.3964000000001"/>
    <n v="329549.96969999996"/>
    <n v="1091.225065231788"/>
    <n v="94"/>
    <s v="High Value"/>
    <s v="Sep-2024"/>
    <s v="Brother Laser Printer"/>
    <s v="Electronics"/>
    <x v="51"/>
  </r>
  <r>
    <s v="SALE1699"/>
    <d v="2025-01-18T00:00:00"/>
    <x v="127"/>
    <s v="PROD27"/>
    <s v="STORE14"/>
    <n v="4"/>
    <n v="459.83"/>
    <n v="0.12"/>
    <x v="2"/>
    <n v="1618.6016"/>
    <n v="328425.57329999999"/>
    <n v="1091.1148614617939"/>
    <n v="93"/>
    <s v="High Value"/>
    <s v="Jan-2025"/>
    <s v="Decorative Floor Vase"/>
    <s v="Home"/>
    <x v="126"/>
  </r>
  <r>
    <s v="SALE1700"/>
    <d v="2024-02-11T00:00:00"/>
    <x v="347"/>
    <s v="PROD93"/>
    <s v="STORE4"/>
    <n v="3"/>
    <n v="706.6"/>
    <n v="0.17"/>
    <x v="1"/>
    <n v="1759.434"/>
    <n v="326806.97169999999"/>
    <n v="1089.3565723333334"/>
    <n v="93"/>
    <s v="High Value"/>
    <s v="Feb-2024"/>
    <s v="USB-C Laptop Charger"/>
    <s v="Electronics"/>
    <x v="345"/>
  </r>
  <r>
    <s v="SALE1701"/>
    <d v="2025-06-11T00:00:00"/>
    <x v="152"/>
    <s v="PROD91"/>
    <s v="STORE19"/>
    <n v="3"/>
    <n v="811.16"/>
    <n v="0.1"/>
    <x v="2"/>
    <n v="2190.1320000000001"/>
    <n v="325047.53770000004"/>
    <n v="1087.1155107023412"/>
    <n v="92"/>
    <s v="High Value"/>
    <s v="Jun-2025"/>
    <s v="Women's High Heels"/>
    <s v="Clothing"/>
    <x v="151"/>
  </r>
  <r>
    <s v="SALE1702"/>
    <d v="2023-12-08T00:00:00"/>
    <x v="478"/>
    <s v="PROD37"/>
    <s v="STORE7"/>
    <n v="2"/>
    <n v="985.79"/>
    <n v="0.04"/>
    <x v="1"/>
    <n v="1892.7167999999999"/>
    <n v="322857.4057"/>
    <n v="1083.4141130872483"/>
    <n v="92"/>
    <s v="High Value"/>
    <s v="Dec-2023"/>
    <s v="Men's Casual Sneakers"/>
    <s v="Clothing"/>
    <x v="476"/>
  </r>
  <r>
    <s v="SALE1703"/>
    <d v="2024-08-17T00:00:00"/>
    <x v="8"/>
    <s v="PROD33"/>
    <s v="STORE14"/>
    <n v="1"/>
    <n v="255.02"/>
    <n v="0.3"/>
    <x v="0"/>
    <n v="178.51400000000001"/>
    <n v="320964.68890000001"/>
    <n v="1080.6891882154882"/>
    <n v="91"/>
    <s v="Low Value"/>
    <s v="Aug-2024"/>
    <s v="Modern Wall Clock"/>
    <s v="Home"/>
    <x v="8"/>
  </r>
  <r>
    <s v="SALE1704"/>
    <d v="2025-02-05T00:00:00"/>
    <x v="50"/>
    <s v="PROD19"/>
    <s v="STORE8"/>
    <n v="1"/>
    <n v="153.57"/>
    <n v="0.01"/>
    <x v="1"/>
    <n v="152.0343"/>
    <n v="320786.17489999998"/>
    <n v="1083.7370773648647"/>
    <n v="91"/>
    <s v="Low Value"/>
    <s v="Feb-2025"/>
    <s v="Knee Support Brace"/>
    <s v="Sports"/>
    <x v="50"/>
  </r>
  <r>
    <s v="SALE1705"/>
    <d v="2025-03-18T00:00:00"/>
    <x v="73"/>
    <s v="PROD43"/>
    <s v="STORE18"/>
    <n v="3"/>
    <n v="962.98"/>
    <n v="0.21"/>
    <x v="0"/>
    <n v="2282.2626"/>
    <n v="320634.14059999998"/>
    <n v="1086.8953918644067"/>
    <n v="90"/>
    <s v="High Value"/>
    <s v="Mar-2025"/>
    <s v="USB External Hard Drive"/>
    <s v="Electronics"/>
    <x v="72"/>
  </r>
  <r>
    <s v="SALE1706"/>
    <d v="2024-03-26T00:00:00"/>
    <x v="333"/>
    <s v="PROD44"/>
    <s v="STORE8"/>
    <n v="3"/>
    <n v="884.46"/>
    <n v="0.25"/>
    <x v="0"/>
    <n v="1990.0350000000001"/>
    <n v="318351.87799999997"/>
    <n v="1082.8295170068027"/>
    <n v="90"/>
    <s v="High Value"/>
    <s v="Mar-2024"/>
    <s v="Adjustable Jump Rope"/>
    <s v="Sports"/>
    <x v="331"/>
  </r>
  <r>
    <s v="SALE1707"/>
    <d v="2025-05-01T00:00:00"/>
    <x v="168"/>
    <s v="PROD67"/>
    <s v="STORE10"/>
    <n v="4"/>
    <n v="359.71"/>
    <n v="0.05"/>
    <x v="1"/>
    <n v="1366.8979999999999"/>
    <n v="316361.84299999994"/>
    <n v="1079.7332525597267"/>
    <n v="90"/>
    <s v="High Value"/>
    <s v="May-2025"/>
    <s v="Smart LED Light Strip"/>
    <s v="Electronics"/>
    <x v="167"/>
  </r>
  <r>
    <s v="SALE1708"/>
    <d v="2025-02-27T00:00:00"/>
    <x v="370"/>
    <s v="PROD50"/>
    <s v="STORE4"/>
    <n v="3"/>
    <n v="766.47"/>
    <n v="0.18"/>
    <x v="0"/>
    <n v="1885.5162"/>
    <n v="314994.94499999995"/>
    <n v="1078.7498116438355"/>
    <n v="89"/>
    <s v="High Value"/>
    <s v="Feb-2025"/>
    <s v="Boxing Hand Wraps"/>
    <s v="Sports"/>
    <x v="368"/>
  </r>
  <r>
    <s v="SALE1709"/>
    <d v="2024-07-19T00:00:00"/>
    <x v="307"/>
    <s v="PROD56"/>
    <s v="STORE18"/>
    <n v="1"/>
    <n v="772.07"/>
    <n v="0.26"/>
    <x v="1"/>
    <n v="571.33180000000004"/>
    <n v="313109.42879999999"/>
    <n v="1075.977418556701"/>
    <n v="89"/>
    <s v="Low Value"/>
    <s v="Jul-2024"/>
    <s v="Premium Blanket Throw"/>
    <s v="Home"/>
    <x v="305"/>
  </r>
  <r>
    <s v="SALE1710"/>
    <d v="2024-01-01T00:00:00"/>
    <x v="107"/>
    <s v="PROD19"/>
    <s v="STORE5"/>
    <n v="3"/>
    <n v="108.31"/>
    <n v="0.26"/>
    <x v="2"/>
    <n v="240.44820000000001"/>
    <n v="312538.09699999995"/>
    <n v="1077.7175758620688"/>
    <n v="88"/>
    <s v="Low Value"/>
    <s v="Jan-2024"/>
    <s v="Knee Support Brace"/>
    <s v="Sports"/>
    <x v="106"/>
  </r>
  <r>
    <s v="SALE1711"/>
    <d v="2024-01-25T00:00:00"/>
    <x v="34"/>
    <s v="PROD79"/>
    <s v="STORE6"/>
    <n v="1"/>
    <n v="502.53"/>
    <n v="0"/>
    <x v="1"/>
    <n v="502.53"/>
    <n v="312297.64879999997"/>
    <n v="1080.6147017301037"/>
    <n v="88"/>
    <s v="Low Value"/>
    <s v="Jan-2024"/>
    <s v="Decorative Lamp Shade"/>
    <s v="Home"/>
    <x v="34"/>
  </r>
  <r>
    <s v="SALE1712"/>
    <d v="2024-09-13T00:00:00"/>
    <x v="136"/>
    <s v="PROD1"/>
    <s v="STORE16"/>
    <n v="2"/>
    <n v="508.52"/>
    <n v="0.11"/>
    <x v="2"/>
    <n v="905.16559999999993"/>
    <n v="311795.11879999994"/>
    <n v="1082.6219402777776"/>
    <n v="87"/>
    <s v="Low Value"/>
    <s v="Sep-2024"/>
    <s v="Men's Graphic T-Shirt"/>
    <s v="Clothing"/>
    <x v="135"/>
  </r>
  <r>
    <s v="SALE1713"/>
    <d v="2024-10-07T00:00:00"/>
    <x v="228"/>
    <s v="PROD74"/>
    <s v="STORE3"/>
    <n v="1"/>
    <n v="492"/>
    <n v="0.26"/>
    <x v="1"/>
    <n v="364.08"/>
    <n v="310889.95319999999"/>
    <n v="1083.2402550522647"/>
    <n v="87"/>
    <s v="Low Value"/>
    <s v="Oct-2024"/>
    <s v="Bluetooth Car Audio System"/>
    <s v="Electronics"/>
    <x v="227"/>
  </r>
  <r>
    <s v="SALE1714"/>
    <d v="2024-02-25T00:00:00"/>
    <x v="144"/>
    <s v="PROD37"/>
    <s v="STORE14"/>
    <n v="4"/>
    <n v="746.36"/>
    <n v="0.02"/>
    <x v="0"/>
    <n v="2925.7312000000002"/>
    <n v="310525.87319999997"/>
    <n v="1085.7548013986013"/>
    <n v="86"/>
    <s v="High Value"/>
    <s v="Feb-2024"/>
    <s v="Men's Casual Sneakers"/>
    <s v="Clothing"/>
    <x v="143"/>
  </r>
  <r>
    <s v="SALE1715"/>
    <d v="2025-06-15T00:00:00"/>
    <x v="207"/>
    <s v="PROD12"/>
    <s v="STORE1"/>
    <n v="1"/>
    <n v="120.83"/>
    <n v="0.08"/>
    <x v="0"/>
    <n v="111.1636"/>
    <n v="307600.14200000005"/>
    <n v="1079.2987438596492"/>
    <n v="86"/>
    <s v="Low Value"/>
    <s v="Jun-2025"/>
    <s v="Hair Strengthening Shampoo"/>
    <s v="Beauty"/>
    <x v="206"/>
  </r>
  <r>
    <s v="SALE1716"/>
    <d v="2024-04-12T00:00:00"/>
    <x v="122"/>
    <s v="PROD77"/>
    <s v="STORE18"/>
    <n v="2"/>
    <n v="68.31"/>
    <n v="0.28999999999999998"/>
    <x v="2"/>
    <n v="97.000199999999992"/>
    <n v="307488.97840000002"/>
    <n v="1082.7076704225353"/>
    <n v="86"/>
    <s v="Low Value"/>
    <s v="Apr-2024"/>
    <s v="WiFi Mesh Router"/>
    <s v="Electronics"/>
    <x v="121"/>
  </r>
  <r>
    <s v="SALE1717"/>
    <d v="2023-12-05T00:00:00"/>
    <x v="336"/>
    <s v="PROD22"/>
    <s v="STORE18"/>
    <n v="2"/>
    <n v="761.71"/>
    <n v="0.02"/>
    <x v="1"/>
    <n v="1492.9516000000001"/>
    <n v="307391.97820000001"/>
    <n v="1086.1907356890461"/>
    <n v="86"/>
    <s v="High Value"/>
    <s v="Dec-2023"/>
    <s v="Carbon Fiber Tennis Racket"/>
    <s v="Sports"/>
    <x v="334"/>
  </r>
  <r>
    <s v="SALE1718"/>
    <d v="2023-12-01T00:00:00"/>
    <x v="149"/>
    <s v="PROD78"/>
    <s v="STORE3"/>
    <n v="4"/>
    <n v="346.37"/>
    <n v="0.18"/>
    <x v="2"/>
    <n v="1136.0935999999999"/>
    <n v="305899.02659999998"/>
    <n v="1084.7483212765958"/>
    <n v="85"/>
    <s v="High Value"/>
    <s v="Dec-2023"/>
    <s v="Essential Oil Diffuser"/>
    <s v="Home"/>
    <x v="148"/>
  </r>
  <r>
    <s v="SALE1719"/>
    <d v="2025-02-14T00:00:00"/>
    <x v="69"/>
    <s v="PROD55"/>
    <s v="STORE12"/>
    <n v="1"/>
    <n v="846.3"/>
    <n v="0.14000000000000001"/>
    <x v="1"/>
    <n v="727.81799999999998"/>
    <n v="304762.93300000002"/>
    <n v="1084.5655978647687"/>
    <n v="85"/>
    <s v="Low Value"/>
    <s v="Feb-2025"/>
    <s v="Ceramic Plant Pot"/>
    <s v="Home"/>
    <x v="68"/>
  </r>
  <r>
    <s v="SALE1720"/>
    <d v="2024-11-28T00:00:00"/>
    <x v="450"/>
    <s v="PROD0"/>
    <s v="STORE19"/>
    <n v="1"/>
    <n v="458.97"/>
    <n v="0.1"/>
    <x v="1"/>
    <n v="413.07299999999998"/>
    <n v="304035.11499999999"/>
    <n v="1085.8396964285714"/>
    <n v="84"/>
    <s v="Low Value"/>
    <s v="Nov-2024"/>
    <s v="Brother Laser Printer"/>
    <s v="Electronics"/>
    <x v="448"/>
  </r>
  <r>
    <s v="SALE1721"/>
    <d v="2025-03-20T00:00:00"/>
    <x v="486"/>
    <s v="PROD43"/>
    <s v="STORE7"/>
    <n v="2"/>
    <n v="536.61"/>
    <n v="0.14000000000000001"/>
    <x v="0"/>
    <n v="922.9692"/>
    <n v="303622.04200000002"/>
    <n v="1088.2510465949822"/>
    <n v="83"/>
    <s v="Low Value"/>
    <s v="Mar-2025"/>
    <s v="USB External Hard Drive"/>
    <s v="Electronics"/>
    <x v="484"/>
  </r>
  <r>
    <s v="SALE1722"/>
    <d v="2025-02-21T00:00:00"/>
    <x v="47"/>
    <s v="PROD58"/>
    <s v="STORE0"/>
    <n v="3"/>
    <n v="130.41"/>
    <n v="0.14000000000000001"/>
    <x v="1"/>
    <n v="336.45780000000002"/>
    <n v="302699.07279999997"/>
    <n v="1088.8455856115106"/>
    <n v="83"/>
    <s v="Low Value"/>
    <s v="Feb-2025"/>
    <s v="Womens Cotton Scarf"/>
    <s v="Clothing"/>
    <x v="47"/>
  </r>
  <r>
    <s v="SALE1723"/>
    <d v="2025-03-22T00:00:00"/>
    <x v="111"/>
    <s v="PROD89"/>
    <s v="STORE12"/>
    <n v="4"/>
    <n v="706.67"/>
    <n v="0.01"/>
    <x v="0"/>
    <n v="2798.4132"/>
    <n v="302362.61499999999"/>
    <n v="1091.5617870036101"/>
    <n v="82"/>
    <s v="High Value"/>
    <s v="Mar-2025"/>
    <s v="Face Foundation Kit"/>
    <s v="Beauty"/>
    <x v="110"/>
  </r>
  <r>
    <s v="SALE1724"/>
    <d v="2025-01-28T00:00:00"/>
    <x v="422"/>
    <s v="PROD27"/>
    <s v="STORE3"/>
    <n v="3"/>
    <n v="523.45000000000005"/>
    <n v="0.17"/>
    <x v="0"/>
    <n v="1303.3905"/>
    <n v="299564.20180000004"/>
    <n v="1085.3775427536234"/>
    <n v="82"/>
    <s v="High Value"/>
    <s v="Jan-2025"/>
    <s v="Decorative Floor Vase"/>
    <s v="Home"/>
    <x v="420"/>
  </r>
  <r>
    <s v="SALE1725"/>
    <d v="2025-02-13T00:00:00"/>
    <x v="442"/>
    <s v="PROD91"/>
    <s v="STORE18"/>
    <n v="3"/>
    <n v="482.2"/>
    <n v="0.23"/>
    <x v="2"/>
    <n v="1113.8820000000001"/>
    <n v="298260.81130000006"/>
    <n v="1084.5847683636366"/>
    <n v="82"/>
    <s v="High Value"/>
    <s v="Feb-2025"/>
    <s v="Women's High Heels"/>
    <s v="Clothing"/>
    <x v="440"/>
  </r>
  <r>
    <s v="SALE1726"/>
    <d v="2025-03-29T00:00:00"/>
    <x v="377"/>
    <s v="PROD63"/>
    <s v="STORE5"/>
    <n v="4"/>
    <n v="688.86"/>
    <n v="0.02"/>
    <x v="2"/>
    <n v="2700.3312000000001"/>
    <n v="297146.92930000008"/>
    <n v="1084.4778441605843"/>
    <n v="82"/>
    <s v="High Value"/>
    <s v="Mar-2025"/>
    <s v="Organic Sunscreen Lotion"/>
    <s v="Beauty"/>
    <x v="375"/>
  </r>
  <r>
    <s v="SALE1727"/>
    <d v="2023-10-15T00:00:00"/>
    <x v="193"/>
    <s v="PROD12"/>
    <s v="STORE0"/>
    <n v="1"/>
    <n v="145.47999999999999"/>
    <n v="0.1"/>
    <x v="2"/>
    <n v="130.93199999999999"/>
    <n v="294446.59810000006"/>
    <n v="1078.5589673992677"/>
    <n v="82"/>
    <s v="Low Value"/>
    <s v="Oct-2023"/>
    <s v="Hair Strengthening Shampoo"/>
    <s v="Beauty"/>
    <x v="192"/>
  </r>
  <r>
    <s v="SALE1728"/>
    <d v="2024-09-12T00:00:00"/>
    <x v="406"/>
    <s v="PROD31"/>
    <s v="STORE11"/>
    <n v="4"/>
    <n v="862.25"/>
    <n v="0.28000000000000003"/>
    <x v="1"/>
    <n v="2483.2800000000002"/>
    <n v="294315.66610000003"/>
    <n v="1082.0428900735296"/>
    <n v="82"/>
    <s v="High Value"/>
    <s v="Sep-2024"/>
    <s v="Basketball"/>
    <s v="Sports"/>
    <x v="404"/>
  </r>
  <r>
    <s v="SALE1729"/>
    <d v="2024-01-05T00:00:00"/>
    <x v="404"/>
    <s v="PROD1"/>
    <s v="STORE14"/>
    <n v="4"/>
    <n v="146.12"/>
    <n v="0.12"/>
    <x v="2"/>
    <n v="514.3424"/>
    <n v="291832.38610000006"/>
    <n v="1076.8722734317346"/>
    <n v="81"/>
    <s v="Low Value"/>
    <s v="Jan-2024"/>
    <s v="Men's Graphic T-Shirt"/>
    <s v="Clothing"/>
    <x v="402"/>
  </r>
  <r>
    <s v="SALE1730"/>
    <d v="2024-09-14T00:00:00"/>
    <x v="151"/>
    <s v="PROD31"/>
    <s v="STORE18"/>
    <n v="2"/>
    <n v="695.02"/>
    <n v="0.3"/>
    <x v="2"/>
    <n v="973.02799999999991"/>
    <n v="291318.04369999998"/>
    <n v="1078.9557174074073"/>
    <n v="81"/>
    <s v="Low Value"/>
    <s v="Sep-2024"/>
    <s v="Basketball"/>
    <s v="Sports"/>
    <x v="150"/>
  </r>
  <r>
    <s v="SALE1731"/>
    <d v="2023-11-01T00:00:00"/>
    <x v="209"/>
    <s v="PROD94"/>
    <s v="STORE10"/>
    <n v="2"/>
    <n v="886.67"/>
    <n v="0.24"/>
    <x v="1"/>
    <n v="1347.7384"/>
    <n v="290345.01569999999"/>
    <n v="1079.3495007434944"/>
    <n v="81"/>
    <s v="High Value"/>
    <s v="Nov-2023"/>
    <s v="Vitamin E Body Lotion"/>
    <s v="Beauty"/>
    <x v="208"/>
  </r>
  <r>
    <s v="SALE1732"/>
    <d v="2024-12-02T00:00:00"/>
    <x v="76"/>
    <s v="PROD66"/>
    <s v="STORE18"/>
    <n v="2"/>
    <n v="864.09"/>
    <n v="0.06"/>
    <x v="2"/>
    <n v="1624.4892"/>
    <n v="288997.27730000002"/>
    <n v="1078.3480496268658"/>
    <n v="80"/>
    <s v="High Value"/>
    <s v="Dec-2024"/>
    <s v="Women's Hair Dryer Brush"/>
    <s v="Beauty"/>
    <x v="75"/>
  </r>
  <r>
    <s v="SALE1733"/>
    <d v="2025-07-24T00:00:00"/>
    <x v="458"/>
    <s v="PROD12"/>
    <s v="STORE9"/>
    <n v="1"/>
    <n v="437.65"/>
    <n v="0.02"/>
    <x v="1"/>
    <n v="428.89699999999999"/>
    <n v="287372.78810000001"/>
    <n v="1076.3025771535581"/>
    <n v="80"/>
    <s v="Low Value"/>
    <s v="Jul-2025"/>
    <s v="Hair Strengthening Shampoo"/>
    <s v="Beauty"/>
    <x v="456"/>
  </r>
  <r>
    <s v="SALE1734"/>
    <d v="2025-07-05T00:00:00"/>
    <x v="349"/>
    <s v="PROD36"/>
    <s v="STORE13"/>
    <n v="2"/>
    <n v="208.09"/>
    <n v="0.27"/>
    <x v="0"/>
    <n v="303.81139999999999"/>
    <n v="286943.89109999995"/>
    <n v="1078.7364327067667"/>
    <n v="79"/>
    <s v="Low Value"/>
    <s v="Jul-2025"/>
    <s v="Women's Summer Dress"/>
    <s v="Clothing"/>
    <x v="347"/>
  </r>
  <r>
    <s v="SALE1735"/>
    <d v="2024-07-09T00:00:00"/>
    <x v="76"/>
    <s v="PROD93"/>
    <s v="STORE17"/>
    <n v="4"/>
    <n v="825.78"/>
    <n v="0.02"/>
    <x v="0"/>
    <n v="3237.0576000000001"/>
    <n v="286640.07969999994"/>
    <n v="1081.6606781132073"/>
    <n v="79"/>
    <s v="High Value"/>
    <s v="Jul-2024"/>
    <s v="USB-C Laptop Charger"/>
    <s v="Electronics"/>
    <x v="75"/>
  </r>
  <r>
    <s v="SALE1736"/>
    <d v="2024-01-22T00:00:00"/>
    <x v="5"/>
    <s v="PROD25"/>
    <s v="STORE17"/>
    <n v="3"/>
    <n v="849.77"/>
    <n v="0.12"/>
    <x v="1"/>
    <n v="2243.3928000000001"/>
    <n v="283403.02209999994"/>
    <n v="1073.4962958333331"/>
    <n v="79"/>
    <s v="High Value"/>
    <s v="Jan-2024"/>
    <s v="Women's Scarf Set"/>
    <s v="Clothing"/>
    <x v="5"/>
  </r>
  <r>
    <s v="SALE1737"/>
    <d v="2024-01-23T00:00:00"/>
    <x v="33"/>
    <s v="PROD60"/>
    <s v="STORE4"/>
    <n v="1"/>
    <n v="88.78"/>
    <n v="0.18"/>
    <x v="0"/>
    <n v="72.799600000000012"/>
    <n v="281159.62930000003"/>
    <n v="1069.0480201520913"/>
    <n v="78"/>
    <s v="Low Value"/>
    <s v="Jan-2024"/>
    <s v="Luxury Perfume Spray"/>
    <s v="Beauty"/>
    <x v="33"/>
  </r>
  <r>
    <s v="SALE1738"/>
    <d v="2024-08-22T00:00:00"/>
    <x v="226"/>
    <s v="PROD78"/>
    <s v="STORE4"/>
    <n v="4"/>
    <n v="507.22"/>
    <n v="0.14000000000000001"/>
    <x v="1"/>
    <n v="1744.8368"/>
    <n v="281086.8297"/>
    <n v="1072.850495038168"/>
    <n v="78"/>
    <s v="High Value"/>
    <s v="Aug-2024"/>
    <s v="Essential Oil Diffuser"/>
    <s v="Home"/>
    <x v="225"/>
  </r>
  <r>
    <s v="SALE1739"/>
    <d v="2025-08-18T00:00:00"/>
    <x v="214"/>
    <s v="PROD96"/>
    <s v="STORE0"/>
    <n v="3"/>
    <n v="330.98"/>
    <n v="0.11"/>
    <x v="0"/>
    <n v="883.71660000000008"/>
    <n v="279341.99290000007"/>
    <n v="1070.2758348659006"/>
    <n v="77"/>
    <s v="Low Value"/>
    <s v="Aug-2025"/>
    <s v="Women's Formal Blazer"/>
    <s v="Clothing"/>
    <x v="213"/>
  </r>
  <r>
    <s v="SALE1740"/>
    <d v="2024-09-27T00:00:00"/>
    <x v="370"/>
    <s v="PROD37"/>
    <s v="STORE19"/>
    <n v="4"/>
    <n v="442.87"/>
    <n v="0.08"/>
    <x v="0"/>
    <n v="1629.7616"/>
    <n v="278458.27630000009"/>
    <n v="1070.9933703846157"/>
    <n v="77"/>
    <s v="High Value"/>
    <s v="Sep-2024"/>
    <s v="Men's Casual Sneakers"/>
    <s v="Clothing"/>
    <x v="368"/>
  </r>
  <r>
    <s v="SALE1741"/>
    <d v="2025-08-11T00:00:00"/>
    <x v="442"/>
    <s v="PROD96"/>
    <s v="STORE2"/>
    <n v="2"/>
    <n v="939.66"/>
    <n v="0.14000000000000001"/>
    <x v="1"/>
    <n v="1616.2152000000001"/>
    <n v="276828.51470000012"/>
    <n v="1068.8359640926647"/>
    <n v="77"/>
    <s v="High Value"/>
    <s v="Aug-2025"/>
    <s v="Women's Formal Blazer"/>
    <s v="Clothing"/>
    <x v="440"/>
  </r>
  <r>
    <s v="SALE1742"/>
    <d v="2024-09-21T00:00:00"/>
    <x v="145"/>
    <s v="PROD73"/>
    <s v="STORE3"/>
    <n v="1"/>
    <n v="24.13"/>
    <n v="0"/>
    <x v="0"/>
    <n v="24.13"/>
    <n v="275212.29950000008"/>
    <n v="1066.7143391472871"/>
    <n v="76"/>
    <s v="Low Value"/>
    <s v="Sep-2024"/>
    <s v="Shin Guards – Adult"/>
    <s v="Sports"/>
    <x v="144"/>
  </r>
  <r>
    <s v="SALE1743"/>
    <d v="2024-03-04T00:00:00"/>
    <x v="190"/>
    <s v="PROD41"/>
    <s v="STORE3"/>
    <n v="3"/>
    <n v="239.54"/>
    <n v="0.28999999999999998"/>
    <x v="2"/>
    <n v="510.22019999999998"/>
    <n v="275188.16950000008"/>
    <n v="1070.7710875486384"/>
    <n v="76"/>
    <s v="Low Value"/>
    <s v="Mar-2024"/>
    <s v="Yoga Exercise Mat"/>
    <s v="Sports"/>
    <x v="189"/>
  </r>
  <r>
    <s v="SALE1744"/>
    <d v="2023-11-14T00:00:00"/>
    <x v="382"/>
    <s v="PROD46"/>
    <s v="STORE14"/>
    <n v="1"/>
    <n v="588.53"/>
    <n v="0.1"/>
    <x v="0"/>
    <n v="529.67700000000002"/>
    <n v="274677.94930000015"/>
    <n v="1072.9607394531256"/>
    <n v="76"/>
    <s v="Low Value"/>
    <s v="Nov-2023"/>
    <s v="Men's Winter Jacket"/>
    <s v="Clothing"/>
    <x v="380"/>
  </r>
  <r>
    <s v="SALE1745"/>
    <d v="2025-07-25T00:00:00"/>
    <x v="285"/>
    <s v="PROD60"/>
    <s v="STORE15"/>
    <n v="1"/>
    <n v="145.96"/>
    <n v="0.3"/>
    <x v="0"/>
    <n v="102.172"/>
    <n v="274148.27230000013"/>
    <n v="1075.0912639215692"/>
    <n v="76"/>
    <s v="Low Value"/>
    <s v="Jul-2025"/>
    <s v="Luxury Perfume Spray"/>
    <s v="Beauty"/>
    <x v="283"/>
  </r>
  <r>
    <s v="SALE1746"/>
    <d v="2024-10-08T00:00:00"/>
    <x v="210"/>
    <s v="PROD70"/>
    <s v="STORE4"/>
    <n v="4"/>
    <n v="640.91"/>
    <n v="0.06"/>
    <x v="0"/>
    <n v="2409.8216000000002"/>
    <n v="274046.10030000011"/>
    <n v="1078.9216547244098"/>
    <n v="76"/>
    <s v="High Value"/>
    <s v="Oct-2024"/>
    <s v="Kitchen Storage Rack"/>
    <s v="Home"/>
    <x v="209"/>
  </r>
  <r>
    <s v="SALE1747"/>
    <d v="2025-05-15T00:00:00"/>
    <x v="229"/>
    <s v="PROD64"/>
    <s v="STORE11"/>
    <n v="3"/>
    <n v="773.86"/>
    <n v="0.22"/>
    <x v="0"/>
    <n v="1810.8324"/>
    <n v="271636.27870000014"/>
    <n v="1073.6611806324115"/>
    <n v="76"/>
    <s v="High Value"/>
    <s v="May-2025"/>
    <s v="Matte Lipstick Set"/>
    <s v="Beauty"/>
    <x v="228"/>
  </r>
  <r>
    <s v="SALE1748"/>
    <d v="2025-03-28T00:00:00"/>
    <x v="191"/>
    <s v="PROD31"/>
    <s v="STORE15"/>
    <n v="2"/>
    <n v="31.28"/>
    <n v="0.2"/>
    <x v="2"/>
    <n v="50.048000000000002"/>
    <n v="269825.44630000019"/>
    <n v="1070.7358980158738"/>
    <n v="76"/>
    <s v="Low Value"/>
    <s v="Mar-2025"/>
    <s v="Basketball"/>
    <s v="Sports"/>
    <x v="190"/>
  </r>
  <r>
    <s v="SALE1749"/>
    <d v="2025-07-04T00:00:00"/>
    <x v="141"/>
    <s v="PROD82"/>
    <s v="STORE6"/>
    <n v="4"/>
    <n v="389.22"/>
    <n v="0.18"/>
    <x v="0"/>
    <n v="1276.6415999999999"/>
    <n v="269775.39830000018"/>
    <n v="1074.8023836653394"/>
    <n v="76"/>
    <s v="High Value"/>
    <s v="Jul-2025"/>
    <s v="Fitness Resistance Bands"/>
    <s v="Sports"/>
    <x v="140"/>
  </r>
  <r>
    <s v="SALE1750"/>
    <d v="2024-07-29T00:00:00"/>
    <x v="270"/>
    <s v="PROD64"/>
    <s v="STORE15"/>
    <n v="3"/>
    <n v="543.44000000000005"/>
    <n v="0.13"/>
    <x v="1"/>
    <n v="1418.3784000000001"/>
    <n v="268498.75670000014"/>
    <n v="1073.9950268000007"/>
    <n v="76"/>
    <s v="High Value"/>
    <s v="Jul-2024"/>
    <s v="Matte Lipstick Set"/>
    <s v="Beauty"/>
    <x v="268"/>
  </r>
  <r>
    <s v="SALE1751"/>
    <d v="2024-01-05T00:00:00"/>
    <x v="99"/>
    <s v="PROD97"/>
    <s v="STORE19"/>
    <n v="4"/>
    <n v="715.42"/>
    <n v="0.28999999999999998"/>
    <x v="1"/>
    <n v="2031.7927999999999"/>
    <n v="267080.37830000016"/>
    <n v="1072.6119610441774"/>
    <n v="75"/>
    <s v="High Value"/>
    <s v="Jan-2024"/>
    <s v="Cricket Bat"/>
    <s v="Sports"/>
    <x v="98"/>
  </r>
  <r>
    <s v="SALE1752"/>
    <d v="2025-08-17T00:00:00"/>
    <x v="370"/>
    <s v="PROD12"/>
    <s v="STORE4"/>
    <n v="4"/>
    <n v="676.14"/>
    <n v="0.11"/>
    <x v="2"/>
    <n v="2407.0583999999999"/>
    <n v="265048.5855000001"/>
    <n v="1068.7442963709682"/>
    <n v="74"/>
    <s v="High Value"/>
    <s v="Aug-2025"/>
    <s v="Hair Strengthening Shampoo"/>
    <s v="Beauty"/>
    <x v="368"/>
  </r>
  <r>
    <s v="SALE1753"/>
    <d v="2024-05-13T00:00:00"/>
    <x v="269"/>
    <s v="PROD39"/>
    <s v="STORE1"/>
    <n v="4"/>
    <n v="352.72"/>
    <n v="0.25"/>
    <x v="0"/>
    <n v="1058.1600000000001"/>
    <n v="262641.52710000012"/>
    <n v="1063.3260206477737"/>
    <n v="74"/>
    <s v="High Value"/>
    <s v="May-2024"/>
    <s v="Portable Power Bank"/>
    <s v="Electronics"/>
    <x v="267"/>
  </r>
  <r>
    <s v="SALE1754"/>
    <d v="2025-05-20T00:00:00"/>
    <x v="348"/>
    <s v="PROD11"/>
    <s v="STORE12"/>
    <n v="1"/>
    <n v="470.18"/>
    <n v="0.19"/>
    <x v="1"/>
    <n v="380.84580000000011"/>
    <n v="261583.36710000006"/>
    <n v="1063.3470207317075"/>
    <n v="74"/>
    <s v="Low Value"/>
    <s v="May-2025"/>
    <s v="HD Smart TV Stick"/>
    <s v="Electronics"/>
    <x v="346"/>
  </r>
  <r>
    <s v="SALE1755"/>
    <d v="2025-08-29T00:00:00"/>
    <x v="409"/>
    <s v="PROD66"/>
    <s v="STORE11"/>
    <n v="1"/>
    <n v="891.79"/>
    <n v="0.03"/>
    <x v="0"/>
    <n v="865.03629999999998"/>
    <n v="261202.52130000005"/>
    <n v="1066.1327400000002"/>
    <n v="73"/>
    <s v="Low Value"/>
    <s v="Aug-2025"/>
    <s v="Women's Hair Dryer Brush"/>
    <s v="Beauty"/>
    <x v="407"/>
  </r>
  <r>
    <s v="SALE1756"/>
    <d v="2024-04-08T00:00:00"/>
    <x v="14"/>
    <s v="PROD89"/>
    <s v="STORE17"/>
    <n v="2"/>
    <n v="433.07"/>
    <n v="0.25"/>
    <x v="2"/>
    <n v="649.60500000000002"/>
    <n v="260337.48500000004"/>
    <n v="1066.956905737705"/>
    <n v="73"/>
    <s v="Low Value"/>
    <s v="Apr-2024"/>
    <s v="Face Foundation Kit"/>
    <s v="Beauty"/>
    <x v="14"/>
  </r>
  <r>
    <s v="SALE1757"/>
    <d v="2024-03-04T00:00:00"/>
    <x v="172"/>
    <s v="PROD66"/>
    <s v="STORE19"/>
    <n v="3"/>
    <n v="626.71"/>
    <n v="7.0000000000000007E-2"/>
    <x v="2"/>
    <n v="1748.5209"/>
    <n v="259687.88000000006"/>
    <n v="1068.6744032921813"/>
    <n v="73"/>
    <s v="High Value"/>
    <s v="Mar-2024"/>
    <s v="Women's Hair Dryer Brush"/>
    <s v="Beauty"/>
    <x v="171"/>
  </r>
  <r>
    <s v="SALE1758"/>
    <d v="2025-09-16T00:00:00"/>
    <x v="136"/>
    <s v="PROD36"/>
    <s v="STORE0"/>
    <n v="2"/>
    <n v="324.18"/>
    <n v="0.06"/>
    <x v="2"/>
    <n v="609.45839999999998"/>
    <n v="257939.35910000006"/>
    <n v="1065.8651202479341"/>
    <n v="73"/>
    <s v="Low Value"/>
    <s v="Sep-2025"/>
    <s v="Women's Summer Dress"/>
    <s v="Clothing"/>
    <x v="135"/>
  </r>
  <r>
    <s v="SALE1759"/>
    <d v="2024-06-05T00:00:00"/>
    <x v="199"/>
    <s v="PROD14"/>
    <s v="STORE17"/>
    <n v="4"/>
    <n v="839.74"/>
    <n v="0.13"/>
    <x v="1"/>
    <n v="2922.2952"/>
    <n v="257329.90070000009"/>
    <n v="1067.7589240663904"/>
    <n v="73"/>
    <s v="High Value"/>
    <s v="Jun-2024"/>
    <s v="Decorative Wall Mirror"/>
    <s v="Home"/>
    <x v="198"/>
  </r>
  <r>
    <s v="SALE1760"/>
    <d v="2024-04-20T00:00:00"/>
    <x v="308"/>
    <s v="PROD62"/>
    <s v="STORE15"/>
    <n v="3"/>
    <n v="252.63"/>
    <n v="0.28000000000000003"/>
    <x v="0"/>
    <n v="545.68079999999998"/>
    <n v="254407.60550000006"/>
    <n v="1060.0316895833337"/>
    <n v="72"/>
    <s v="Low Value"/>
    <s v="Apr-2024"/>
    <s v="Laptop Cooling Pad"/>
    <s v="Electronics"/>
    <x v="306"/>
  </r>
  <r>
    <s v="SALE1761"/>
    <d v="2024-10-16T00:00:00"/>
    <x v="57"/>
    <s v="PROD79"/>
    <s v="STORE19"/>
    <n v="2"/>
    <n v="60.53"/>
    <n v="0.18"/>
    <x v="0"/>
    <n v="99.269200000000012"/>
    <n v="253861.92470000006"/>
    <n v="1062.1837853556488"/>
    <n v="72"/>
    <s v="Low Value"/>
    <s v="Oct-2024"/>
    <s v="Decorative Lamp Shade"/>
    <s v="Home"/>
    <x v="57"/>
  </r>
  <r>
    <s v="SALE1762"/>
    <d v="2024-11-14T00:00:00"/>
    <x v="76"/>
    <s v="PROD84"/>
    <s v="STORE13"/>
    <n v="4"/>
    <n v="341.95"/>
    <n v="0.25"/>
    <x v="0"/>
    <n v="1025.8499999999999"/>
    <n v="253762.65550000005"/>
    <n v="1066.2296449579835"/>
    <n v="72"/>
    <s v="High Value"/>
    <s v="Nov-2024"/>
    <s v="Wooden Bookshelf"/>
    <s v="Home"/>
    <x v="75"/>
  </r>
  <r>
    <s v="SALE1763"/>
    <d v="2024-05-26T00:00:00"/>
    <x v="413"/>
    <s v="PROD22"/>
    <s v="STORE16"/>
    <n v="4"/>
    <n v="300.12"/>
    <n v="0.05"/>
    <x v="1"/>
    <n v="1140.4559999999999"/>
    <n v="252736.80550000007"/>
    <n v="1066.4000232067515"/>
    <n v="72"/>
    <s v="High Value"/>
    <s v="May-2024"/>
    <s v="Carbon Fiber Tennis Racket"/>
    <s v="Sports"/>
    <x v="411"/>
  </r>
  <r>
    <s v="SALE1764"/>
    <d v="2025-02-17T00:00:00"/>
    <x v="71"/>
    <s v="PROD28"/>
    <s v="STORE17"/>
    <n v="2"/>
    <n v="289.14"/>
    <n v="0.12"/>
    <x v="2"/>
    <n v="508.88639999999998"/>
    <n v="251596.34950000007"/>
    <n v="1066.0862266949155"/>
    <n v="71"/>
    <s v="Low Value"/>
    <s v="Feb-2025"/>
    <s v="Sports Stopwatch Timer"/>
    <s v="Sports"/>
    <x v="70"/>
  </r>
  <r>
    <s v="SALE1765"/>
    <d v="2025-02-07T00:00:00"/>
    <x v="444"/>
    <s v="PROD25"/>
    <s v="STORE0"/>
    <n v="2"/>
    <n v="596.84"/>
    <n v="0.01"/>
    <x v="1"/>
    <n v="1181.7431999999999"/>
    <n v="251087.46310000005"/>
    <n v="1068.4572897872342"/>
    <n v="71"/>
    <s v="High Value"/>
    <s v="Feb-2025"/>
    <s v="Women's Scarf Set"/>
    <s v="Clothing"/>
    <x v="442"/>
  </r>
  <r>
    <s v="SALE1766"/>
    <d v="2024-10-06T00:00:00"/>
    <x v="439"/>
    <s v="PROD19"/>
    <s v="STORE8"/>
    <n v="4"/>
    <n v="466.24"/>
    <n v="0.16"/>
    <x v="0"/>
    <n v="1566.5663999999999"/>
    <n v="249905.71990000008"/>
    <n v="1067.9731619658123"/>
    <n v="70"/>
    <s v="High Value"/>
    <s v="Oct-2024"/>
    <s v="Knee Support Brace"/>
    <s v="Sports"/>
    <x v="437"/>
  </r>
  <r>
    <s v="SALE1767"/>
    <d v="2024-09-09T00:00:00"/>
    <x v="487"/>
    <s v="PROD13"/>
    <s v="STORE16"/>
    <n v="2"/>
    <n v="330.59"/>
    <n v="0.14000000000000001"/>
    <x v="0"/>
    <n v="568.61479999999995"/>
    <n v="248339.15350000007"/>
    <n v="1065.8332768240346"/>
    <n v="70"/>
    <s v="Low Value"/>
    <s v="Sep-2024"/>
    <s v="USB-C Fast Charger"/>
    <s v="Electronics"/>
    <x v="485"/>
  </r>
  <r>
    <s v="SALE1768"/>
    <d v="2024-12-28T00:00:00"/>
    <x v="4"/>
    <s v="PROD22"/>
    <s v="STORE6"/>
    <n v="2"/>
    <n v="616.42999999999995"/>
    <n v="0.02"/>
    <x v="2"/>
    <n v="1208.2028"/>
    <n v="247770.53870000006"/>
    <n v="1067.9764599137934"/>
    <n v="70"/>
    <s v="High Value"/>
    <s v="Dec-2024"/>
    <s v="Carbon Fiber Tennis Racket"/>
    <s v="Sports"/>
    <x v="4"/>
  </r>
  <r>
    <s v="SALE1769"/>
    <d v="2024-10-24T00:00:00"/>
    <x v="75"/>
    <s v="PROD63"/>
    <s v="STORE6"/>
    <n v="3"/>
    <n v="195.89"/>
    <n v="0.16"/>
    <x v="1"/>
    <n v="493.64280000000002"/>
    <n v="246562.33590000006"/>
    <n v="1067.3694194805198"/>
    <n v="70"/>
    <s v="Low Value"/>
    <s v="Oct-2024"/>
    <s v="Organic Sunscreen Lotion"/>
    <s v="Beauty"/>
    <x v="74"/>
  </r>
  <r>
    <s v="SALE1770"/>
    <d v="2024-07-14T00:00:00"/>
    <x v="110"/>
    <s v="PROD7"/>
    <s v="STORE10"/>
    <n v="4"/>
    <n v="614.76"/>
    <n v="0.16"/>
    <x v="0"/>
    <n v="2065.5936000000002"/>
    <n v="246068.69310000006"/>
    <n v="1069.8638830434786"/>
    <n v="69"/>
    <s v="High Value"/>
    <s v="Jul-2024"/>
    <s v="LED Table Lamp"/>
    <s v="Home"/>
    <x v="109"/>
  </r>
  <r>
    <s v="SALE1771"/>
    <d v="2024-05-06T00:00:00"/>
    <x v="53"/>
    <s v="PROD79"/>
    <s v="STORE7"/>
    <n v="1"/>
    <n v="224.49"/>
    <n v="0.11"/>
    <x v="1"/>
    <n v="199.7961"/>
    <n v="244003.09950000004"/>
    <n v="1065.5157183406116"/>
    <n v="69"/>
    <s v="Low Value"/>
    <s v="May-2024"/>
    <s v="Decorative Lamp Shade"/>
    <s v="Home"/>
    <x v="53"/>
  </r>
  <r>
    <s v="SALE1772"/>
    <d v="2024-02-16T00:00:00"/>
    <x v="412"/>
    <s v="PROD55"/>
    <s v="STORE12"/>
    <n v="1"/>
    <n v="967.76"/>
    <n v="0.09"/>
    <x v="0"/>
    <n v="880.66160000000002"/>
    <n v="243803.30340000003"/>
    <n v="1069.3127342105265"/>
    <n v="68"/>
    <s v="Low Value"/>
    <s v="Feb-2024"/>
    <s v="Ceramic Plant Pot"/>
    <s v="Home"/>
    <x v="410"/>
  </r>
  <r>
    <s v="SALE1773"/>
    <d v="2024-08-03T00:00:00"/>
    <x v="101"/>
    <s v="PROD41"/>
    <s v="STORE19"/>
    <n v="2"/>
    <n v="56.52"/>
    <n v="0.17"/>
    <x v="1"/>
    <n v="93.8232"/>
    <n v="242922.64180000004"/>
    <n v="1070.1437964757711"/>
    <n v="68"/>
    <s v="Low Value"/>
    <s v="Aug-2024"/>
    <s v="Yoga Exercise Mat"/>
    <s v="Sports"/>
    <x v="100"/>
  </r>
  <r>
    <s v="SALE1774"/>
    <d v="2023-12-15T00:00:00"/>
    <x v="216"/>
    <s v="PROD67"/>
    <s v="STORE1"/>
    <n v="4"/>
    <n v="921.84"/>
    <n v="0.04"/>
    <x v="0"/>
    <n v="3539.8656000000001"/>
    <n v="242828.81860000006"/>
    <n v="1074.4637991150446"/>
    <n v="67"/>
    <s v="High Value"/>
    <s v="Dec-2023"/>
    <s v="Smart LED Light Strip"/>
    <s v="Electronics"/>
    <x v="215"/>
  </r>
  <r>
    <s v="SALE1775"/>
    <d v="2024-01-28T00:00:00"/>
    <x v="342"/>
    <s v="PROD86"/>
    <s v="STORE16"/>
    <n v="3"/>
    <n v="738.47"/>
    <n v="0.28000000000000003"/>
    <x v="0"/>
    <n v="1595.0952"/>
    <n v="239288.95300000004"/>
    <n v="1063.506457777778"/>
    <n v="67"/>
    <s v="High Value"/>
    <s v="Jan-2024"/>
    <s v="Kitchen Cutting Board"/>
    <s v="Home"/>
    <x v="340"/>
  </r>
  <r>
    <s v="SALE1776"/>
    <d v="2024-11-24T00:00:00"/>
    <x v="342"/>
    <s v="PROD5"/>
    <s v="STORE0"/>
    <n v="4"/>
    <n v="477.83"/>
    <n v="0.05"/>
    <x v="2"/>
    <n v="1815.7539999999999"/>
    <n v="237693.85780000003"/>
    <n v="1061.1332937500001"/>
    <n v="67"/>
    <s v="High Value"/>
    <s v="Nov-2024"/>
    <s v="Men's Leather Belt"/>
    <s v="Clothing"/>
    <x v="340"/>
  </r>
  <r>
    <s v="SALE1777"/>
    <d v="2025-06-23T00:00:00"/>
    <x v="64"/>
    <s v="PROD42"/>
    <s v="STORE12"/>
    <n v="3"/>
    <n v="605.83000000000004"/>
    <n v="0.28000000000000003"/>
    <x v="2"/>
    <n v="1308.5927999999999"/>
    <n v="235878.10380000004"/>
    <n v="1057.7493443946191"/>
    <n v="67"/>
    <s v="High Value"/>
    <s v="Jun-2025"/>
    <s v="Smart Home WiFi Camera"/>
    <s v="Electronics"/>
    <x v="63"/>
  </r>
  <r>
    <s v="SALE1778"/>
    <d v="2024-03-22T00:00:00"/>
    <x v="101"/>
    <s v="PROD43"/>
    <s v="STORE3"/>
    <n v="2"/>
    <n v="521.44000000000005"/>
    <n v="0.25"/>
    <x v="2"/>
    <n v="782.16000000000008"/>
    <n v="234569.51100000006"/>
    <n v="1056.6194189189191"/>
    <n v="67"/>
    <s v="Low Value"/>
    <s v="Mar-2024"/>
    <s v="USB External Hard Drive"/>
    <s v="Electronics"/>
    <x v="100"/>
  </r>
  <r>
    <s v="SALE1779"/>
    <d v="2025-07-25T00:00:00"/>
    <x v="141"/>
    <s v="PROD10"/>
    <s v="STORE7"/>
    <n v="4"/>
    <n v="499.02"/>
    <n v="0.06"/>
    <x v="0"/>
    <n v="1876.3152"/>
    <n v="233787.35100000005"/>
    <n v="1057.8613167420817"/>
    <n v="67"/>
    <s v="High Value"/>
    <s v="Jul-2025"/>
    <s v="Ceramic Kitchen Bowl Set"/>
    <s v="Home"/>
    <x v="140"/>
  </r>
  <r>
    <s v="SALE1780"/>
    <d v="2025-04-11T00:00:00"/>
    <x v="175"/>
    <s v="PROD4"/>
    <s v="STORE18"/>
    <n v="4"/>
    <n v="299.45999999999998"/>
    <n v="0.18"/>
    <x v="2"/>
    <n v="982.22879999999998"/>
    <n v="231911.03580000007"/>
    <n v="1054.1410718181821"/>
    <n v="67"/>
    <s v="Low Value"/>
    <s v="Apr-2025"/>
    <s v="Women's Yoga Pants"/>
    <s v="Clothing"/>
    <x v="174"/>
  </r>
  <r>
    <s v="SALE1781"/>
    <d v="2023-12-25T00:00:00"/>
    <x v="414"/>
    <s v="PROD39"/>
    <s v="STORE0"/>
    <n v="1"/>
    <n v="609.29"/>
    <n v="0.15"/>
    <x v="0"/>
    <n v="517.89649999999995"/>
    <n v="230928.80700000009"/>
    <n v="1054.4694383561648"/>
    <n v="67"/>
    <s v="Low Value"/>
    <s v="Dec-2023"/>
    <s v="Portable Power Bank"/>
    <s v="Electronics"/>
    <x v="412"/>
  </r>
  <r>
    <s v="SALE1782"/>
    <d v="2024-12-30T00:00:00"/>
    <x v="210"/>
    <s v="PROD2"/>
    <s v="STORE8"/>
    <n v="1"/>
    <n v="213.74"/>
    <n v="7.0000000000000007E-2"/>
    <x v="2"/>
    <n v="198.7782"/>
    <n v="230410.91050000011"/>
    <n v="1056.9307821100922"/>
    <n v="67"/>
    <s v="Low Value"/>
    <s v="Dec-2024"/>
    <s v="Women's Casual Hoodie"/>
    <s v="Clothing"/>
    <x v="209"/>
  </r>
  <r>
    <s v="SALE1783"/>
    <d v="2025-03-02T00:00:00"/>
    <x v="175"/>
    <s v="PROD55"/>
    <s v="STORE16"/>
    <n v="4"/>
    <n v="613.16999999999996"/>
    <n v="0.26"/>
    <x v="0"/>
    <n v="1814.9831999999999"/>
    <n v="230212.13230000011"/>
    <n v="1060.8854023041481"/>
    <n v="67"/>
    <s v="High Value"/>
    <s v="Mar-2025"/>
    <s v="Ceramic Plant Pot"/>
    <s v="Home"/>
    <x v="174"/>
  </r>
  <r>
    <s v="SALE1784"/>
    <d v="2024-01-02T00:00:00"/>
    <x v="374"/>
    <s v="PROD59"/>
    <s v="STORE11"/>
    <n v="2"/>
    <n v="687.36"/>
    <n v="7.0000000000000007E-2"/>
    <x v="2"/>
    <n v="1278.4896000000001"/>
    <n v="228397.1491000001"/>
    <n v="1057.3942087962967"/>
    <n v="67"/>
    <s v="High Value"/>
    <s v="Jan-2024"/>
    <s v="Men's Hair Styling Gel"/>
    <s v="Beauty"/>
    <x v="372"/>
  </r>
  <r>
    <s v="SALE1785"/>
    <d v="2025-09-15T00:00:00"/>
    <x v="215"/>
    <s v="PROD67"/>
    <s v="STORE13"/>
    <n v="3"/>
    <n v="115.39"/>
    <n v="0.02"/>
    <x v="1"/>
    <n v="339.2466"/>
    <n v="227118.65950000007"/>
    <n v="1056.3658581395352"/>
    <n v="67"/>
    <s v="Low Value"/>
    <s v="Sep-2025"/>
    <s v="Smart LED Light Strip"/>
    <s v="Electronics"/>
    <x v="214"/>
  </r>
  <r>
    <s v="SALE1786"/>
    <d v="2024-03-08T00:00:00"/>
    <x v="449"/>
    <s v="PROD24"/>
    <s v="STORE12"/>
    <n v="2"/>
    <n v="722.06"/>
    <n v="7.0000000000000007E-2"/>
    <x v="0"/>
    <n v="1343.0316"/>
    <n v="226779.41290000008"/>
    <n v="1059.7168827102807"/>
    <n v="66"/>
    <s v="High Value"/>
    <s v="Mar-2024"/>
    <s v="Foldable Camping Chair"/>
    <s v="Sports"/>
    <x v="447"/>
  </r>
  <r>
    <s v="SALE1787"/>
    <d v="2024-12-26T00:00:00"/>
    <x v="353"/>
    <s v="PROD7"/>
    <s v="STORE15"/>
    <n v="1"/>
    <n v="384.57"/>
    <n v="0.06"/>
    <x v="1"/>
    <n v="361.49579999999997"/>
    <n v="225436.38130000007"/>
    <n v="1058.386766666667"/>
    <n v="66"/>
    <s v="Low Value"/>
    <s v="Dec-2024"/>
    <s v="LED Table Lamp"/>
    <s v="Home"/>
    <x v="351"/>
  </r>
  <r>
    <s v="SALE1788"/>
    <d v="2025-03-19T00:00:00"/>
    <x v="256"/>
    <s v="PROD8"/>
    <s v="STORE13"/>
    <n v="2"/>
    <n v="194.09"/>
    <n v="0.18"/>
    <x v="1"/>
    <n v="318.30759999999998"/>
    <n v="225074.88550000006"/>
    <n v="1061.6739882075474"/>
    <n v="65"/>
    <s v="Low Value"/>
    <s v="Mar-2025"/>
    <s v="Wireless Bluetooth Earbuds"/>
    <s v="Electronics"/>
    <x v="255"/>
  </r>
  <r>
    <s v="SALE1789"/>
    <d v="2024-10-14T00:00:00"/>
    <x v="396"/>
    <s v="PROD88"/>
    <s v="STORE3"/>
    <n v="2"/>
    <n v="403.91"/>
    <n v="7.0000000000000007E-2"/>
    <x v="0"/>
    <n v="751.27260000000001"/>
    <n v="224756.57790000006"/>
    <n v="1065.197051658768"/>
    <n v="64"/>
    <s v="Low Value"/>
    <s v="Oct-2024"/>
    <s v="Sports Wrist Sweatbands"/>
    <s v="Sports"/>
    <x v="394"/>
  </r>
  <r>
    <s v="SALE1790"/>
    <d v="2025-03-05T00:00:00"/>
    <x v="136"/>
    <s v="PROD17"/>
    <s v="STORE14"/>
    <n v="1"/>
    <n v="878.69"/>
    <n v="0.3"/>
    <x v="1"/>
    <n v="615.08299999999997"/>
    <n v="224005.30530000007"/>
    <n v="1066.6919300000004"/>
    <n v="64"/>
    <s v="Low Value"/>
    <s v="Mar-2025"/>
    <s v="Soccer Training Cone Set"/>
    <s v="Sports"/>
    <x v="135"/>
  </r>
  <r>
    <s v="SALE1791"/>
    <d v="2024-06-03T00:00:00"/>
    <x v="25"/>
    <s v="PROD33"/>
    <s v="STORE15"/>
    <n v="1"/>
    <n v="161.16999999999999"/>
    <n v="0.05"/>
    <x v="0"/>
    <n v="153.11150000000001"/>
    <n v="223390.22230000005"/>
    <n v="1068.8527382775121"/>
    <n v="63"/>
    <s v="Low Value"/>
    <s v="Jun-2024"/>
    <s v="Modern Wall Clock"/>
    <s v="Home"/>
    <x v="25"/>
  </r>
  <r>
    <s v="SALE1792"/>
    <d v="2024-04-05T00:00:00"/>
    <x v="96"/>
    <s v="PROD73"/>
    <s v="STORE14"/>
    <n v="2"/>
    <n v="720.15"/>
    <n v="0.22"/>
    <x v="2"/>
    <n v="1123.434"/>
    <n v="223237.11080000005"/>
    <n v="1073.2553403846157"/>
    <n v="63"/>
    <s v="High Value"/>
    <s v="Apr-2024"/>
    <s v="Shin Guards – Adult"/>
    <s v="Sports"/>
    <x v="95"/>
  </r>
  <r>
    <s v="SALE1793"/>
    <d v="2023-10-23T00:00:00"/>
    <x v="268"/>
    <s v="PROD26"/>
    <s v="STORE8"/>
    <n v="1"/>
    <n v="361.8"/>
    <n v="0.02"/>
    <x v="2"/>
    <n v="354.56400000000002"/>
    <n v="222113.67680000007"/>
    <n v="1073.0129314009666"/>
    <n v="63"/>
    <s v="Low Value"/>
    <s v="Oct-2023"/>
    <s v="Wireless Bluetooth Speaker"/>
    <s v="Electronics"/>
    <x v="266"/>
  </r>
  <r>
    <s v="SALE1794"/>
    <d v="2024-04-20T00:00:00"/>
    <x v="409"/>
    <s v="PROD95"/>
    <s v="STORE6"/>
    <n v="1"/>
    <n v="779.84"/>
    <n v="0.28999999999999998"/>
    <x v="1"/>
    <n v="553.68640000000005"/>
    <n v="221759.11280000006"/>
    <n v="1076.5005475728158"/>
    <n v="63"/>
    <s v="Low Value"/>
    <s v="Apr-2024"/>
    <s v="Sports Stopwatch Basic"/>
    <s v="Sports"/>
    <x v="407"/>
  </r>
  <r>
    <s v="SALE1795"/>
    <d v="2024-06-12T00:00:00"/>
    <x v="435"/>
    <s v="PROD96"/>
    <s v="STORE4"/>
    <n v="2"/>
    <n v="649.89"/>
    <n v="0.17"/>
    <x v="2"/>
    <n v="1078.8173999999999"/>
    <n v="221205.42640000005"/>
    <n v="1079.050860487805"/>
    <n v="62"/>
    <s v="High Value"/>
    <s v="Jun-2024"/>
    <s v="Women's Formal Blazer"/>
    <s v="Clothing"/>
    <x v="433"/>
  </r>
  <r>
    <s v="SALE1796"/>
    <d v="2025-08-08T00:00:00"/>
    <x v="329"/>
    <s v="PROD53"/>
    <s v="STORE6"/>
    <n v="1"/>
    <n v="952.73"/>
    <n v="0.17"/>
    <x v="0"/>
    <n v="790.76589999999999"/>
    <n v="220126.60900000005"/>
    <n v="1079.052004901961"/>
    <n v="62"/>
    <s v="Low Value"/>
    <s v="Aug-2025"/>
    <s v="Men's Track Pants"/>
    <s v="Clothing"/>
    <x v="327"/>
  </r>
  <r>
    <s v="SALE1797"/>
    <d v="2025-08-06T00:00:00"/>
    <x v="42"/>
    <s v="PROD99"/>
    <s v="STORE16"/>
    <n v="4"/>
    <n v="820.78"/>
    <n v="0.25"/>
    <x v="0"/>
    <n v="2462.34"/>
    <n v="219335.84310000009"/>
    <n v="1080.4721334975375"/>
    <n v="62"/>
    <s v="High Value"/>
    <s v="Aug-2025"/>
    <s v="Stainless Steel Cookware Set"/>
    <s v="Home"/>
    <x v="42"/>
  </r>
  <r>
    <s v="SALE1798"/>
    <d v="2024-10-27T00:00:00"/>
    <x v="395"/>
    <s v="PROD38"/>
    <s v="STORE3"/>
    <n v="4"/>
    <n v="247.55"/>
    <n v="0.05"/>
    <x v="0"/>
    <n v="940.69"/>
    <n v="216873.50310000006"/>
    <n v="1073.6312034653467"/>
    <n v="62"/>
    <s v="Low Value"/>
    <s v="Oct-2024"/>
    <s v="Sports Water Hydration Pack"/>
    <s v="Sports"/>
    <x v="393"/>
  </r>
  <r>
    <s v="SALE1799"/>
    <d v="2024-03-18T00:00:00"/>
    <x v="466"/>
    <s v="PROD99"/>
    <s v="STORE8"/>
    <n v="3"/>
    <n v="561.44000000000005"/>
    <n v="0.2"/>
    <x v="2"/>
    <n v="1347.4559999999999"/>
    <n v="215932.81310000006"/>
    <n v="1074.2926024875624"/>
    <n v="62"/>
    <s v="High Value"/>
    <s v="Mar-2024"/>
    <s v="Stainless Steel Cookware Set"/>
    <s v="Home"/>
    <x v="464"/>
  </r>
  <r>
    <s v="SALE1800"/>
    <d v="2023-11-19T00:00:00"/>
    <x v="373"/>
    <s v="PROD72"/>
    <s v="STORE8"/>
    <n v="4"/>
    <n v="214.37"/>
    <n v="0.11"/>
    <x v="2"/>
    <n v="763.15719999999999"/>
    <n v="214585.35710000005"/>
    <n v="1072.9267855000003"/>
    <n v="62"/>
    <s v="Low Value"/>
    <s v="Nov-2023"/>
    <s v="Professional Jump Rope"/>
    <s v="Sports"/>
    <x v="371"/>
  </r>
  <r>
    <s v="SALE1801"/>
    <d v="2025-03-25T00:00:00"/>
    <x v="222"/>
    <s v="PROD17"/>
    <s v="STORE16"/>
    <n v="3"/>
    <n v="123.74"/>
    <n v="0.23"/>
    <x v="1"/>
    <n v="285.83940000000001"/>
    <n v="213822.19990000007"/>
    <n v="1074.483416582915"/>
    <n v="62"/>
    <s v="Low Value"/>
    <s v="Mar-2025"/>
    <s v="Soccer Training Cone Set"/>
    <s v="Sports"/>
    <x v="221"/>
  </r>
  <r>
    <s v="SALE1802"/>
    <d v="2024-05-15T00:00:00"/>
    <x v="199"/>
    <s v="PROD67"/>
    <s v="STORE11"/>
    <n v="4"/>
    <n v="645.71"/>
    <n v="0.1"/>
    <x v="1"/>
    <n v="2324.556"/>
    <n v="213536.36050000004"/>
    <n v="1078.4664671717173"/>
    <n v="61"/>
    <s v="High Value"/>
    <s v="May-2024"/>
    <s v="Smart LED Light Strip"/>
    <s v="Electronics"/>
    <x v="198"/>
  </r>
  <r>
    <s v="SALE1803"/>
    <d v="2025-03-20T00:00:00"/>
    <x v="153"/>
    <s v="PROD21"/>
    <s v="STORE12"/>
    <n v="3"/>
    <n v="587.12"/>
    <n v="0.3"/>
    <x v="0"/>
    <n v="1232.952"/>
    <n v="211211.80450000006"/>
    <n v="1072.141139593909"/>
    <n v="60"/>
    <s v="High Value"/>
    <s v="Mar-2025"/>
    <s v="Multi-Purpose Storage Box"/>
    <s v="Home"/>
    <x v="152"/>
  </r>
  <r>
    <s v="SALE1804"/>
    <d v="2025-10-11T00:00:00"/>
    <x v="254"/>
    <s v="PROD25"/>
    <s v="STORE18"/>
    <n v="1"/>
    <n v="401.18"/>
    <n v="0.15"/>
    <x v="2"/>
    <n v="341.00299999999999"/>
    <n v="209978.85250000004"/>
    <n v="1071.3206760204084"/>
    <n v="60"/>
    <s v="Low Value"/>
    <s v="Oct-2025"/>
    <s v="Women's Scarf Set"/>
    <s v="Clothing"/>
    <x v="253"/>
  </r>
  <r>
    <s v="SALE1805"/>
    <d v="2024-07-13T00:00:00"/>
    <x v="302"/>
    <s v="PROD58"/>
    <s v="STORE18"/>
    <n v="3"/>
    <n v="658.33"/>
    <n v="0.12"/>
    <x v="2"/>
    <n v="1737.9911999999999"/>
    <n v="209637.84950000004"/>
    <n v="1075.0658948717951"/>
    <n v="60"/>
    <s v="High Value"/>
    <s v="Jul-2024"/>
    <s v="Womens Cotton Scarf"/>
    <s v="Clothing"/>
    <x v="300"/>
  </r>
  <r>
    <s v="SALE1806"/>
    <d v="2024-07-01T00:00:00"/>
    <x v="114"/>
    <s v="PROD49"/>
    <s v="STORE11"/>
    <n v="4"/>
    <n v="450.3"/>
    <n v="0.02"/>
    <x v="0"/>
    <n v="1765.1759999999999"/>
    <n v="207899.85830000005"/>
    <n v="1071.6487541237116"/>
    <n v="60"/>
    <s v="High Value"/>
    <s v="Jul-2024"/>
    <s v="Men's Roll-On Perfume"/>
    <s v="Beauty"/>
    <x v="113"/>
  </r>
  <r>
    <s v="SALE1807"/>
    <d v="2025-04-10T00:00:00"/>
    <x v="281"/>
    <s v="PROD94"/>
    <s v="STORE10"/>
    <n v="4"/>
    <n v="33.630000000000003"/>
    <n v="0.05"/>
    <x v="0"/>
    <n v="127.794"/>
    <n v="206134.68230000001"/>
    <n v="1068.0553487046634"/>
    <n v="60"/>
    <s v="Low Value"/>
    <s v="Apr-2025"/>
    <s v="Vitamin E Body Lotion"/>
    <s v="Beauty"/>
    <x v="279"/>
  </r>
  <r>
    <s v="SALE1808"/>
    <d v="2024-07-02T00:00:00"/>
    <x v="67"/>
    <s v="PROD16"/>
    <s v="STORE0"/>
    <n v="3"/>
    <n v="168.89"/>
    <n v="0.03"/>
    <x v="2"/>
    <n v="491.46989999999988"/>
    <n v="206006.88830000002"/>
    <n v="1072.9525432291668"/>
    <n v="60"/>
    <s v="Low Value"/>
    <s v="Jul-2024"/>
    <s v="Beard Grooming Kit"/>
    <s v="Beauty"/>
    <x v="66"/>
  </r>
  <r>
    <s v="SALE1809"/>
    <d v="2024-09-11T00:00:00"/>
    <x v="50"/>
    <s v="PROD60"/>
    <s v="STORE11"/>
    <n v="1"/>
    <n v="141.85"/>
    <n v="0.06"/>
    <x v="1"/>
    <n v="133.339"/>
    <n v="205515.41840000002"/>
    <n v="1075.9969549738221"/>
    <n v="60"/>
    <s v="Low Value"/>
    <s v="Sep-2024"/>
    <s v="Luxury Perfume Spray"/>
    <s v="Beauty"/>
    <x v="50"/>
  </r>
  <r>
    <s v="SALE1810"/>
    <d v="2024-08-16T00:00:00"/>
    <x v="408"/>
    <s v="PROD35"/>
    <s v="STORE7"/>
    <n v="1"/>
    <n v="617.4"/>
    <n v="0.21"/>
    <x v="0"/>
    <n v="487.74599999999998"/>
    <n v="205382.07940000005"/>
    <n v="1080.9583126315792"/>
    <n v="59"/>
    <s v="Low Value"/>
    <s v="Aug-2024"/>
    <s v="Bedroom Table Lamp"/>
    <s v="Home"/>
    <x v="406"/>
  </r>
  <r>
    <s v="SALE1811"/>
    <d v="2024-08-30T00:00:00"/>
    <x v="347"/>
    <s v="PROD53"/>
    <s v="STORE1"/>
    <n v="3"/>
    <n v="841.47"/>
    <n v="0.15"/>
    <x v="2"/>
    <n v="2145.7485000000001"/>
    <n v="204894.33340000006"/>
    <n v="1084.0970021164023"/>
    <n v="59"/>
    <s v="High Value"/>
    <s v="Aug-2024"/>
    <s v="Men's Track Pants"/>
    <s v="Clothing"/>
    <x v="345"/>
  </r>
  <r>
    <s v="SALE1812"/>
    <d v="2024-02-12T00:00:00"/>
    <x v="358"/>
    <s v="PROD21"/>
    <s v="STORE13"/>
    <n v="2"/>
    <n v="960.41"/>
    <n v="0.18"/>
    <x v="0"/>
    <n v="1575.0724"/>
    <n v="202748.58490000005"/>
    <n v="1078.4499196808513"/>
    <n v="59"/>
    <s v="High Value"/>
    <s v="Feb-2024"/>
    <s v="Multi-Purpose Storage Box"/>
    <s v="Home"/>
    <x v="356"/>
  </r>
  <r>
    <s v="SALE1813"/>
    <d v="2023-12-29T00:00:00"/>
    <x v="231"/>
    <s v="PROD75"/>
    <s v="STORE18"/>
    <n v="3"/>
    <n v="717.22"/>
    <n v="0.24"/>
    <x v="1"/>
    <n v="1635.2616"/>
    <n v="201173.51250000001"/>
    <n v="1075.7941844919787"/>
    <n v="59"/>
    <s v="High Value"/>
    <s v="Dec-2023"/>
    <s v="Women's Ankle Boots"/>
    <s v="Clothing"/>
    <x v="230"/>
  </r>
  <r>
    <s v="SALE1814"/>
    <d v="2025-06-24T00:00:00"/>
    <x v="71"/>
    <s v="PROD12"/>
    <s v="STORE0"/>
    <n v="1"/>
    <n v="281.83"/>
    <n v="0.16"/>
    <x v="2"/>
    <n v="236.7372"/>
    <n v="199538.25089999998"/>
    <n v="1072.7862951612901"/>
    <n v="58"/>
    <s v="Low Value"/>
    <s v="Jun-2025"/>
    <s v="Hair Strengthening Shampoo"/>
    <s v="Beauty"/>
    <x v="70"/>
  </r>
  <r>
    <s v="SALE1815"/>
    <d v="2024-04-18T00:00:00"/>
    <x v="329"/>
    <s v="PROD59"/>
    <s v="STORE14"/>
    <n v="1"/>
    <n v="509.08"/>
    <n v="0.04"/>
    <x v="1"/>
    <n v="488.71679999999998"/>
    <n v="199301.51370000001"/>
    <n v="1077.3054794594595"/>
    <n v="58"/>
    <s v="Low Value"/>
    <s v="Apr-2024"/>
    <s v="Men's Hair Styling Gel"/>
    <s v="Beauty"/>
    <x v="327"/>
  </r>
  <r>
    <s v="SALE1816"/>
    <d v="2025-09-30T00:00:00"/>
    <x v="453"/>
    <s v="PROD96"/>
    <s v="STORE2"/>
    <n v="4"/>
    <n v="827.09"/>
    <n v="0.3"/>
    <x v="0"/>
    <n v="2315.8519999999999"/>
    <n v="198812.79689999999"/>
    <n v="1080.5043309782609"/>
    <n v="57"/>
    <s v="High Value"/>
    <s v="Sep-2025"/>
    <s v="Women's Formal Blazer"/>
    <s v="Clothing"/>
    <x v="451"/>
  </r>
  <r>
    <s v="SALE1817"/>
    <d v="2025-10-05T00:00:00"/>
    <x v="256"/>
    <s v="PROD29"/>
    <s v="STORE4"/>
    <n v="2"/>
    <n v="823.36"/>
    <n v="0.23"/>
    <x v="0"/>
    <n v="1267.9744000000001"/>
    <n v="196496.9449"/>
    <n v="1073.7537972677596"/>
    <n v="57"/>
    <s v="High Value"/>
    <s v="Oct-2025"/>
    <s v="Fabric Sofa Throw Blanket"/>
    <s v="Home"/>
    <x v="255"/>
  </r>
  <r>
    <s v="SALE1818"/>
    <d v="2025-06-06T00:00:00"/>
    <x v="488"/>
    <s v="PROD26"/>
    <s v="STORE5"/>
    <n v="4"/>
    <n v="282.18"/>
    <n v="0.13"/>
    <x v="2"/>
    <n v="981.9864"/>
    <n v="195228.97050000002"/>
    <n v="1072.6866510989012"/>
    <n v="57"/>
    <s v="Low Value"/>
    <s v="Jun-2025"/>
    <s v="Wireless Bluetooth Speaker"/>
    <s v="Electronics"/>
    <x v="486"/>
  </r>
  <r>
    <s v="SALE1819"/>
    <d v="2024-02-01T00:00:00"/>
    <x v="396"/>
    <s v="PROD21"/>
    <s v="STORE1"/>
    <n v="1"/>
    <n v="486.39"/>
    <n v="0.09"/>
    <x v="2"/>
    <n v="442.61489999999998"/>
    <n v="194246.9841"/>
    <n v="1073.1877574585635"/>
    <n v="57"/>
    <s v="Low Value"/>
    <s v="Feb-2024"/>
    <s v="Multi-Purpose Storage Box"/>
    <s v="Home"/>
    <x v="394"/>
  </r>
  <r>
    <s v="SALE1820"/>
    <d v="2024-01-21T00:00:00"/>
    <x v="197"/>
    <s v="PROD18"/>
    <s v="STORE3"/>
    <n v="2"/>
    <n v="603.62"/>
    <n v="0.18"/>
    <x v="2"/>
    <n v="989.93680000000006"/>
    <n v="193804.36919999999"/>
    <n v="1076.69094"/>
    <n v="57"/>
    <s v="Low Value"/>
    <s v="Jan-2024"/>
    <s v="Women's Denim Jeans"/>
    <s v="Clothing"/>
    <x v="196"/>
  </r>
  <r>
    <s v="SALE1821"/>
    <d v="2024-09-19T00:00:00"/>
    <x v="347"/>
    <s v="PROD37"/>
    <s v="STORE8"/>
    <n v="3"/>
    <n v="204.17"/>
    <n v="0.1"/>
    <x v="1"/>
    <n v="551.25900000000001"/>
    <n v="192814.43240000002"/>
    <n v="1077.1756"/>
    <n v="57"/>
    <s v="Low Value"/>
    <s v="Sep-2024"/>
    <s v="Men's Casual Sneakers"/>
    <s v="Clothing"/>
    <x v="345"/>
  </r>
  <r>
    <s v="SALE1822"/>
    <d v="2024-01-19T00:00:00"/>
    <x v="488"/>
    <s v="PROD8"/>
    <s v="STORE15"/>
    <n v="1"/>
    <n v="43.58"/>
    <n v="0.01"/>
    <x v="2"/>
    <n v="43.144199999999998"/>
    <n v="192263.1734"/>
    <n v="1080.1301876404495"/>
    <n v="56"/>
    <s v="Low Value"/>
    <s v="Jan-2024"/>
    <s v="Wireless Bluetooth Earbuds"/>
    <s v="Electronics"/>
    <x v="486"/>
  </r>
  <r>
    <s v="SALE1823"/>
    <d v="2024-10-29T00:00:00"/>
    <x v="238"/>
    <s v="PROD47"/>
    <s v="STORE2"/>
    <n v="3"/>
    <n v="469.33"/>
    <n v="0.14000000000000001"/>
    <x v="1"/>
    <n v="1210.8714"/>
    <n v="192220.02920000002"/>
    <n v="1085.9888655367233"/>
    <n v="56"/>
    <s v="High Value"/>
    <s v="Oct-2024"/>
    <s v="Makeup Brush Set"/>
    <s v="Beauty"/>
    <x v="237"/>
  </r>
  <r>
    <s v="SALE1824"/>
    <d v="2025-07-02T00:00:00"/>
    <x v="204"/>
    <s v="PROD8"/>
    <s v="STORE8"/>
    <n v="4"/>
    <n v="836.23"/>
    <n v="0.12"/>
    <x v="0"/>
    <n v="2943.5295999999998"/>
    <n v="191009.15780000004"/>
    <n v="1085.2793056818184"/>
    <n v="55"/>
    <s v="High Value"/>
    <s v="Jul-2025"/>
    <s v="Wireless Bluetooth Earbuds"/>
    <s v="Electronics"/>
    <x v="203"/>
  </r>
  <r>
    <s v="SALE1825"/>
    <d v="2024-09-14T00:00:00"/>
    <x v="118"/>
    <s v="PROD67"/>
    <s v="STORE19"/>
    <n v="2"/>
    <n v="661.53"/>
    <n v="0.2"/>
    <x v="1"/>
    <n v="1058.4480000000001"/>
    <n v="188065.62820000004"/>
    <n v="1074.6607325714288"/>
    <n v="55"/>
    <s v="High Value"/>
    <s v="Sep-2024"/>
    <s v="Smart LED Light Strip"/>
    <s v="Electronics"/>
    <x v="117"/>
  </r>
  <r>
    <s v="SALE1826"/>
    <d v="2025-09-03T00:00:00"/>
    <x v="208"/>
    <s v="PROD56"/>
    <s v="STORE16"/>
    <n v="3"/>
    <n v="753.47"/>
    <n v="0.25"/>
    <x v="1"/>
    <n v="1695.3074999999999"/>
    <n v="187007.18020000006"/>
    <n v="1074.7539091954027"/>
    <n v="54"/>
    <s v="High Value"/>
    <s v="Sep-2025"/>
    <s v="Premium Blanket Throw"/>
    <s v="Home"/>
    <x v="207"/>
  </r>
  <r>
    <s v="SALE1827"/>
    <d v="2025-01-16T00:00:00"/>
    <x v="308"/>
    <s v="PROD64"/>
    <s v="STORE0"/>
    <n v="3"/>
    <n v="713.95"/>
    <n v="0"/>
    <x v="0"/>
    <n v="2141.85"/>
    <n v="185311.87270000004"/>
    <n v="1071.1668942196534"/>
    <n v="53"/>
    <s v="High Value"/>
    <s v="Jan-2025"/>
    <s v="Matte Lipstick Set"/>
    <s v="Beauty"/>
    <x v="306"/>
  </r>
  <r>
    <s v="SALE1828"/>
    <d v="2024-04-13T00:00:00"/>
    <x v="179"/>
    <s v="PROD11"/>
    <s v="STORE5"/>
    <n v="3"/>
    <n v="596"/>
    <n v="0.28000000000000003"/>
    <x v="2"/>
    <n v="1287.3599999999999"/>
    <n v="183170.0227"/>
    <n v="1064.9419924418605"/>
    <n v="53"/>
    <s v="High Value"/>
    <s v="Apr-2024"/>
    <s v="HD Smart TV Stick"/>
    <s v="Electronics"/>
    <x v="178"/>
  </r>
  <r>
    <s v="SALE1829"/>
    <d v="2024-03-28T00:00:00"/>
    <x v="159"/>
    <s v="PROD9"/>
    <s v="STORE9"/>
    <n v="2"/>
    <n v="169.46"/>
    <n v="0.03"/>
    <x v="1"/>
    <n v="328.75240000000002"/>
    <n v="181882.66269999999"/>
    <n v="1063.6413023391813"/>
    <n v="53"/>
    <s v="Low Value"/>
    <s v="Mar-2024"/>
    <s v="Adjustable Dumbbell Set"/>
    <s v="Sports"/>
    <x v="158"/>
  </r>
  <r>
    <s v="SALE1830"/>
    <d v="2025-07-22T00:00:00"/>
    <x v="301"/>
    <s v="PROD65"/>
    <s v="STORE14"/>
    <n v="4"/>
    <n v="611.91999999999996"/>
    <n v="0.2"/>
    <x v="1"/>
    <n v="1958.144"/>
    <n v="181553.91030000002"/>
    <n v="1067.9641782352942"/>
    <n v="52"/>
    <s v="High Value"/>
    <s v="Jul-2025"/>
    <s v="Adjustable Dumbbells 20kg"/>
    <s v="Sports"/>
    <x v="299"/>
  </r>
  <r>
    <s v="SALE1831"/>
    <d v="2025-02-16T00:00:00"/>
    <x v="458"/>
    <s v="PROD74"/>
    <s v="STORE15"/>
    <n v="2"/>
    <n v="25.3"/>
    <n v="0.21"/>
    <x v="0"/>
    <n v="39.973999999999997"/>
    <n v="179595.76629999999"/>
    <n v="1062.6968420118342"/>
    <n v="51"/>
    <s v="Low Value"/>
    <s v="Feb-2025"/>
    <s v="Bluetooth Car Audio System"/>
    <s v="Electronics"/>
    <x v="456"/>
  </r>
  <r>
    <s v="SALE1832"/>
    <d v="2024-02-05T00:00:00"/>
    <x v="207"/>
    <s v="PROD73"/>
    <s v="STORE10"/>
    <n v="4"/>
    <n v="166.93"/>
    <n v="0.02"/>
    <x v="1"/>
    <n v="654.36559999999997"/>
    <n v="179555.7923"/>
    <n v="1068.7844779761904"/>
    <n v="51"/>
    <s v="Low Value"/>
    <s v="Feb-2024"/>
    <s v="Shin Guards – Adult"/>
    <s v="Sports"/>
    <x v="206"/>
  </r>
  <r>
    <s v="SALE1833"/>
    <d v="2025-03-05T00:00:00"/>
    <x v="432"/>
    <s v="PROD60"/>
    <s v="STORE11"/>
    <n v="4"/>
    <n v="861.55"/>
    <n v="0.12"/>
    <x v="0"/>
    <n v="3032.6559999999999"/>
    <n v="178901.42669999998"/>
    <n v="1071.2660281437124"/>
    <n v="50"/>
    <s v="High Value"/>
    <s v="Mar-2025"/>
    <s v="Luxury Perfume Spray"/>
    <s v="Beauty"/>
    <x v="430"/>
  </r>
  <r>
    <s v="SALE1834"/>
    <d v="2025-07-04T00:00:00"/>
    <x v="258"/>
    <s v="PROD43"/>
    <s v="STORE5"/>
    <n v="3"/>
    <n v="56.17"/>
    <n v="0.01"/>
    <x v="2"/>
    <n v="166.82490000000001"/>
    <n v="175868.77069999999"/>
    <n v="1059.4504259036144"/>
    <n v="50"/>
    <s v="Low Value"/>
    <s v="Jul-2025"/>
    <s v="USB External Hard Drive"/>
    <s v="Electronics"/>
    <x v="257"/>
  </r>
  <r>
    <s v="SALE1835"/>
    <d v="2025-07-24T00:00:00"/>
    <x v="176"/>
    <s v="PROD15"/>
    <s v="STORE19"/>
    <n v="1"/>
    <n v="582.29"/>
    <n v="0.2"/>
    <x v="0"/>
    <n v="465.83199999999999"/>
    <n v="175701.94580000002"/>
    <n v="1064.8602775757577"/>
    <n v="50"/>
    <s v="Low Value"/>
    <s v="Jul-2025"/>
    <s v="4K Home Projector"/>
    <s v="Electronics"/>
    <x v="175"/>
  </r>
  <r>
    <s v="SALE1836"/>
    <d v="2025-01-24T00:00:00"/>
    <x v="321"/>
    <s v="PROD83"/>
    <s v="STORE0"/>
    <n v="3"/>
    <n v="63.96"/>
    <n v="0.02"/>
    <x v="0"/>
    <n v="188.04239999999999"/>
    <n v="175236.11380000002"/>
    <n v="1068.5128890243905"/>
    <n v="50"/>
    <s v="Low Value"/>
    <s v="Jan-2025"/>
    <s v="Hydrating Face Cleanser"/>
    <s v="Beauty"/>
    <x v="319"/>
  </r>
  <r>
    <s v="SALE1837"/>
    <d v="2024-04-10T00:00:00"/>
    <x v="10"/>
    <s v="PROD9"/>
    <s v="STORE12"/>
    <n v="1"/>
    <n v="829.83"/>
    <n v="0.26"/>
    <x v="2"/>
    <n v="614.07420000000002"/>
    <n v="175048.07140000002"/>
    <n v="1073.9145484662577"/>
    <n v="50"/>
    <s v="Low Value"/>
    <s v="Apr-2024"/>
    <s v="Adjustable Dumbbell Set"/>
    <s v="Sports"/>
    <x v="10"/>
  </r>
  <r>
    <s v="SALE1838"/>
    <d v="2024-10-21T00:00:00"/>
    <x v="260"/>
    <s v="PROD34"/>
    <s v="STORE16"/>
    <n v="2"/>
    <n v="858.15"/>
    <n v="0.03"/>
    <x v="0"/>
    <n v="1664.8109999999999"/>
    <n v="174433.99720000001"/>
    <n v="1076.7530691358024"/>
    <n v="50"/>
    <s v="High Value"/>
    <s v="Oct-2024"/>
    <s v="Gaming Mechanical Keyboard"/>
    <s v="Electronics"/>
    <x v="259"/>
  </r>
  <r>
    <s v="SALE1839"/>
    <d v="2024-02-18T00:00:00"/>
    <x v="448"/>
    <s v="PROD73"/>
    <s v="STORE13"/>
    <n v="3"/>
    <n v="717.32"/>
    <n v="0.23"/>
    <x v="2"/>
    <n v="1657.0092"/>
    <n v="172769.18620000003"/>
    <n v="1073.1005354037268"/>
    <n v="50"/>
    <s v="High Value"/>
    <s v="Feb-2024"/>
    <s v="Shin Guards – Adult"/>
    <s v="Sports"/>
    <x v="446"/>
  </r>
  <r>
    <s v="SALE1840"/>
    <d v="2025-07-15T00:00:00"/>
    <x v="155"/>
    <s v="PROD83"/>
    <s v="STORE12"/>
    <n v="1"/>
    <n v="163.19999999999999"/>
    <n v="0.22"/>
    <x v="1"/>
    <n v="127.29600000000001"/>
    <n v="171112.17700000003"/>
    <n v="1069.4511062500001"/>
    <n v="50"/>
    <s v="Low Value"/>
    <s v="Jul-2025"/>
    <s v="Hydrating Face Cleanser"/>
    <s v="Beauty"/>
    <x v="154"/>
  </r>
  <r>
    <s v="SALE1841"/>
    <d v="2024-07-16T00:00:00"/>
    <x v="56"/>
    <s v="PROD81"/>
    <s v="STORE12"/>
    <n v="2"/>
    <n v="966.71"/>
    <n v="0.11"/>
    <x v="0"/>
    <n v="1720.7438"/>
    <n v="170984.88100000002"/>
    <n v="1075.3766100628932"/>
    <n v="49"/>
    <s v="High Value"/>
    <s v="Jul-2024"/>
    <s v="Badminton Racket Set"/>
    <s v="Sports"/>
    <x v="56"/>
  </r>
  <r>
    <s v="SALE1842"/>
    <d v="2025-04-14T00:00:00"/>
    <x v="14"/>
    <s v="PROD35"/>
    <s v="STORE13"/>
    <n v="2"/>
    <n v="873.94"/>
    <n v="0.14000000000000001"/>
    <x v="2"/>
    <n v="1503.1768"/>
    <n v="169264.13720000003"/>
    <n v="1071.2920075949369"/>
    <n v="49"/>
    <s v="High Value"/>
    <s v="Apr-2025"/>
    <s v="Bedroom Table Lamp"/>
    <s v="Home"/>
    <x v="14"/>
  </r>
  <r>
    <s v="SALE1843"/>
    <d v="2024-03-28T00:00:00"/>
    <x v="341"/>
    <s v="PROD0"/>
    <s v="STORE3"/>
    <n v="1"/>
    <n v="140.24"/>
    <n v="0.27"/>
    <x v="0"/>
    <n v="102.37520000000001"/>
    <n v="167760.96039999995"/>
    <n v="1068.5411490445856"/>
    <n v="49"/>
    <s v="Low Value"/>
    <s v="Mar-2024"/>
    <s v="Brother Laser Printer"/>
    <s v="Electronics"/>
    <x v="339"/>
  </r>
  <r>
    <s v="SALE1844"/>
    <d v="2025-02-28T00:00:00"/>
    <x v="114"/>
    <s v="PROD43"/>
    <s v="STORE5"/>
    <n v="2"/>
    <n v="549.91999999999996"/>
    <n v="0.28000000000000003"/>
    <x v="0"/>
    <n v="791.88479999999993"/>
    <n v="167658.58519999997"/>
    <n v="1074.7345205128204"/>
    <n v="49"/>
    <s v="Low Value"/>
    <s v="Feb-2025"/>
    <s v="USB External Hard Drive"/>
    <s v="Electronics"/>
    <x v="113"/>
  </r>
  <r>
    <s v="SALE1845"/>
    <d v="2024-03-13T00:00:00"/>
    <x v="489"/>
    <s v="PROD17"/>
    <s v="STORE5"/>
    <n v="4"/>
    <n v="715.88"/>
    <n v="0.19"/>
    <x v="1"/>
    <n v="2319.4512"/>
    <n v="166866.70039999997"/>
    <n v="1076.5593574193547"/>
    <n v="49"/>
    <s v="High Value"/>
    <s v="Mar-2024"/>
    <s v="Soccer Training Cone Set"/>
    <s v="Sports"/>
    <x v="487"/>
  </r>
  <r>
    <s v="SALE1846"/>
    <d v="2025-04-05T00:00:00"/>
    <x v="171"/>
    <s v="PROD2"/>
    <s v="STORE8"/>
    <n v="3"/>
    <n v="591.9"/>
    <n v="0.27"/>
    <x v="0"/>
    <n v="1296.261"/>
    <n v="164547.24919999996"/>
    <n v="1068.488631168831"/>
    <n v="48"/>
    <s v="High Value"/>
    <s v="Apr-2025"/>
    <s v="Women's Casual Hoodie"/>
    <s v="Clothing"/>
    <x v="170"/>
  </r>
  <r>
    <s v="SALE1847"/>
    <d v="2025-08-14T00:00:00"/>
    <x v="446"/>
    <s v="PROD22"/>
    <s v="STORE10"/>
    <n v="2"/>
    <n v="523.14"/>
    <n v="0.13"/>
    <x v="1"/>
    <n v="910.2636"/>
    <n v="163250.98819999999"/>
    <n v="1066.999922875817"/>
    <n v="48"/>
    <s v="Low Value"/>
    <s v="Aug-2025"/>
    <s v="Carbon Fiber Tennis Racket"/>
    <s v="Sports"/>
    <x v="444"/>
  </r>
  <r>
    <s v="SALE1848"/>
    <d v="2024-07-04T00:00:00"/>
    <x v="473"/>
    <s v="PROD69"/>
    <s v="STORE14"/>
    <n v="2"/>
    <n v="478.62"/>
    <n v="0.17"/>
    <x v="2"/>
    <n v="794.50919999999996"/>
    <n v="162340.72459999999"/>
    <n v="1068.0310828947368"/>
    <n v="47"/>
    <s v="Low Value"/>
    <s v="Jul-2024"/>
    <s v="Men's Sports Shorts"/>
    <s v="Clothing"/>
    <x v="471"/>
  </r>
  <r>
    <s v="SALE1849"/>
    <d v="2024-09-21T00:00:00"/>
    <x v="462"/>
    <s v="PROD82"/>
    <s v="STORE1"/>
    <n v="4"/>
    <n v="740.5"/>
    <n v="0.17"/>
    <x v="1"/>
    <n v="2458.46"/>
    <n v="161546.21539999999"/>
    <n v="1069.842486092715"/>
    <n v="47"/>
    <s v="High Value"/>
    <s v="Sep-2024"/>
    <s v="Fitness Resistance Bands"/>
    <s v="Sports"/>
    <x v="460"/>
  </r>
  <r>
    <s v="SALE1850"/>
    <d v="2024-06-22T00:00:00"/>
    <x v="459"/>
    <s v="PROD46"/>
    <s v="STORE2"/>
    <n v="1"/>
    <n v="780.24"/>
    <n v="0.04"/>
    <x v="2"/>
    <n v="749.03039999999999"/>
    <n v="159087.75539999999"/>
    <n v="1060.5850359999999"/>
    <n v="46"/>
    <s v="Low Value"/>
    <s v="Jun-2024"/>
    <s v="Men's Winter Jacket"/>
    <s v="Clothing"/>
    <x v="457"/>
  </r>
  <r>
    <s v="SALE1851"/>
    <d v="2024-09-17T00:00:00"/>
    <x v="183"/>
    <s v="PROD70"/>
    <s v="STORE16"/>
    <n v="4"/>
    <n v="579.24"/>
    <n v="0.04"/>
    <x v="2"/>
    <n v="2224.2815999999998"/>
    <n v="158338.72499999998"/>
    <n v="1062.6760067114092"/>
    <n v="46"/>
    <s v="High Value"/>
    <s v="Sep-2024"/>
    <s v="Kitchen Storage Rack"/>
    <s v="Home"/>
    <x v="182"/>
  </r>
  <r>
    <s v="SALE1852"/>
    <d v="2024-12-09T00:00:00"/>
    <x v="171"/>
    <s v="PROD1"/>
    <s v="STORE2"/>
    <n v="3"/>
    <n v="268.95"/>
    <n v="0.04"/>
    <x v="1"/>
    <n v="774.57599999999991"/>
    <n v="156114.44339999999"/>
    <n v="1054.8273202702701"/>
    <n v="46"/>
    <s v="Low Value"/>
    <s v="Dec-2024"/>
    <s v="Men's Graphic T-Shirt"/>
    <s v="Clothing"/>
    <x v="170"/>
  </r>
  <r>
    <s v="SALE1853"/>
    <d v="2025-03-24T00:00:00"/>
    <x v="428"/>
    <s v="PROD5"/>
    <s v="STORE4"/>
    <n v="1"/>
    <n v="47.47"/>
    <n v="0.28000000000000003"/>
    <x v="0"/>
    <n v="34.178400000000003"/>
    <n v="155339.86739999999"/>
    <n v="1056.7337918367346"/>
    <n v="45"/>
    <s v="Low Value"/>
    <s v="Mar-2025"/>
    <s v="Men's Leather Belt"/>
    <s v="Clothing"/>
    <x v="426"/>
  </r>
  <r>
    <s v="SALE1854"/>
    <d v="2025-05-19T00:00:00"/>
    <x v="99"/>
    <s v="PROD33"/>
    <s v="STORE17"/>
    <n v="3"/>
    <n v="858.81"/>
    <n v="7.0000000000000007E-2"/>
    <x v="0"/>
    <n v="2396.0799000000002"/>
    <n v="155305.68899999998"/>
    <n v="1063.7375958904108"/>
    <n v="45"/>
    <s v="High Value"/>
    <s v="May-2025"/>
    <s v="Modern Wall Clock"/>
    <s v="Home"/>
    <x v="98"/>
  </r>
  <r>
    <s v="SALE1855"/>
    <d v="2025-02-22T00:00:00"/>
    <x v="441"/>
    <s v="PROD19"/>
    <s v="STORE10"/>
    <n v="3"/>
    <n v="569.98"/>
    <n v="0.05"/>
    <x v="0"/>
    <n v="1624.443"/>
    <n v="152909.60909999997"/>
    <n v="1054.5490282758619"/>
    <n v="45"/>
    <s v="High Value"/>
    <s v="Feb-2025"/>
    <s v="Knee Support Brace"/>
    <s v="Sports"/>
    <x v="439"/>
  </r>
  <r>
    <s v="SALE1856"/>
    <d v="2024-10-31T00:00:00"/>
    <x v="78"/>
    <s v="PROD74"/>
    <s v="STORE12"/>
    <n v="3"/>
    <n v="306.52"/>
    <n v="0.01"/>
    <x v="2"/>
    <n v="910.36439999999993"/>
    <n v="151285.16609999997"/>
    <n v="1050.5914312499999"/>
    <n v="45"/>
    <s v="Low Value"/>
    <s v="Oct-2024"/>
    <s v="Bluetooth Car Audio System"/>
    <s v="Electronics"/>
    <x v="77"/>
  </r>
  <r>
    <s v="SALE1857"/>
    <d v="2024-03-03T00:00:00"/>
    <x v="464"/>
    <s v="PROD56"/>
    <s v="STORE13"/>
    <n v="3"/>
    <n v="184.67"/>
    <n v="0.03"/>
    <x v="2"/>
    <n v="537.38969999999995"/>
    <n v="150374.80169999995"/>
    <n v="1051.5720398601395"/>
    <n v="45"/>
    <s v="Low Value"/>
    <s v="Mar-2024"/>
    <s v="Premium Blanket Throw"/>
    <s v="Home"/>
    <x v="462"/>
  </r>
  <r>
    <s v="SALE1858"/>
    <d v="2024-05-16T00:00:00"/>
    <x v="382"/>
    <s v="PROD26"/>
    <s v="STORE5"/>
    <n v="4"/>
    <n v="189.56"/>
    <n v="0"/>
    <x v="2"/>
    <n v="758.24"/>
    <n v="149837.41199999995"/>
    <n v="1055.1930422535208"/>
    <n v="45"/>
    <s v="Low Value"/>
    <s v="May-2024"/>
    <s v="Wireless Bluetooth Speaker"/>
    <s v="Electronics"/>
    <x v="380"/>
  </r>
  <r>
    <s v="SALE1859"/>
    <d v="2024-08-07T00:00:00"/>
    <x v="266"/>
    <s v="PROD75"/>
    <s v="STORE5"/>
    <n v="1"/>
    <n v="805.24"/>
    <n v="0.04"/>
    <x v="1"/>
    <n v="773.03039999999999"/>
    <n v="149079.17199999996"/>
    <n v="1057.2990921985813"/>
    <n v="45"/>
    <s v="Low Value"/>
    <s v="Aug-2024"/>
    <s v="Women's Ankle Boots"/>
    <s v="Clothing"/>
    <x v="123"/>
  </r>
  <r>
    <s v="SALE1860"/>
    <d v="2024-09-14T00:00:00"/>
    <x v="338"/>
    <s v="PROD54"/>
    <s v="STORE17"/>
    <n v="3"/>
    <n v="683.74"/>
    <n v="0.24"/>
    <x v="0"/>
    <n v="1558.9272000000001"/>
    <n v="148306.14159999994"/>
    <n v="1059.3295828571424"/>
    <n v="44"/>
    <s v="High Value"/>
    <s v="Sep-2024"/>
    <s v="Sports Stopwatch Pro"/>
    <s v="Sports"/>
    <x v="336"/>
  </r>
  <r>
    <s v="SALE1861"/>
    <d v="2024-10-08T00:00:00"/>
    <x v="256"/>
    <s v="PROD56"/>
    <s v="STORE18"/>
    <n v="3"/>
    <n v="439.21"/>
    <n v="0.28000000000000003"/>
    <x v="2"/>
    <n v="948.69359999999983"/>
    <n v="146747.21439999997"/>
    <n v="1055.7353553956832"/>
    <n v="44"/>
    <s v="Low Value"/>
    <s v="Oct-2024"/>
    <s v="Premium Blanket Throw"/>
    <s v="Home"/>
    <x v="255"/>
  </r>
  <r>
    <s v="SALE1862"/>
    <d v="2025-09-04T00:00:00"/>
    <x v="97"/>
    <s v="PROD66"/>
    <s v="STORE6"/>
    <n v="1"/>
    <n v="126.92"/>
    <n v="0.24"/>
    <x v="2"/>
    <n v="96.459199999999996"/>
    <n v="145798.52079999997"/>
    <n v="1056.5110202898547"/>
    <n v="44"/>
    <s v="Low Value"/>
    <s v="Sep-2025"/>
    <s v="Women's Hair Dryer Brush"/>
    <s v="Beauty"/>
    <x v="96"/>
  </r>
  <r>
    <s v="SALE1863"/>
    <d v="2024-07-16T00:00:00"/>
    <x v="435"/>
    <s v="PROD73"/>
    <s v="STORE4"/>
    <n v="4"/>
    <n v="834.7"/>
    <n v="0.14000000000000001"/>
    <x v="0"/>
    <n v="2871.3679999999999"/>
    <n v="145702.06159999996"/>
    <n v="1063.5186978102186"/>
    <n v="44"/>
    <s v="High Value"/>
    <s v="Jul-2024"/>
    <s v="Shin Guards – Adult"/>
    <s v="Sports"/>
    <x v="433"/>
  </r>
  <r>
    <s v="SALE1864"/>
    <d v="2025-09-09T00:00:00"/>
    <x v="389"/>
    <s v="PROD42"/>
    <s v="STORE11"/>
    <n v="2"/>
    <n v="271.88"/>
    <n v="0.11"/>
    <x v="2"/>
    <n v="483.94639999999998"/>
    <n v="142830.69359999994"/>
    <n v="1050.2256882352938"/>
    <n v="44"/>
    <s v="Low Value"/>
    <s v="Sep-2025"/>
    <s v="Smart Home WiFi Camera"/>
    <s v="Electronics"/>
    <x v="387"/>
  </r>
  <r>
    <s v="SALE1865"/>
    <d v="2025-03-04T00:00:00"/>
    <x v="451"/>
    <s v="PROD11"/>
    <s v="STORE1"/>
    <n v="4"/>
    <n v="972.14"/>
    <n v="0.25"/>
    <x v="0"/>
    <n v="2916.42"/>
    <n v="142346.74719999993"/>
    <n v="1054.4203496296291"/>
    <n v="44"/>
    <s v="High Value"/>
    <s v="Mar-2025"/>
    <s v="HD Smart TV Stick"/>
    <s v="Electronics"/>
    <x v="449"/>
  </r>
  <r>
    <s v="SALE1866"/>
    <d v="2025-06-23T00:00:00"/>
    <x v="126"/>
    <s v="PROD43"/>
    <s v="STORE4"/>
    <n v="3"/>
    <n v="523.66"/>
    <n v="0.27"/>
    <x v="1"/>
    <n v="1146.8154"/>
    <n v="139430.32719999994"/>
    <n v="1040.5248298507458"/>
    <n v="44"/>
    <s v="High Value"/>
    <s v="Jun-2025"/>
    <s v="USB External Hard Drive"/>
    <s v="Electronics"/>
    <x v="125"/>
  </r>
  <r>
    <s v="SALE1867"/>
    <d v="2024-11-06T00:00:00"/>
    <x v="28"/>
    <s v="PROD64"/>
    <s v="STORE2"/>
    <n v="4"/>
    <n v="838.99"/>
    <n v="0.16"/>
    <x v="0"/>
    <n v="2819.0064000000002"/>
    <n v="138283.51179999995"/>
    <n v="1039.7256526315787"/>
    <n v="43"/>
    <s v="High Value"/>
    <s v="Nov-2024"/>
    <s v="Matte Lipstick Set"/>
    <s v="Beauty"/>
    <x v="28"/>
  </r>
  <r>
    <s v="SALE1868"/>
    <d v="2025-03-06T00:00:00"/>
    <x v="163"/>
    <s v="PROD11"/>
    <s v="STORE17"/>
    <n v="4"/>
    <n v="838.7"/>
    <n v="0.21"/>
    <x v="2"/>
    <n v="2650.2919999999999"/>
    <n v="135464.50539999997"/>
    <n v="1026.2462530303028"/>
    <n v="43"/>
    <s v="High Value"/>
    <s v="Mar-2025"/>
    <s v="HD Smart TV Stick"/>
    <s v="Electronics"/>
    <x v="162"/>
  </r>
  <r>
    <s v="SALE1869"/>
    <d v="2025-05-17T00:00:00"/>
    <x v="47"/>
    <s v="PROD74"/>
    <s v="STORE8"/>
    <n v="3"/>
    <n v="943.24"/>
    <n v="0.21"/>
    <x v="0"/>
    <n v="2235.4787999999999"/>
    <n v="132814.21339999995"/>
    <n v="1013.848957251908"/>
    <n v="43"/>
    <s v="High Value"/>
    <s v="May-2025"/>
    <s v="Bluetooth Car Audio System"/>
    <s v="Electronics"/>
    <x v="47"/>
  </r>
  <r>
    <s v="SALE1870"/>
    <d v="2025-01-02T00:00:00"/>
    <x v="462"/>
    <s v="PROD0"/>
    <s v="STORE17"/>
    <n v="2"/>
    <n v="310.33"/>
    <n v="0.26"/>
    <x v="0"/>
    <n v="459.28840000000002"/>
    <n v="130578.73459999994"/>
    <n v="1004.4518046153842"/>
    <n v="43"/>
    <s v="Low Value"/>
    <s v="Jan-2025"/>
    <s v="Brother Laser Printer"/>
    <s v="Electronics"/>
    <x v="460"/>
  </r>
  <r>
    <s v="SALE1871"/>
    <d v="2024-07-28T00:00:00"/>
    <x v="3"/>
    <s v="PROD45"/>
    <s v="STORE0"/>
    <n v="3"/>
    <n v="201.05"/>
    <n v="0.23"/>
    <x v="1"/>
    <n v="464.42550000000011"/>
    <n v="130119.44619999995"/>
    <n v="1008.6778775193794"/>
    <n v="43"/>
    <s v="Low Value"/>
    <s v="Jul-2024"/>
    <s v="High-Grip Football"/>
    <s v="Sports"/>
    <x v="3"/>
  </r>
  <r>
    <s v="SALE1872"/>
    <d v="2024-04-26T00:00:00"/>
    <x v="487"/>
    <s v="PROD58"/>
    <s v="STORE17"/>
    <n v="1"/>
    <n v="803.37"/>
    <n v="0.3"/>
    <x v="1"/>
    <n v="562.35899999999992"/>
    <n v="129655.02069999994"/>
    <n v="1012.9298492187495"/>
    <n v="42"/>
    <s v="Low Value"/>
    <s v="Apr-2024"/>
    <s v="Womens Cotton Scarf"/>
    <s v="Clothing"/>
    <x v="485"/>
  </r>
  <r>
    <s v="SALE1873"/>
    <d v="2025-08-17T00:00:00"/>
    <x v="357"/>
    <s v="PROD61"/>
    <s v="STORE15"/>
    <n v="3"/>
    <n v="259.98"/>
    <n v="7.0000000000000007E-2"/>
    <x v="2"/>
    <n v="725.3442"/>
    <n v="129092.66169999994"/>
    <n v="1016.4776511811019"/>
    <n v="41"/>
    <s v="Low Value"/>
    <s v="Aug-2025"/>
    <s v="Tennis Ball 3-Pack"/>
    <s v="Sports"/>
    <x v="355"/>
  </r>
  <r>
    <s v="SALE1874"/>
    <d v="2024-05-14T00:00:00"/>
    <x v="377"/>
    <s v="PROD2"/>
    <s v="STORE3"/>
    <n v="4"/>
    <n v="591.9"/>
    <n v="0.2"/>
    <x v="1"/>
    <n v="1894.08"/>
    <n v="128367.31749999995"/>
    <n v="1018.7882341269838"/>
    <n v="41"/>
    <s v="High Value"/>
    <s v="May-2024"/>
    <s v="Women's Casual Hoodie"/>
    <s v="Clothing"/>
    <x v="375"/>
  </r>
  <r>
    <s v="SALE1875"/>
    <d v="2025-03-14T00:00:00"/>
    <x v="189"/>
    <s v="PROD60"/>
    <s v="STORE12"/>
    <n v="2"/>
    <n v="396.9"/>
    <n v="0.18"/>
    <x v="1"/>
    <n v="650.91600000000005"/>
    <n v="126473.23749999993"/>
    <n v="1011.7858999999994"/>
    <n v="40"/>
    <s v="Low Value"/>
    <s v="Mar-2025"/>
    <s v="Luxury Perfume Spray"/>
    <s v="Beauty"/>
    <x v="188"/>
  </r>
  <r>
    <s v="SALE1876"/>
    <d v="2025-03-15T00:00:00"/>
    <x v="32"/>
    <s v="PROD98"/>
    <s v="STORE2"/>
    <n v="1"/>
    <n v="176.84"/>
    <n v="0.19"/>
    <x v="0"/>
    <n v="143.24039999999999"/>
    <n v="125822.32149999993"/>
    <n v="1014.6961411290317"/>
    <n v="39"/>
    <s v="Low Value"/>
    <s v="Mar-2025"/>
    <s v="Portable Bluetooth Speaker"/>
    <s v="Electronics"/>
    <x v="32"/>
  </r>
  <r>
    <s v="SALE1877"/>
    <d v="2023-12-12T00:00:00"/>
    <x v="463"/>
    <s v="PROD26"/>
    <s v="STORE0"/>
    <n v="2"/>
    <n v="614.21"/>
    <n v="0.11"/>
    <x v="1"/>
    <n v="1093.2937999999999"/>
    <n v="125679.08109999994"/>
    <n v="1021.781147154471"/>
    <n v="39"/>
    <s v="High Value"/>
    <s v="Dec-2023"/>
    <s v="Wireless Bluetooth Speaker"/>
    <s v="Electronics"/>
    <x v="461"/>
  </r>
  <r>
    <s v="SALE1878"/>
    <d v="2024-10-19T00:00:00"/>
    <x v="140"/>
    <s v="PROD3"/>
    <s v="STORE7"/>
    <n v="3"/>
    <n v="604.66"/>
    <n v="0.18"/>
    <x v="2"/>
    <n v="1487.4636"/>
    <n v="124585.78729999995"/>
    <n v="1021.1949778688521"/>
    <n v="38"/>
    <s v="High Value"/>
    <s v="Oct-2024"/>
    <s v="Men's Running Jacket"/>
    <s v="Clothing"/>
    <x v="139"/>
  </r>
  <r>
    <s v="SALE1879"/>
    <d v="2024-08-30T00:00:00"/>
    <x v="106"/>
    <s v="PROD2"/>
    <s v="STORE12"/>
    <n v="3"/>
    <n v="24.29"/>
    <n v="0.12"/>
    <x v="1"/>
    <n v="64.125600000000006"/>
    <n v="123098.32369999996"/>
    <n v="1017.3415181818178"/>
    <n v="38"/>
    <s v="Low Value"/>
    <s v="Aug-2024"/>
    <s v="Women's Casual Hoodie"/>
    <s v="Clothing"/>
    <x v="105"/>
  </r>
  <r>
    <s v="SALE1880"/>
    <d v="2024-07-09T00:00:00"/>
    <x v="418"/>
    <s v="PROD63"/>
    <s v="STORE11"/>
    <n v="1"/>
    <n v="503.95"/>
    <n v="0.24"/>
    <x v="1"/>
    <n v="383.00200000000001"/>
    <n v="123034.19809999997"/>
    <n v="1025.2849841666664"/>
    <n v="37"/>
    <s v="Low Value"/>
    <s v="Jul-2024"/>
    <s v="Organic Sunscreen Lotion"/>
    <s v="Beauty"/>
    <x v="416"/>
  </r>
  <r>
    <s v="SALE1881"/>
    <d v="2024-07-02T00:00:00"/>
    <x v="133"/>
    <s v="PROD51"/>
    <s v="STORE14"/>
    <n v="4"/>
    <n v="860.78"/>
    <n v="0.03"/>
    <x v="0"/>
    <n v="3339.8263999999999"/>
    <n v="122651.19609999996"/>
    <n v="1030.6823201680668"/>
    <n v="36"/>
    <s v="High Value"/>
    <s v="Jul-2024"/>
    <s v="HDMI Cable – 2m"/>
    <s v="Electronics"/>
    <x v="132"/>
  </r>
  <r>
    <s v="SALE1882"/>
    <d v="2023-11-04T00:00:00"/>
    <x v="303"/>
    <s v="PROD42"/>
    <s v="STORE3"/>
    <n v="3"/>
    <n v="41.97"/>
    <n v="0.03"/>
    <x v="2"/>
    <n v="122.1327"/>
    <n v="119311.36969999998"/>
    <n v="1011.1133025423727"/>
    <n v="36"/>
    <s v="Low Value"/>
    <s v="Nov-2023"/>
    <s v="Smart Home WiFi Camera"/>
    <s v="Electronics"/>
    <x v="301"/>
  </r>
  <r>
    <s v="SALE1883"/>
    <d v="2024-04-15T00:00:00"/>
    <x v="153"/>
    <s v="PROD15"/>
    <s v="STORE5"/>
    <n v="1"/>
    <n v="649.59"/>
    <n v="0.12"/>
    <x v="2"/>
    <n v="571.63920000000007"/>
    <n v="119189.23699999998"/>
    <n v="1018.7114273504271"/>
    <n v="36"/>
    <s v="Low Value"/>
    <s v="Apr-2024"/>
    <s v="4K Home Projector"/>
    <s v="Electronics"/>
    <x v="152"/>
  </r>
  <r>
    <s v="SALE1884"/>
    <d v="2024-07-29T00:00:00"/>
    <x v="286"/>
    <s v="PROD63"/>
    <s v="STORE9"/>
    <n v="2"/>
    <n v="386.09"/>
    <n v="0.19"/>
    <x v="1"/>
    <n v="625.46579999999994"/>
    <n v="118617.59779999997"/>
    <n v="1022.5654982758618"/>
    <n v="36"/>
    <s v="Low Value"/>
    <s v="Jul-2024"/>
    <s v="Organic Sunscreen Lotion"/>
    <s v="Beauty"/>
    <x v="284"/>
  </r>
  <r>
    <s v="SALE1885"/>
    <d v="2024-12-18T00:00:00"/>
    <x v="179"/>
    <s v="PROD51"/>
    <s v="STORE12"/>
    <n v="1"/>
    <n v="891.62"/>
    <n v="0.06"/>
    <x v="1"/>
    <n v="838.12279999999998"/>
    <n v="117992.13199999998"/>
    <n v="1026.0185391304346"/>
    <n v="35"/>
    <s v="Low Value"/>
    <s v="Dec-2024"/>
    <s v="HDMI Cable – 2m"/>
    <s v="Electronics"/>
    <x v="178"/>
  </r>
  <r>
    <s v="SALE1886"/>
    <d v="2024-11-21T00:00:00"/>
    <x v="25"/>
    <s v="PROD64"/>
    <s v="STORE15"/>
    <n v="2"/>
    <n v="558.9"/>
    <n v="0.05"/>
    <x v="2"/>
    <n v="1061.9100000000001"/>
    <n v="117154.00919999999"/>
    <n v="1027.6667473684208"/>
    <n v="34"/>
    <s v="High Value"/>
    <s v="Nov-2024"/>
    <s v="Matte Lipstick Set"/>
    <s v="Beauty"/>
    <x v="25"/>
  </r>
  <r>
    <s v="SALE1887"/>
    <d v="2025-05-20T00:00:00"/>
    <x v="316"/>
    <s v="PROD1"/>
    <s v="STORE3"/>
    <n v="2"/>
    <n v="99.04"/>
    <n v="0.26"/>
    <x v="2"/>
    <n v="146.57919999999999"/>
    <n v="116092.09919999998"/>
    <n v="1027.3637097345131"/>
    <n v="34"/>
    <s v="Low Value"/>
    <s v="May-2025"/>
    <s v="Men's Graphic T-Shirt"/>
    <s v="Clothing"/>
    <x v="314"/>
  </r>
  <r>
    <s v="SALE1888"/>
    <d v="2025-03-24T00:00:00"/>
    <x v="469"/>
    <s v="PROD3"/>
    <s v="STORE8"/>
    <n v="4"/>
    <n v="625.13"/>
    <n v="0.06"/>
    <x v="0"/>
    <n v="2350.4888000000001"/>
    <n v="115945.51999999997"/>
    <n v="1035.2278571428569"/>
    <n v="34"/>
    <s v="High Value"/>
    <s v="Mar-2025"/>
    <s v="Men's Running Jacket"/>
    <s v="Clothing"/>
    <x v="467"/>
  </r>
  <r>
    <s v="SALE1889"/>
    <d v="2025-06-16T00:00:00"/>
    <x v="357"/>
    <s v="PROD40"/>
    <s v="STORE18"/>
    <n v="4"/>
    <n v="38.380000000000003"/>
    <n v="0.16"/>
    <x v="2"/>
    <n v="128.95679999999999"/>
    <n v="113595.03119999998"/>
    <n v="1023.3786594594593"/>
    <n v="34"/>
    <s v="Low Value"/>
    <s v="Jun-2025"/>
    <s v="Noise-Canceling Headphones"/>
    <s v="Electronics"/>
    <x v="355"/>
  </r>
  <r>
    <s v="SALE1890"/>
    <d v="2024-04-22T00:00:00"/>
    <x v="36"/>
    <s v="PROD94"/>
    <s v="STORE10"/>
    <n v="4"/>
    <n v="731.72"/>
    <n v="0.22"/>
    <x v="2"/>
    <n v="2282.9663999999998"/>
    <n v="113466.07439999998"/>
    <n v="1031.5097672727272"/>
    <n v="34"/>
    <s v="High Value"/>
    <s v="Apr-2024"/>
    <s v="Vitamin E Body Lotion"/>
    <s v="Beauty"/>
    <x v="36"/>
  </r>
  <r>
    <s v="SALE1891"/>
    <d v="2025-09-16T00:00:00"/>
    <x v="414"/>
    <s v="PROD81"/>
    <s v="STORE19"/>
    <n v="3"/>
    <n v="825.33"/>
    <n v="0.21"/>
    <x v="0"/>
    <n v="1956.0320999999999"/>
    <n v="111183.10799999996"/>
    <n v="1020.0285137614676"/>
    <n v="34"/>
    <s v="High Value"/>
    <s v="Sep-2025"/>
    <s v="Badminton Racket Set"/>
    <s v="Sports"/>
    <x v="412"/>
  </r>
  <r>
    <s v="SALE1892"/>
    <d v="2023-12-09T00:00:00"/>
    <x v="358"/>
    <s v="PROD70"/>
    <s v="STORE14"/>
    <n v="2"/>
    <n v="47.3"/>
    <n v="0.01"/>
    <x v="1"/>
    <n v="93.653999999999996"/>
    <n v="109227.07589999995"/>
    <n v="1011.3618138888885"/>
    <n v="34"/>
    <s v="Low Value"/>
    <s v="Dec-2023"/>
    <s v="Kitchen Storage Rack"/>
    <s v="Home"/>
    <x v="356"/>
  </r>
  <r>
    <s v="SALE1893"/>
    <d v="2024-07-20T00:00:00"/>
    <x v="120"/>
    <s v="PROD72"/>
    <s v="STORE17"/>
    <n v="1"/>
    <n v="389.12"/>
    <n v="0.18"/>
    <x v="1"/>
    <n v="319.07839999999999"/>
    <n v="109133.42189999996"/>
    <n v="1019.9385224299061"/>
    <n v="33"/>
    <s v="Low Value"/>
    <s v="Jul-2024"/>
    <s v="Professional Jump Rope"/>
    <s v="Sports"/>
    <x v="119"/>
  </r>
  <r>
    <s v="SALE1894"/>
    <d v="2024-09-23T00:00:00"/>
    <x v="246"/>
    <s v="PROD82"/>
    <s v="STORE18"/>
    <n v="3"/>
    <n v="543.83000000000004"/>
    <n v="0.05"/>
    <x v="0"/>
    <n v="1549.9155000000001"/>
    <n v="108814.34349999996"/>
    <n v="1026.550410377358"/>
    <n v="32"/>
    <s v="High Value"/>
    <s v="Sep-2024"/>
    <s v="Fitness Resistance Bands"/>
    <s v="Sports"/>
    <x v="245"/>
  </r>
  <r>
    <s v="SALE1895"/>
    <d v="2024-05-11T00:00:00"/>
    <x v="385"/>
    <s v="PROD14"/>
    <s v="STORE1"/>
    <n v="2"/>
    <n v="660.27"/>
    <n v="0.01"/>
    <x v="1"/>
    <n v="1307.3345999999999"/>
    <n v="107264.42799999996"/>
    <n v="1021.5659809523805"/>
    <n v="32"/>
    <s v="High Value"/>
    <s v="May-2024"/>
    <s v="Decorative Wall Mirror"/>
    <s v="Home"/>
    <x v="383"/>
  </r>
  <r>
    <s v="SALE1896"/>
    <d v="2025-05-03T00:00:00"/>
    <x v="490"/>
    <s v="PROD13"/>
    <s v="STORE8"/>
    <n v="4"/>
    <n v="729.31"/>
    <n v="0.03"/>
    <x v="0"/>
    <n v="2829.7228"/>
    <n v="105957.09339999995"/>
    <n v="1018.8182057692303"/>
    <n v="31"/>
    <s v="High Value"/>
    <s v="May-2025"/>
    <s v="USB-C Fast Charger"/>
    <s v="Electronics"/>
    <x v="488"/>
  </r>
  <r>
    <s v="SALE1897"/>
    <d v="2024-02-23T00:00:00"/>
    <x v="436"/>
    <s v="PROD87"/>
    <s v="STORE6"/>
    <n v="2"/>
    <n v="152.91"/>
    <n v="0.24"/>
    <x v="1"/>
    <n v="232.42320000000001"/>
    <n v="103127.37059999997"/>
    <n v="1001.23660776699"/>
    <n v="31"/>
    <s v="Low Value"/>
    <s v="Feb-2024"/>
    <s v="LED Bedside Lamp"/>
    <s v="Home"/>
    <x v="434"/>
  </r>
  <r>
    <s v="SALE1898"/>
    <d v="2024-02-22T00:00:00"/>
    <x v="343"/>
    <s v="PROD74"/>
    <s v="STORE15"/>
    <n v="4"/>
    <n v="592.14"/>
    <n v="0.12"/>
    <x v="2"/>
    <n v="2084.3328000000001"/>
    <n v="102894.94739999996"/>
    <n v="1008.7739941176467"/>
    <n v="30"/>
    <s v="High Value"/>
    <s v="Feb-2024"/>
    <s v="Bluetooth Car Audio System"/>
    <s v="Electronics"/>
    <x v="341"/>
  </r>
  <r>
    <s v="SALE1899"/>
    <d v="2024-08-21T00:00:00"/>
    <x v="336"/>
    <s v="PROD78"/>
    <s v="STORE12"/>
    <n v="1"/>
    <n v="984.37"/>
    <n v="0"/>
    <x v="1"/>
    <n v="984.37"/>
    <n v="100810.61459999996"/>
    <n v="998.12489702970254"/>
    <n v="30"/>
    <s v="Low Value"/>
    <s v="Aug-2024"/>
    <s v="Essential Oil Diffuser"/>
    <s v="Home"/>
    <x v="334"/>
  </r>
  <r>
    <s v="SALE1900"/>
    <d v="2024-02-07T00:00:00"/>
    <x v="404"/>
    <s v="PROD1"/>
    <s v="STORE12"/>
    <n v="2"/>
    <n v="237.59"/>
    <n v="0.12"/>
    <x v="0"/>
    <n v="418.15839999999997"/>
    <n v="99826.244599999962"/>
    <n v="998.26244599999961"/>
    <n v="29"/>
    <s v="Low Value"/>
    <s v="Feb-2024"/>
    <s v="Men's Graphic T-Shirt"/>
    <s v="Clothing"/>
    <x v="402"/>
  </r>
  <r>
    <s v="SALE1901"/>
    <d v="2023-11-20T00:00:00"/>
    <x v="38"/>
    <s v="PROD25"/>
    <s v="STORE8"/>
    <n v="1"/>
    <n v="52.06"/>
    <n v="0.27"/>
    <x v="2"/>
    <n v="38.003799999999998"/>
    <n v="99408.086199999962"/>
    <n v="1004.1220828282825"/>
    <n v="29"/>
    <s v="Low Value"/>
    <s v="Nov-2023"/>
    <s v="Women's Scarf Set"/>
    <s v="Clothing"/>
    <x v="38"/>
  </r>
  <r>
    <s v="SALE1902"/>
    <d v="2025-02-03T00:00:00"/>
    <x v="264"/>
    <s v="PROD3"/>
    <s v="STORE1"/>
    <n v="2"/>
    <n v="594.63"/>
    <n v="0.12"/>
    <x v="0"/>
    <n v="1046.5488"/>
    <n v="99370.082399999956"/>
    <n v="1013.9804326530608"/>
    <n v="29"/>
    <s v="High Value"/>
    <s v="Feb-2025"/>
    <s v="Men's Running Jacket"/>
    <s v="Clothing"/>
    <x v="263"/>
  </r>
  <r>
    <s v="SALE1903"/>
    <d v="2024-12-18T00:00:00"/>
    <x v="313"/>
    <s v="PROD3"/>
    <s v="STORE0"/>
    <n v="3"/>
    <n v="476.1"/>
    <n v="0.05"/>
    <x v="2"/>
    <n v="1356.885"/>
    <n v="98323.533599999966"/>
    <n v="1013.6446762886594"/>
    <n v="29"/>
    <s v="High Value"/>
    <s v="Dec-2024"/>
    <s v="Men's Running Jacket"/>
    <s v="Clothing"/>
    <x v="311"/>
  </r>
  <r>
    <s v="SALE1904"/>
    <d v="2024-08-10T00:00:00"/>
    <x v="252"/>
    <s v="PROD61"/>
    <s v="STORE6"/>
    <n v="1"/>
    <n v="546.47"/>
    <n v="0.08"/>
    <x v="2"/>
    <n v="502.75240000000002"/>
    <n v="96966.648599999986"/>
    <n v="1010.0692562499999"/>
    <n v="29"/>
    <s v="Low Value"/>
    <s v="Aug-2024"/>
    <s v="Tennis Ball 3-Pack"/>
    <s v="Sports"/>
    <x v="251"/>
  </r>
  <r>
    <s v="SALE1905"/>
    <d v="2025-04-13T00:00:00"/>
    <x v="72"/>
    <s v="PROD75"/>
    <s v="STORE12"/>
    <n v="1"/>
    <n v="979.49"/>
    <n v="0.19"/>
    <x v="2"/>
    <n v="793.38690000000008"/>
    <n v="96463.896199999974"/>
    <n v="1015.4094336842103"/>
    <n v="29"/>
    <s v="Low Value"/>
    <s v="Apr-2025"/>
    <s v="Women's Ankle Boots"/>
    <s v="Clothing"/>
    <x v="71"/>
  </r>
  <r>
    <s v="SALE1906"/>
    <d v="2023-12-29T00:00:00"/>
    <x v="425"/>
    <s v="PROD17"/>
    <s v="STORE2"/>
    <n v="3"/>
    <n v="988.53"/>
    <n v="0.3"/>
    <x v="2"/>
    <n v="2075.913"/>
    <n v="95670.509299999976"/>
    <n v="1017.7713755319146"/>
    <n v="29"/>
    <s v="High Value"/>
    <s v="Dec-2023"/>
    <s v="Soccer Training Cone Set"/>
    <s v="Sports"/>
    <x v="423"/>
  </r>
  <r>
    <s v="SALE1907"/>
    <d v="2025-02-16T00:00:00"/>
    <x v="57"/>
    <s v="PROD76"/>
    <s v="STORE3"/>
    <n v="4"/>
    <n v="849.29"/>
    <n v="0.26"/>
    <x v="0"/>
    <n v="2513.8984"/>
    <n v="93594.59629999999"/>
    <n v="1006.3935086021504"/>
    <n v="29"/>
    <s v="High Value"/>
    <s v="Feb-2025"/>
    <s v="Wireless Mouse"/>
    <s v="Electronics"/>
    <x v="57"/>
  </r>
  <r>
    <s v="SALE1908"/>
    <d v="2024-01-27T00:00:00"/>
    <x v="110"/>
    <s v="PROD95"/>
    <s v="STORE14"/>
    <n v="2"/>
    <n v="452.29"/>
    <n v="0.01"/>
    <x v="2"/>
    <n v="895.53420000000006"/>
    <n v="91080.697899999985"/>
    <n v="990.0075858695651"/>
    <n v="29"/>
    <s v="Low Value"/>
    <s v="Jan-2024"/>
    <s v="Sports Stopwatch Basic"/>
    <s v="Sports"/>
    <x v="109"/>
  </r>
  <r>
    <s v="SALE1909"/>
    <d v="2024-07-22T00:00:00"/>
    <x v="312"/>
    <s v="PROD54"/>
    <s v="STORE18"/>
    <n v="2"/>
    <n v="810.81"/>
    <n v="0.11"/>
    <x v="2"/>
    <n v="1443.2418"/>
    <n v="90185.163699999976"/>
    <n v="991.04575494505468"/>
    <n v="29"/>
    <s v="High Value"/>
    <s v="Jul-2024"/>
    <s v="Sports Stopwatch Pro"/>
    <s v="Sports"/>
    <x v="310"/>
  </r>
  <r>
    <s v="SALE1910"/>
    <d v="2024-09-25T00:00:00"/>
    <x v="189"/>
    <s v="PROD61"/>
    <s v="STORE8"/>
    <n v="1"/>
    <n v="846.67"/>
    <n v="0.1"/>
    <x v="2"/>
    <n v="762.00299999999993"/>
    <n v="88741.921899999987"/>
    <n v="986.02135444444434"/>
    <n v="29"/>
    <s v="Low Value"/>
    <s v="Sep-2024"/>
    <s v="Tennis Ball 3-Pack"/>
    <s v="Sports"/>
    <x v="188"/>
  </r>
  <r>
    <s v="SALE1911"/>
    <d v="2024-03-16T00:00:00"/>
    <x v="223"/>
    <s v="PROD24"/>
    <s v="STORE6"/>
    <n v="4"/>
    <n v="73.55"/>
    <n v="0.24"/>
    <x v="2"/>
    <n v="223.59200000000001"/>
    <n v="87979.91889999999"/>
    <n v="988.53841460674141"/>
    <n v="29"/>
    <s v="Low Value"/>
    <s v="Mar-2024"/>
    <s v="Foldable Camping Chair"/>
    <s v="Sports"/>
    <x v="222"/>
  </r>
  <r>
    <s v="SALE1912"/>
    <d v="2025-07-23T00:00:00"/>
    <x v="335"/>
    <s v="PROD92"/>
    <s v="STORE6"/>
    <n v="1"/>
    <n v="882.03"/>
    <n v="0.04"/>
    <x v="2"/>
    <n v="846.74879999999996"/>
    <n v="87756.326899999985"/>
    <n v="997.23098749999986"/>
    <n v="29"/>
    <s v="Low Value"/>
    <s v="Jul-2025"/>
    <s v="Microwave Oven"/>
    <s v="Home"/>
    <x v="333"/>
  </r>
  <r>
    <s v="SALE1913"/>
    <d v="2024-10-24T00:00:00"/>
    <x v="46"/>
    <s v="PROD22"/>
    <s v="STORE14"/>
    <n v="1"/>
    <n v="958.44"/>
    <n v="0.21"/>
    <x v="0"/>
    <n v="757.16760000000011"/>
    <n v="86909.57809999997"/>
    <n v="998.96066781609159"/>
    <n v="29"/>
    <s v="Low Value"/>
    <s v="Oct-2024"/>
    <s v="Carbon Fiber Tennis Racket"/>
    <s v="Sports"/>
    <x v="46"/>
  </r>
  <r>
    <s v="SALE1914"/>
    <d v="2024-09-25T00:00:00"/>
    <x v="46"/>
    <s v="PROD99"/>
    <s v="STORE2"/>
    <n v="1"/>
    <n v="716.29"/>
    <n v="0.01"/>
    <x v="1"/>
    <n v="709.12709999999993"/>
    <n v="86152.410499999969"/>
    <n v="1001.7722151162787"/>
    <n v="29"/>
    <s v="Low Value"/>
    <s v="Sep-2024"/>
    <s v="Stainless Steel Cookware Set"/>
    <s v="Home"/>
    <x v="46"/>
  </r>
  <r>
    <s v="SALE1915"/>
    <d v="2024-04-26T00:00:00"/>
    <x v="162"/>
    <s v="PROD9"/>
    <s v="STORE16"/>
    <n v="2"/>
    <n v="409.14"/>
    <n v="0.01"/>
    <x v="1"/>
    <n v="810.09719999999993"/>
    <n v="85443.283399999971"/>
    <n v="1005.215098823529"/>
    <n v="28"/>
    <s v="Low Value"/>
    <s v="Apr-2024"/>
    <s v="Adjustable Dumbbell Set"/>
    <s v="Sports"/>
    <x v="161"/>
  </r>
  <r>
    <s v="SALE1916"/>
    <d v="2025-02-26T00:00:00"/>
    <x v="42"/>
    <s v="PROD99"/>
    <s v="STORE9"/>
    <n v="4"/>
    <n v="261.73"/>
    <n v="0.1"/>
    <x v="1"/>
    <n v="942.22800000000007"/>
    <n v="84633.186199999967"/>
    <n v="1007.5379309523805"/>
    <n v="27"/>
    <s v="Low Value"/>
    <s v="Feb-2025"/>
    <s v="Stainless Steel Cookware Set"/>
    <s v="Home"/>
    <x v="42"/>
  </r>
  <r>
    <s v="SALE1917"/>
    <d v="2025-01-04T00:00:00"/>
    <x v="220"/>
    <s v="PROD12"/>
    <s v="STORE0"/>
    <n v="2"/>
    <n v="687.35"/>
    <n v="0.2"/>
    <x v="2"/>
    <n v="1099.76"/>
    <n v="83690.958199999965"/>
    <n v="1008.3247975903611"/>
    <n v="26"/>
    <s v="High Value"/>
    <s v="Jan-2025"/>
    <s v="Hair Strengthening Shampoo"/>
    <s v="Beauty"/>
    <x v="219"/>
  </r>
  <r>
    <s v="SALE1918"/>
    <d v="2025-09-21T00:00:00"/>
    <x v="477"/>
    <s v="PROD84"/>
    <s v="STORE8"/>
    <n v="2"/>
    <n v="30.14"/>
    <n v="0.21"/>
    <x v="0"/>
    <n v="47.621200000000002"/>
    <n v="82591.198199999955"/>
    <n v="1007.2097341463409"/>
    <n v="26"/>
    <s v="Low Value"/>
    <s v="Sep-2025"/>
    <s v="Wooden Bookshelf"/>
    <s v="Home"/>
    <x v="475"/>
  </r>
  <r>
    <s v="SALE1919"/>
    <d v="2024-12-25T00:00:00"/>
    <x v="179"/>
    <s v="PROD34"/>
    <s v="STORE8"/>
    <n v="3"/>
    <n v="570.12"/>
    <n v="0.12"/>
    <x v="1"/>
    <n v="1505.1168"/>
    <n v="82543.576999999961"/>
    <n v="1019.056506172839"/>
    <n v="26"/>
    <s v="High Value"/>
    <s v="Dec-2024"/>
    <s v="Gaming Mechanical Keyboard"/>
    <s v="Electronics"/>
    <x v="178"/>
  </r>
  <r>
    <s v="SALE1920"/>
    <d v="2025-08-14T00:00:00"/>
    <x v="373"/>
    <s v="PROD77"/>
    <s v="STORE19"/>
    <n v="3"/>
    <n v="401.87"/>
    <n v="0.28999999999999998"/>
    <x v="2"/>
    <n v="855.98310000000004"/>
    <n v="81038.460199999972"/>
    <n v="1012.9807524999997"/>
    <n v="25"/>
    <s v="Low Value"/>
    <s v="Aug-2025"/>
    <s v="WiFi Mesh Router"/>
    <s v="Electronics"/>
    <x v="371"/>
  </r>
  <r>
    <s v="SALE1921"/>
    <d v="2024-11-28T00:00:00"/>
    <x v="111"/>
    <s v="PROD79"/>
    <s v="STORE12"/>
    <n v="4"/>
    <n v="619.35"/>
    <n v="0.3"/>
    <x v="0"/>
    <n v="1734.18"/>
    <n v="80182.477099999989"/>
    <n v="1014.9680645569618"/>
    <n v="25"/>
    <s v="High Value"/>
    <s v="Nov-2024"/>
    <s v="Decorative Lamp Shade"/>
    <s v="Home"/>
    <x v="110"/>
  </r>
  <r>
    <s v="SALE1922"/>
    <d v="2023-12-16T00:00:00"/>
    <x v="400"/>
    <s v="PROD46"/>
    <s v="STORE17"/>
    <n v="4"/>
    <n v="569.36"/>
    <n v="0.27"/>
    <x v="1"/>
    <n v="1662.5311999999999"/>
    <n v="78448.297099999996"/>
    <n v="1005.7473987179486"/>
    <n v="25"/>
    <s v="High Value"/>
    <s v="Dec-2023"/>
    <s v="Men's Winter Jacket"/>
    <s v="Clothing"/>
    <x v="398"/>
  </r>
  <r>
    <s v="SALE1923"/>
    <d v="2024-02-22T00:00:00"/>
    <x v="22"/>
    <s v="PROD27"/>
    <s v="STORE4"/>
    <n v="2"/>
    <n v="846.35"/>
    <n v="0.3"/>
    <x v="2"/>
    <n v="1184.8900000000001"/>
    <n v="76785.765899999999"/>
    <n v="997.21773896103889"/>
    <n v="24"/>
    <s v="High Value"/>
    <s v="Feb-2024"/>
    <s v="Decorative Floor Vase"/>
    <s v="Home"/>
    <x v="22"/>
  </r>
  <r>
    <s v="SALE1924"/>
    <d v="2025-07-11T00:00:00"/>
    <x v="490"/>
    <s v="PROD30"/>
    <s v="STORE2"/>
    <n v="1"/>
    <n v="788.45"/>
    <n v="0.28999999999999998"/>
    <x v="1"/>
    <n v="559.79949999999997"/>
    <n v="75600.875899999999"/>
    <n v="994.74836710526313"/>
    <n v="24"/>
    <s v="Low Value"/>
    <s v="Jul-2025"/>
    <s v="Stainless Steel Cutlery Set"/>
    <s v="Home"/>
    <x v="488"/>
  </r>
  <r>
    <s v="SALE1925"/>
    <d v="2025-08-11T00:00:00"/>
    <x v="258"/>
    <s v="PROD35"/>
    <s v="STORE12"/>
    <n v="2"/>
    <n v="338.81"/>
    <n v="7.0000000000000007E-2"/>
    <x v="2"/>
    <n v="630.1866"/>
    <n v="75041.076400000005"/>
    <n v="1000.5476853333334"/>
    <n v="23"/>
    <s v="Low Value"/>
    <s v="Aug-2025"/>
    <s v="Bedroom Table Lamp"/>
    <s v="Home"/>
    <x v="257"/>
  </r>
  <r>
    <s v="SALE1926"/>
    <d v="2025-09-07T00:00:00"/>
    <x v="339"/>
    <s v="PROD14"/>
    <s v="STORE5"/>
    <n v="4"/>
    <n v="94.48"/>
    <n v="0.06"/>
    <x v="2"/>
    <n v="355.2448"/>
    <n v="74410.889800000004"/>
    <n v="1005.552564864865"/>
    <n v="23"/>
    <s v="Low Value"/>
    <s v="Sep-2025"/>
    <s v="Decorative Wall Mirror"/>
    <s v="Home"/>
    <x v="337"/>
  </r>
  <r>
    <s v="SALE1927"/>
    <d v="2024-09-10T00:00:00"/>
    <x v="292"/>
    <s v="PROD19"/>
    <s v="STORE13"/>
    <n v="3"/>
    <n v="941.85"/>
    <n v="0.16"/>
    <x v="1"/>
    <n v="2373.462"/>
    <n v="74055.645000000004"/>
    <n v="1014.460890410959"/>
    <n v="23"/>
    <s v="High Value"/>
    <s v="Sep-2024"/>
    <s v="Knee Support Brace"/>
    <s v="Sports"/>
    <x v="290"/>
  </r>
  <r>
    <s v="SALE1928"/>
    <d v="2023-11-27T00:00:00"/>
    <x v="261"/>
    <s v="PROD45"/>
    <s v="STORE5"/>
    <n v="2"/>
    <n v="336.97"/>
    <n v="0.14000000000000001"/>
    <x v="1"/>
    <n v="579.58840000000009"/>
    <n v="71682.183000000019"/>
    <n v="995.58587500000021"/>
    <n v="22"/>
    <s v="Low Value"/>
    <s v="Nov-2023"/>
    <s v="High-Grip Football"/>
    <s v="Sports"/>
    <x v="260"/>
  </r>
  <r>
    <s v="SALE1929"/>
    <d v="2024-06-23T00:00:00"/>
    <x v="441"/>
    <s v="PROD5"/>
    <s v="STORE5"/>
    <n v="2"/>
    <n v="344.16"/>
    <n v="0.09"/>
    <x v="1"/>
    <n v="626.37120000000004"/>
    <n v="71102.594600000011"/>
    <n v="1001.4449943661973"/>
    <n v="21"/>
    <s v="Low Value"/>
    <s v="Jun-2024"/>
    <s v="Men's Leather Belt"/>
    <s v="Clothing"/>
    <x v="439"/>
  </r>
  <r>
    <s v="SALE1930"/>
    <d v="2025-07-09T00:00:00"/>
    <x v="301"/>
    <s v="PROD48"/>
    <s v="STORE9"/>
    <n v="1"/>
    <n v="841.53"/>
    <n v="0.15"/>
    <x v="0"/>
    <n v="715.30049999999994"/>
    <n v="70476.223400000003"/>
    <n v="1006.8031914285715"/>
    <n v="20"/>
    <s v="Low Value"/>
    <s v="Jul-2025"/>
    <s v="Car Dashboard Phone Holder"/>
    <s v="Electronics"/>
    <x v="299"/>
  </r>
  <r>
    <s v="SALE1931"/>
    <d v="2025-06-17T00:00:00"/>
    <x v="161"/>
    <s v="PROD83"/>
    <s v="STORE17"/>
    <n v="3"/>
    <n v="63.36"/>
    <n v="0.28999999999999998"/>
    <x v="2"/>
    <n v="134.95679999999999"/>
    <n v="69760.922900000005"/>
    <n v="1011.0278681159421"/>
    <n v="20"/>
    <s v="Low Value"/>
    <s v="Jun-2025"/>
    <s v="Hydrating Face Cleanser"/>
    <s v="Beauty"/>
    <x v="160"/>
  </r>
  <r>
    <s v="SALE1932"/>
    <d v="2025-07-01T00:00:00"/>
    <x v="111"/>
    <s v="PROD78"/>
    <s v="STORE8"/>
    <n v="2"/>
    <n v="552.49"/>
    <n v="0.1"/>
    <x v="0"/>
    <n v="994.48200000000008"/>
    <n v="69625.96610000002"/>
    <n v="1023.9112661764709"/>
    <n v="20"/>
    <s v="Low Value"/>
    <s v="Jul-2025"/>
    <s v="Essential Oil Diffuser"/>
    <s v="Home"/>
    <x v="110"/>
  </r>
  <r>
    <s v="SALE1933"/>
    <d v="2025-03-04T00:00:00"/>
    <x v="471"/>
    <s v="PROD24"/>
    <s v="STORE6"/>
    <n v="3"/>
    <n v="447.38"/>
    <n v="0.03"/>
    <x v="0"/>
    <n v="1301.8758"/>
    <n v="68631.484100000031"/>
    <n v="1024.3505089552243"/>
    <n v="20"/>
    <s v="High Value"/>
    <s v="Mar-2025"/>
    <s v="Foldable Camping Chair"/>
    <s v="Sports"/>
    <x v="469"/>
  </r>
  <r>
    <s v="SALE1934"/>
    <d v="2023-11-20T00:00:00"/>
    <x v="457"/>
    <s v="PROD73"/>
    <s v="STORE19"/>
    <n v="1"/>
    <n v="727.7"/>
    <n v="0.21"/>
    <x v="2"/>
    <n v="574.88300000000004"/>
    <n v="67329.608300000022"/>
    <n v="1020.1455803030307"/>
    <n v="20"/>
    <s v="Low Value"/>
    <s v="Nov-2023"/>
    <s v="Shin Guards – Adult"/>
    <s v="Sports"/>
    <x v="455"/>
  </r>
  <r>
    <s v="SALE1935"/>
    <d v="2023-11-28T00:00:00"/>
    <x v="439"/>
    <s v="PROD51"/>
    <s v="STORE7"/>
    <n v="4"/>
    <n v="581.34"/>
    <n v="0.08"/>
    <x v="0"/>
    <n v="2139.3312000000001"/>
    <n v="66754.72530000002"/>
    <n v="1026.9957738461542"/>
    <n v="20"/>
    <s v="High Value"/>
    <s v="Nov-2023"/>
    <s v="HDMI Cable – 2m"/>
    <s v="Electronics"/>
    <x v="437"/>
  </r>
  <r>
    <s v="SALE1936"/>
    <d v="2025-05-16T00:00:00"/>
    <x v="181"/>
    <s v="PROD66"/>
    <s v="STORE1"/>
    <n v="1"/>
    <n v="338.83"/>
    <n v="0.19"/>
    <x v="1"/>
    <n v="274.45229999999998"/>
    <n v="64615.39410000002"/>
    <n v="1009.6155328125003"/>
    <n v="20"/>
    <s v="Low Value"/>
    <s v="May-2025"/>
    <s v="Women's Hair Dryer Brush"/>
    <s v="Beauty"/>
    <x v="180"/>
  </r>
  <r>
    <s v="SALE1937"/>
    <d v="2023-12-05T00:00:00"/>
    <x v="380"/>
    <s v="PROD49"/>
    <s v="STORE13"/>
    <n v="4"/>
    <n v="568.80999999999995"/>
    <n v="0.25"/>
    <x v="0"/>
    <n v="1706.43"/>
    <n v="64340.941800000015"/>
    <n v="1021.2847904761907"/>
    <n v="19"/>
    <s v="High Value"/>
    <s v="Dec-2023"/>
    <s v="Men's Roll-On Perfume"/>
    <s v="Beauty"/>
    <x v="378"/>
  </r>
  <r>
    <s v="SALE1938"/>
    <d v="2024-11-11T00:00:00"/>
    <x v="446"/>
    <s v="PROD61"/>
    <s v="STORE17"/>
    <n v="2"/>
    <n v="352.63"/>
    <n v="0.15"/>
    <x v="1"/>
    <n v="599.471"/>
    <n v="62634.511800000022"/>
    <n v="1010.234061290323"/>
    <n v="19"/>
    <s v="Low Value"/>
    <s v="Nov-2024"/>
    <s v="Tennis Ball 3-Pack"/>
    <s v="Sports"/>
    <x v="444"/>
  </r>
  <r>
    <s v="SALE1939"/>
    <d v="2024-03-31T00:00:00"/>
    <x v="308"/>
    <s v="PROD96"/>
    <s v="STORE13"/>
    <n v="2"/>
    <n v="629.86"/>
    <n v="0.15"/>
    <x v="1"/>
    <n v="1070.7619999999999"/>
    <n v="62035.040800000017"/>
    <n v="1016.9678819672134"/>
    <n v="18"/>
    <s v="High Value"/>
    <s v="Mar-2024"/>
    <s v="Women's Formal Blazer"/>
    <s v="Clothing"/>
    <x v="306"/>
  </r>
  <r>
    <s v="SALE1940"/>
    <d v="2025-05-16T00:00:00"/>
    <x v="4"/>
    <s v="PROD98"/>
    <s v="STORE3"/>
    <n v="3"/>
    <n v="212.08"/>
    <n v="7.0000000000000007E-2"/>
    <x v="0"/>
    <n v="591.70319999999992"/>
    <n v="60964.278800000015"/>
    <n v="1016.0713133333336"/>
    <n v="17"/>
    <s v="Low Value"/>
    <s v="May-2025"/>
    <s v="Portable Bluetooth Speaker"/>
    <s v="Electronics"/>
    <x v="4"/>
  </r>
  <r>
    <s v="SALE1941"/>
    <d v="2024-10-25T00:00:00"/>
    <x v="261"/>
    <s v="PROD57"/>
    <s v="STORE2"/>
    <n v="3"/>
    <n v="878.62"/>
    <n v="0.05"/>
    <x v="1"/>
    <n v="2504.067"/>
    <n v="60372.575600000011"/>
    <n v="1023.2639932203392"/>
    <n v="17"/>
    <s v="High Value"/>
    <s v="Oct-2024"/>
    <s v="Foam Roller"/>
    <s v="Sports"/>
    <x v="260"/>
  </r>
  <r>
    <s v="SALE1942"/>
    <d v="2025-01-22T00:00:00"/>
    <x v="321"/>
    <s v="PROD80"/>
    <s v="STORE10"/>
    <n v="4"/>
    <n v="87.83"/>
    <n v="0.23"/>
    <x v="1"/>
    <n v="270.51639999999998"/>
    <n v="57868.50860000003"/>
    <n v="997.73290689655221"/>
    <n v="16"/>
    <s v="Low Value"/>
    <s v="Jan-2025"/>
    <s v="Wall-Mounted Spice Rack"/>
    <s v="Home"/>
    <x v="319"/>
  </r>
  <r>
    <s v="SALE1943"/>
    <d v="2025-06-06T00:00:00"/>
    <x v="185"/>
    <s v="PROD56"/>
    <s v="STORE9"/>
    <n v="3"/>
    <n v="442.64"/>
    <n v="0.15"/>
    <x v="2"/>
    <n v="1128.732"/>
    <n v="57597.992200000022"/>
    <n v="1010.4910912280706"/>
    <n v="15"/>
    <s v="High Value"/>
    <s v="Jun-2025"/>
    <s v="Premium Blanket Throw"/>
    <s v="Home"/>
    <x v="184"/>
  </r>
  <r>
    <s v="SALE1944"/>
    <d v="2025-05-18T00:00:00"/>
    <x v="126"/>
    <s v="PROD38"/>
    <s v="STORE2"/>
    <n v="3"/>
    <n v="410.04"/>
    <n v="0.09"/>
    <x v="2"/>
    <n v="1119.4092000000001"/>
    <n v="56469.260200000019"/>
    <n v="1008.3796464285717"/>
    <n v="15"/>
    <s v="High Value"/>
    <s v="May-2025"/>
    <s v="Sports Water Hydration Pack"/>
    <s v="Sports"/>
    <x v="125"/>
  </r>
  <r>
    <s v="SALE1945"/>
    <d v="2025-05-20T00:00:00"/>
    <x v="244"/>
    <s v="PROD94"/>
    <s v="STORE17"/>
    <n v="1"/>
    <n v="355.31"/>
    <n v="0.27"/>
    <x v="0"/>
    <n v="259.37630000000001"/>
    <n v="55349.851000000024"/>
    <n v="1006.3609272727277"/>
    <n v="15"/>
    <s v="Low Value"/>
    <s v="May-2025"/>
    <s v="Vitamin E Body Lotion"/>
    <s v="Beauty"/>
    <x v="243"/>
  </r>
  <r>
    <s v="SALE1946"/>
    <d v="2024-11-11T00:00:00"/>
    <x v="365"/>
    <s v="PROD9"/>
    <s v="STORE13"/>
    <n v="4"/>
    <n v="243.13"/>
    <n v="0.25"/>
    <x v="2"/>
    <n v="729.39"/>
    <n v="55090.474700000021"/>
    <n v="1020.1939759259263"/>
    <n v="15"/>
    <s v="Low Value"/>
    <s v="Nov-2024"/>
    <s v="Adjustable Dumbbell Set"/>
    <s v="Sports"/>
    <x v="363"/>
  </r>
  <r>
    <s v="SALE1947"/>
    <d v="2024-11-18T00:00:00"/>
    <x v="296"/>
    <s v="PROD59"/>
    <s v="STORE11"/>
    <n v="2"/>
    <n v="410.63"/>
    <n v="0.28000000000000003"/>
    <x v="2"/>
    <n v="591.30719999999997"/>
    <n v="54361.084700000021"/>
    <n v="1025.6808433962269"/>
    <n v="15"/>
    <s v="Low Value"/>
    <s v="Nov-2024"/>
    <s v="Men's Hair Styling Gel"/>
    <s v="Beauty"/>
    <x v="294"/>
  </r>
  <r>
    <s v="SALE1948"/>
    <d v="2024-01-02T00:00:00"/>
    <x v="353"/>
    <s v="PROD94"/>
    <s v="STORE10"/>
    <n v="4"/>
    <n v="101.25"/>
    <n v="0.16"/>
    <x v="1"/>
    <n v="340.2"/>
    <n v="53769.777500000026"/>
    <n v="1034.0341826923081"/>
    <n v="15"/>
    <s v="Low Value"/>
    <s v="Jan-2024"/>
    <s v="Vitamin E Body Lotion"/>
    <s v="Beauty"/>
    <x v="351"/>
  </r>
  <r>
    <s v="SALE1949"/>
    <d v="2024-01-10T00:00:00"/>
    <x v="473"/>
    <s v="PROD7"/>
    <s v="STORE17"/>
    <n v="4"/>
    <n v="716.39"/>
    <n v="0.03"/>
    <x v="1"/>
    <n v="2779.5931999999998"/>
    <n v="53429.577500000029"/>
    <n v="1047.6387745098045"/>
    <n v="14"/>
    <s v="High Value"/>
    <s v="Jan-2024"/>
    <s v="LED Table Lamp"/>
    <s v="Home"/>
    <x v="471"/>
  </r>
  <r>
    <s v="SALE1950"/>
    <d v="2024-01-20T00:00:00"/>
    <x v="18"/>
    <s v="PROD73"/>
    <s v="STORE1"/>
    <n v="1"/>
    <n v="721.74"/>
    <n v="0.24"/>
    <x v="1"/>
    <n v="548.52240000000006"/>
    <n v="50649.984300000026"/>
    <n v="1012.9996860000006"/>
    <n v="13"/>
    <s v="Low Value"/>
    <s v="Jan-2024"/>
    <s v="Shin Guards – Adult"/>
    <s v="Sports"/>
    <x v="18"/>
  </r>
  <r>
    <s v="SALE1951"/>
    <d v="2025-02-14T00:00:00"/>
    <x v="76"/>
    <s v="PROD62"/>
    <s v="STORE11"/>
    <n v="2"/>
    <n v="527.91"/>
    <n v="0.02"/>
    <x v="0"/>
    <n v="1034.7036000000001"/>
    <n v="50101.461900000024"/>
    <n v="1022.4788142857147"/>
    <n v="12"/>
    <s v="High Value"/>
    <s v="Feb-2025"/>
    <s v="Laptop Cooling Pad"/>
    <s v="Electronics"/>
    <x v="75"/>
  </r>
  <r>
    <s v="SALE1952"/>
    <d v="2024-08-21T00:00:00"/>
    <x v="133"/>
    <s v="PROD52"/>
    <s v="STORE13"/>
    <n v="2"/>
    <n v="945.92"/>
    <n v="0.19"/>
    <x v="2"/>
    <n v="1532.3904"/>
    <n v="49066.758300000016"/>
    <n v="1022.2241312500004"/>
    <n v="12"/>
    <s v="High Value"/>
    <s v="Aug-2024"/>
    <s v="Rugby Ball"/>
    <s v="Sports"/>
    <x v="132"/>
  </r>
  <r>
    <s v="SALE1953"/>
    <d v="2025-05-03T00:00:00"/>
    <x v="150"/>
    <s v="PROD56"/>
    <s v="STORE17"/>
    <n v="2"/>
    <n v="981.35"/>
    <n v="0.16"/>
    <x v="1"/>
    <n v="1648.6679999999999"/>
    <n v="47534.367900000012"/>
    <n v="1011.3695297872343"/>
    <n v="12"/>
    <s v="High Value"/>
    <s v="May-2025"/>
    <s v="Premium Blanket Throw"/>
    <s v="Home"/>
    <x v="149"/>
  </r>
  <r>
    <s v="SALE1954"/>
    <d v="2025-06-11T00:00:00"/>
    <x v="307"/>
    <s v="PROD59"/>
    <s v="STORE3"/>
    <n v="1"/>
    <n v="913.99"/>
    <n v="0.14000000000000001"/>
    <x v="0"/>
    <n v="786.03139999999996"/>
    <n v="45885.699900000007"/>
    <n v="997.51521521739141"/>
    <n v="11"/>
    <s v="Low Value"/>
    <s v="Jun-2025"/>
    <s v="Men's Hair Styling Gel"/>
    <s v="Beauty"/>
    <x v="305"/>
  </r>
  <r>
    <s v="SALE1955"/>
    <d v="2025-07-25T00:00:00"/>
    <x v="311"/>
    <s v="PROD66"/>
    <s v="STORE8"/>
    <n v="4"/>
    <n v="270.69"/>
    <n v="0.18"/>
    <x v="1"/>
    <n v="887.86320000000001"/>
    <n v="45099.668500000007"/>
    <n v="1002.2148555555557"/>
    <n v="11"/>
    <s v="Low Value"/>
    <s v="Jul-2025"/>
    <s v="Women's Hair Dryer Brush"/>
    <s v="Beauty"/>
    <x v="309"/>
  </r>
  <r>
    <s v="SALE1956"/>
    <d v="2025-01-30T00:00:00"/>
    <x v="261"/>
    <s v="PROD77"/>
    <s v="STORE6"/>
    <n v="3"/>
    <n v="998.58"/>
    <n v="0.02"/>
    <x v="0"/>
    <n v="2935.8252000000002"/>
    <n v="44211.805300000007"/>
    <n v="1004.813756818182"/>
    <n v="10"/>
    <s v="High Value"/>
    <s v="Jan-2025"/>
    <s v="WiFi Mesh Router"/>
    <s v="Electronics"/>
    <x v="260"/>
  </r>
  <r>
    <s v="SALE1957"/>
    <d v="2025-05-29T00:00:00"/>
    <x v="376"/>
    <s v="PROD37"/>
    <s v="STORE9"/>
    <n v="3"/>
    <n v="765.12"/>
    <n v="0.18"/>
    <x v="0"/>
    <n v="1882.1952000000001"/>
    <n v="41275.980100000008"/>
    <n v="959.90651395348857"/>
    <n v="10"/>
    <s v="High Value"/>
    <s v="May-2025"/>
    <s v="Men's Casual Sneakers"/>
    <s v="Clothing"/>
    <x v="374"/>
  </r>
  <r>
    <s v="SALE1958"/>
    <d v="2023-10-17T00:00:00"/>
    <x v="39"/>
    <s v="PROD64"/>
    <s v="STORE19"/>
    <n v="3"/>
    <n v="449.99"/>
    <n v="0.17"/>
    <x v="2"/>
    <n v="1120.4751000000001"/>
    <n v="39393.784899999999"/>
    <n v="937.94725952380952"/>
    <n v="10"/>
    <s v="High Value"/>
    <s v="Oct-2023"/>
    <s v="Matte Lipstick Set"/>
    <s v="Beauty"/>
    <x v="39"/>
  </r>
  <r>
    <s v="SALE1959"/>
    <d v="2024-12-13T00:00:00"/>
    <x v="487"/>
    <s v="PROD43"/>
    <s v="STORE11"/>
    <n v="2"/>
    <n v="249.02"/>
    <n v="0.01"/>
    <x v="2"/>
    <n v="493.05959999999999"/>
    <n v="38273.309800000003"/>
    <n v="933.49536097560986"/>
    <n v="10"/>
    <s v="Low Value"/>
    <s v="Dec-2024"/>
    <s v="USB External Hard Drive"/>
    <s v="Electronics"/>
    <x v="485"/>
  </r>
  <r>
    <s v="SALE1960"/>
    <d v="2024-06-11T00:00:00"/>
    <x v="488"/>
    <s v="PROD57"/>
    <s v="STORE19"/>
    <n v="3"/>
    <n v="223.64"/>
    <n v="0.05"/>
    <x v="0"/>
    <n v="637.37399999999991"/>
    <n v="37780.250200000002"/>
    <n v="944.50625500000001"/>
    <n v="10"/>
    <s v="Low Value"/>
    <s v="Jun-2024"/>
    <s v="Foam Roller"/>
    <s v="Sports"/>
    <x v="486"/>
  </r>
  <r>
    <s v="SALE1961"/>
    <d v="2025-10-04T00:00:00"/>
    <x v="476"/>
    <s v="PROD24"/>
    <s v="STORE4"/>
    <n v="2"/>
    <n v="92.94"/>
    <n v="0.12"/>
    <x v="0"/>
    <n v="163.5744"/>
    <n v="37142.876199999999"/>
    <n v="952.38144102564104"/>
    <n v="10"/>
    <s v="Low Value"/>
    <s v="Oct-2025"/>
    <s v="Foldable Camping Chair"/>
    <s v="Sports"/>
    <x v="474"/>
  </r>
  <r>
    <s v="SALE1962"/>
    <d v="2024-04-19T00:00:00"/>
    <x v="447"/>
    <s v="PROD16"/>
    <s v="STORE2"/>
    <n v="4"/>
    <n v="268.3"/>
    <n v="0.02"/>
    <x v="2"/>
    <n v="1051.7360000000001"/>
    <n v="36979.301800000001"/>
    <n v="973.13952105263161"/>
    <n v="10"/>
    <s v="High Value"/>
    <s v="Apr-2024"/>
    <s v="Beard Grooming Kit"/>
    <s v="Beauty"/>
    <x v="445"/>
  </r>
  <r>
    <s v="SALE1963"/>
    <d v="2025-04-23T00:00:00"/>
    <x v="173"/>
    <s v="PROD59"/>
    <s v="STORE19"/>
    <n v="4"/>
    <n v="835.61"/>
    <n v="0.03"/>
    <x v="0"/>
    <n v="3242.1668"/>
    <n v="35927.565799999997"/>
    <n v="971.01529189189182"/>
    <n v="10"/>
    <s v="High Value"/>
    <s v="Apr-2025"/>
    <s v="Men's Hair Styling Gel"/>
    <s v="Beauty"/>
    <x v="172"/>
  </r>
  <r>
    <s v="SALE1964"/>
    <d v="2024-04-23T00:00:00"/>
    <x v="157"/>
    <s v="PROD68"/>
    <s v="STORE5"/>
    <n v="3"/>
    <n v="120.97"/>
    <n v="0.11"/>
    <x v="0"/>
    <n v="322.98989999999998"/>
    <n v="32685.399000000001"/>
    <n v="907.92775000000006"/>
    <n v="10"/>
    <s v="Low Value"/>
    <s v="Apr-2024"/>
    <s v="Wooden Nightstand"/>
    <s v="Home"/>
    <x v="156"/>
  </r>
  <r>
    <s v="SALE1965"/>
    <d v="2024-05-12T00:00:00"/>
    <x v="454"/>
    <s v="PROD40"/>
    <s v="STORE9"/>
    <n v="2"/>
    <n v="26.36"/>
    <n v="0.03"/>
    <x v="2"/>
    <n v="51.138399999999997"/>
    <n v="32362.409100000001"/>
    <n v="924.64026000000001"/>
    <n v="10"/>
    <s v="Low Value"/>
    <s v="May-2024"/>
    <s v="Noise-Canceling Headphones"/>
    <s v="Electronics"/>
    <x v="452"/>
  </r>
  <r>
    <s v="SALE1966"/>
    <d v="2025-08-12T00:00:00"/>
    <x v="153"/>
    <s v="PROD77"/>
    <s v="STORE6"/>
    <n v="1"/>
    <n v="918.87"/>
    <n v="0.11"/>
    <x v="1"/>
    <n v="817.79430000000002"/>
    <n v="32311.270700000005"/>
    <n v="950.33149117647076"/>
    <n v="10"/>
    <s v="Low Value"/>
    <s v="Aug-2025"/>
    <s v="WiFi Mesh Router"/>
    <s v="Electronics"/>
    <x v="152"/>
  </r>
  <r>
    <s v="SALE1967"/>
    <d v="2025-05-17T00:00:00"/>
    <x v="189"/>
    <s v="PROD67"/>
    <s v="STORE11"/>
    <n v="2"/>
    <n v="924.73"/>
    <n v="0.28999999999999998"/>
    <x v="1"/>
    <n v="1313.1166000000001"/>
    <n v="31493.476400000003"/>
    <n v="954.34776969696975"/>
    <n v="9"/>
    <s v="High Value"/>
    <s v="May-2025"/>
    <s v="Smart LED Light Strip"/>
    <s v="Electronics"/>
    <x v="188"/>
  </r>
  <r>
    <s v="SALE1968"/>
    <d v="2025-01-08T00:00:00"/>
    <x v="460"/>
    <s v="PROD12"/>
    <s v="STORE10"/>
    <n v="3"/>
    <n v="195.31"/>
    <n v="0.13"/>
    <x v="2"/>
    <n v="509.75909999999999"/>
    <n v="30180.359800000002"/>
    <n v="943.13624375000006"/>
    <n v="8"/>
    <s v="Low Value"/>
    <s v="Jan-2025"/>
    <s v="Hair Strengthening Shampoo"/>
    <s v="Beauty"/>
    <x v="458"/>
  </r>
  <r>
    <s v="SALE1969"/>
    <d v="2025-05-16T00:00:00"/>
    <x v="48"/>
    <s v="PROD38"/>
    <s v="STORE8"/>
    <n v="1"/>
    <n v="91.38"/>
    <n v="0.14000000000000001"/>
    <x v="0"/>
    <n v="78.586799999999997"/>
    <n v="29670.600699999999"/>
    <n v="957.1161516129032"/>
    <n v="8"/>
    <s v="Low Value"/>
    <s v="May-2025"/>
    <s v="Sports Water Hydration Pack"/>
    <s v="Sports"/>
    <x v="48"/>
  </r>
  <r>
    <s v="SALE1970"/>
    <d v="2024-09-28T00:00:00"/>
    <x v="60"/>
    <s v="PROD86"/>
    <s v="STORE11"/>
    <n v="2"/>
    <n v="494.35"/>
    <n v="0.1"/>
    <x v="0"/>
    <n v="889.83"/>
    <n v="29592.013900000002"/>
    <n v="986.40046333333339"/>
    <n v="8"/>
    <s v="Low Value"/>
    <s v="Sep-2024"/>
    <s v="Kitchen Cutting Board"/>
    <s v="Home"/>
    <x v="0"/>
  </r>
  <r>
    <s v="SALE1971"/>
    <d v="2024-10-12T00:00:00"/>
    <x v="57"/>
    <s v="PROD24"/>
    <s v="STORE10"/>
    <n v="1"/>
    <n v="412.2"/>
    <n v="0.11"/>
    <x v="0"/>
    <n v="366.858"/>
    <n v="28702.1839"/>
    <n v="989.73047931034478"/>
    <n v="8"/>
    <s v="Low Value"/>
    <s v="Oct-2024"/>
    <s v="Foldable Camping Chair"/>
    <s v="Sports"/>
    <x v="57"/>
  </r>
  <r>
    <s v="SALE1972"/>
    <d v="2024-06-23T00:00:00"/>
    <x v="134"/>
    <s v="PROD79"/>
    <s v="STORE16"/>
    <n v="1"/>
    <n v="650.47"/>
    <n v="0.13"/>
    <x v="1"/>
    <n v="565.90890000000002"/>
    <n v="28335.325900000007"/>
    <n v="1011.9759250000003"/>
    <n v="8"/>
    <s v="Low Value"/>
    <s v="Jun-2024"/>
    <s v="Decorative Lamp Shade"/>
    <s v="Home"/>
    <x v="133"/>
  </r>
  <r>
    <s v="SALE1973"/>
    <d v="2023-11-26T00:00:00"/>
    <x v="440"/>
    <s v="PROD14"/>
    <s v="STORE12"/>
    <n v="1"/>
    <n v="68.209999999999994"/>
    <n v="0.05"/>
    <x v="1"/>
    <n v="64.799499999999995"/>
    <n v="27769.417000000005"/>
    <n v="1028.496925925926"/>
    <n v="7"/>
    <s v="Low Value"/>
    <s v="Nov-2023"/>
    <s v="Decorative Wall Mirror"/>
    <s v="Home"/>
    <x v="438"/>
  </r>
  <r>
    <s v="SALE1974"/>
    <d v="2025-08-17T00:00:00"/>
    <x v="163"/>
    <s v="PROD53"/>
    <s v="STORE7"/>
    <n v="2"/>
    <n v="842.89"/>
    <n v="0.25"/>
    <x v="2"/>
    <n v="1264.335"/>
    <n v="27704.617500000004"/>
    <n v="1065.5622115384617"/>
    <n v="6"/>
    <s v="High Value"/>
    <s v="Aug-2025"/>
    <s v="Men's Track Pants"/>
    <s v="Clothing"/>
    <x v="162"/>
  </r>
  <r>
    <s v="SALE1975"/>
    <d v="2024-04-08T00:00:00"/>
    <x v="301"/>
    <s v="PROD5"/>
    <s v="STORE4"/>
    <n v="2"/>
    <n v="227.95"/>
    <n v="0.24"/>
    <x v="2"/>
    <n v="346.48399999999998"/>
    <n v="26440.282500000005"/>
    <n v="1057.6113000000003"/>
    <n v="6"/>
    <s v="Low Value"/>
    <s v="Apr-2024"/>
    <s v="Men's Leather Belt"/>
    <s v="Clothing"/>
    <x v="299"/>
  </r>
  <r>
    <s v="SALE1976"/>
    <d v="2024-04-06T00:00:00"/>
    <x v="375"/>
    <s v="PROD66"/>
    <s v="STORE12"/>
    <n v="3"/>
    <n v="685.97"/>
    <n v="0.24"/>
    <x v="1"/>
    <n v="1564.0116"/>
    <n v="26093.798500000001"/>
    <n v="1087.2416041666668"/>
    <n v="6"/>
    <s v="High Value"/>
    <s v="Apr-2024"/>
    <s v="Women's Hair Dryer Brush"/>
    <s v="Beauty"/>
    <x v="373"/>
  </r>
  <r>
    <s v="SALE1977"/>
    <d v="2025-05-16T00:00:00"/>
    <x v="317"/>
    <s v="PROD29"/>
    <s v="STORE2"/>
    <n v="1"/>
    <n v="722.57"/>
    <n v="0.18"/>
    <x v="0"/>
    <n v="592.50740000000008"/>
    <n v="24529.786900000003"/>
    <n v="1066.5124739130436"/>
    <n v="5"/>
    <s v="Low Value"/>
    <s v="May-2025"/>
    <s v="Fabric Sofa Throw Blanket"/>
    <s v="Home"/>
    <x v="315"/>
  </r>
  <r>
    <s v="SALE1978"/>
    <d v="2024-11-19T00:00:00"/>
    <x v="429"/>
    <s v="PROD35"/>
    <s v="STORE5"/>
    <n v="3"/>
    <n v="585.54999999999995"/>
    <n v="0.14000000000000001"/>
    <x v="2"/>
    <n v="1510.7190000000001"/>
    <n v="23937.279500000001"/>
    <n v="1088.0581590909092"/>
    <n v="5"/>
    <s v="High Value"/>
    <s v="Nov-2024"/>
    <s v="Bedroom Table Lamp"/>
    <s v="Home"/>
    <x v="427"/>
  </r>
  <r>
    <s v="SALE1979"/>
    <d v="2025-01-09T00:00:00"/>
    <x v="430"/>
    <s v="PROD46"/>
    <s v="STORE13"/>
    <n v="2"/>
    <n v="635.80999999999995"/>
    <n v="0.13"/>
    <x v="1"/>
    <n v="1106.3094000000001"/>
    <n v="22426.560499999996"/>
    <n v="1067.9314523809521"/>
    <n v="5"/>
    <s v="High Value"/>
    <s v="Jan-2025"/>
    <s v="Men's Winter Jacket"/>
    <s v="Clothing"/>
    <x v="428"/>
  </r>
  <r>
    <s v="SALE1980"/>
    <d v="2024-12-18T00:00:00"/>
    <x v="107"/>
    <s v="PROD14"/>
    <s v="STORE4"/>
    <n v="2"/>
    <n v="353.74"/>
    <n v="0.01"/>
    <x v="0"/>
    <n v="700.40520000000004"/>
    <n v="21320.251099999998"/>
    <n v="1066.0125549999998"/>
    <n v="4"/>
    <s v="Low Value"/>
    <s v="Dec-2024"/>
    <s v="Decorative Wall Mirror"/>
    <s v="Home"/>
    <x v="106"/>
  </r>
  <r>
    <s v="SALE1981"/>
    <d v="2024-12-22T00:00:00"/>
    <x v="105"/>
    <s v="PROD36"/>
    <s v="STORE7"/>
    <n v="1"/>
    <n v="377.52"/>
    <n v="0.15"/>
    <x v="0"/>
    <n v="320.892"/>
    <n v="20619.845899999997"/>
    <n v="1085.2550473684209"/>
    <n v="4"/>
    <s v="Low Value"/>
    <s v="Dec-2024"/>
    <s v="Women's Summer Dress"/>
    <s v="Clothing"/>
    <x v="104"/>
  </r>
  <r>
    <s v="SALE1982"/>
    <d v="2024-07-27T00:00:00"/>
    <x v="297"/>
    <s v="PROD68"/>
    <s v="STORE2"/>
    <n v="3"/>
    <n v="901.49"/>
    <n v="0"/>
    <x v="0"/>
    <n v="2704.47"/>
    <n v="20298.953899999997"/>
    <n v="1127.719661111111"/>
    <n v="4"/>
    <s v="High Value"/>
    <s v="Jul-2024"/>
    <s v="Wooden Nightstand"/>
    <s v="Home"/>
    <x v="295"/>
  </r>
  <r>
    <s v="SALE1983"/>
    <d v="2025-05-29T00:00:00"/>
    <x v="27"/>
    <s v="PROD30"/>
    <s v="STORE5"/>
    <n v="1"/>
    <n v="563.01"/>
    <n v="0.1"/>
    <x v="0"/>
    <n v="506.709"/>
    <n v="17594.483899999999"/>
    <n v="1034.9696411764705"/>
    <n v="4"/>
    <s v="Low Value"/>
    <s v="May-2025"/>
    <s v="Stainless Steel Cutlery Set"/>
    <s v="Home"/>
    <x v="27"/>
  </r>
  <r>
    <s v="SALE1984"/>
    <d v="2024-03-14T00:00:00"/>
    <x v="406"/>
    <s v="PROD70"/>
    <s v="STORE6"/>
    <n v="4"/>
    <n v="167.25"/>
    <n v="0.11"/>
    <x v="0"/>
    <n v="595.41"/>
    <n v="17087.7749"/>
    <n v="1067.98593125"/>
    <n v="4"/>
    <s v="Low Value"/>
    <s v="Mar-2024"/>
    <s v="Kitchen Storage Rack"/>
    <s v="Home"/>
    <x v="404"/>
  </r>
  <r>
    <s v="SALE1985"/>
    <d v="2023-10-30T00:00:00"/>
    <x v="491"/>
    <s v="PROD60"/>
    <s v="STORE18"/>
    <n v="3"/>
    <n v="345.43"/>
    <n v="0.08"/>
    <x v="2"/>
    <n v="953.38679999999999"/>
    <n v="16492.3649"/>
    <n v="1099.4909933333333"/>
    <n v="4"/>
    <s v="Low Value"/>
    <s v="Oct-2023"/>
    <s v="Luxury Perfume Spray"/>
    <s v="Beauty"/>
    <x v="489"/>
  </r>
  <r>
    <s v="SALE1986"/>
    <d v="2024-02-27T00:00:00"/>
    <x v="482"/>
    <s v="PROD82"/>
    <s v="STORE9"/>
    <n v="4"/>
    <n v="752.48"/>
    <n v="0.23"/>
    <x v="0"/>
    <n v="2317.6383999999998"/>
    <n v="15538.978099999998"/>
    <n v="1109.9270071428571"/>
    <n v="4"/>
    <s v="High Value"/>
    <s v="Feb-2024"/>
    <s v="Fitness Resistance Bands"/>
    <s v="Sports"/>
    <x v="480"/>
  </r>
  <r>
    <s v="SALE1987"/>
    <d v="2025-08-17T00:00:00"/>
    <x v="194"/>
    <s v="PROD57"/>
    <s v="STORE19"/>
    <n v="1"/>
    <n v="120.02"/>
    <n v="0.26"/>
    <x v="0"/>
    <n v="88.814799999999991"/>
    <n v="13221.3397"/>
    <n v="1017.0261307692308"/>
    <n v="4"/>
    <s v="Low Value"/>
    <s v="Aug-2025"/>
    <s v="Foam Roller"/>
    <s v="Sports"/>
    <x v="193"/>
  </r>
  <r>
    <s v="SALE1988"/>
    <d v="2024-03-08T00:00:00"/>
    <x v="162"/>
    <s v="PROD41"/>
    <s v="STORE8"/>
    <n v="3"/>
    <n v="146.71"/>
    <n v="0.28000000000000003"/>
    <x v="0"/>
    <n v="316.89359999999999"/>
    <n v="13132.5249"/>
    <n v="1094.3770750000001"/>
    <n v="4"/>
    <s v="Low Value"/>
    <s v="Mar-2024"/>
    <s v="Yoga Exercise Mat"/>
    <s v="Sports"/>
    <x v="161"/>
  </r>
  <r>
    <s v="SALE1989"/>
    <d v="2025-03-14T00:00:00"/>
    <x v="196"/>
    <s v="PROD64"/>
    <s v="STORE0"/>
    <n v="2"/>
    <n v="358.87"/>
    <n v="0.24"/>
    <x v="0"/>
    <n v="545.48239999999998"/>
    <n v="12815.631299999999"/>
    <n v="1165.0573909090908"/>
    <n v="4"/>
    <s v="Low Value"/>
    <s v="Mar-2025"/>
    <s v="Matte Lipstick Set"/>
    <s v="Beauty"/>
    <x v="195"/>
  </r>
  <r>
    <s v="SALE1990"/>
    <d v="2024-06-13T00:00:00"/>
    <x v="254"/>
    <s v="PROD52"/>
    <s v="STORE3"/>
    <n v="4"/>
    <n v="212.75"/>
    <n v="0.11"/>
    <x v="2"/>
    <n v="757.39"/>
    <n v="12270.1489"/>
    <n v="1227.0148899999999"/>
    <n v="4"/>
    <s v="Low Value"/>
    <s v="Jun-2024"/>
    <s v="Rugby Ball"/>
    <s v="Sports"/>
    <x v="253"/>
  </r>
  <r>
    <s v="SALE1991"/>
    <d v="2024-06-07T00:00:00"/>
    <x v="78"/>
    <s v="PROD45"/>
    <s v="STORE11"/>
    <n v="1"/>
    <n v="183.47"/>
    <n v="0.17"/>
    <x v="1"/>
    <n v="152.2801"/>
    <n v="11512.758900000001"/>
    <n v="1279.1954333333333"/>
    <n v="4"/>
    <s v="Low Value"/>
    <s v="Jun-2024"/>
    <s v="High-Grip Football"/>
    <s v="Sports"/>
    <x v="77"/>
  </r>
  <r>
    <s v="SALE1992"/>
    <d v="2024-07-20T00:00:00"/>
    <x v="127"/>
    <s v="PROD89"/>
    <s v="STORE15"/>
    <n v="4"/>
    <n v="569.98"/>
    <n v="0.23"/>
    <x v="0"/>
    <n v="1755.5383999999999"/>
    <n v="11360.478800000001"/>
    <n v="1420.0598500000001"/>
    <n v="3"/>
    <s v="High Value"/>
    <s v="Jul-2024"/>
    <s v="Face Foundation Kit"/>
    <s v="Beauty"/>
    <x v="126"/>
  </r>
  <r>
    <s v="SALE1993"/>
    <d v="2023-12-14T00:00:00"/>
    <x v="167"/>
    <s v="PROD21"/>
    <s v="STORE12"/>
    <n v="3"/>
    <n v="984.12"/>
    <n v="0.27"/>
    <x v="0"/>
    <n v="2155.2228"/>
    <n v="9604.9403999999995"/>
    <n v="1372.1343428571429"/>
    <n v="3"/>
    <s v="High Value"/>
    <s v="Dec-2023"/>
    <s v="Multi-Purpose Storage Box"/>
    <s v="Home"/>
    <x v="166"/>
  </r>
  <r>
    <s v="SALE1994"/>
    <d v="2025-07-06T00:00:00"/>
    <x v="117"/>
    <s v="PROD84"/>
    <s v="STORE8"/>
    <n v="1"/>
    <n v="905.23"/>
    <n v="0"/>
    <x v="0"/>
    <n v="905.23"/>
    <n v="7449.717599999999"/>
    <n v="1241.6195999999998"/>
    <n v="3"/>
    <s v="Low Value"/>
    <s v="Jul-2025"/>
    <s v="Wooden Bookshelf"/>
    <s v="Home"/>
    <x v="116"/>
  </r>
  <r>
    <s v="SALE1995"/>
    <d v="2023-12-04T00:00:00"/>
    <x v="24"/>
    <s v="PROD99"/>
    <s v="STORE19"/>
    <n v="3"/>
    <n v="112.77"/>
    <n v="0.19"/>
    <x v="0"/>
    <n v="274.03109999999998"/>
    <n v="6544.4875999999995"/>
    <n v="1308.89752"/>
    <n v="3"/>
    <s v="Low Value"/>
    <s v="Dec-2023"/>
    <s v="Stainless Steel Cookware Set"/>
    <s v="Home"/>
    <x v="24"/>
  </r>
  <r>
    <s v="SALE1996"/>
    <d v="2025-04-26T00:00:00"/>
    <x v="261"/>
    <s v="PROD35"/>
    <s v="STORE8"/>
    <n v="3"/>
    <n v="875.99"/>
    <n v="0.09"/>
    <x v="1"/>
    <n v="2391.4526999999998"/>
    <n v="6270.4564999999993"/>
    <n v="1567.6141249999998"/>
    <n v="3"/>
    <s v="High Value"/>
    <s v="Apr-2025"/>
    <s v="Bedroom Table Lamp"/>
    <s v="Home"/>
    <x v="260"/>
  </r>
  <r>
    <s v="SALE1997"/>
    <d v="2024-06-17T00:00:00"/>
    <x v="147"/>
    <s v="PROD89"/>
    <s v="STORE10"/>
    <n v="2"/>
    <n v="685.31"/>
    <n v="0.26"/>
    <x v="1"/>
    <n v="1014.2588"/>
    <n v="3879.0038000000004"/>
    <n v="1293.0012666666669"/>
    <n v="2"/>
    <s v="High Value"/>
    <s v="Jun-2024"/>
    <s v="Face Foundation Kit"/>
    <s v="Beauty"/>
    <x v="146"/>
  </r>
  <r>
    <s v="SALE1998"/>
    <d v="2024-11-11T00:00:00"/>
    <x v="406"/>
    <s v="PROD61"/>
    <s v="STORE11"/>
    <n v="3"/>
    <n v="945.37"/>
    <n v="0.05"/>
    <x v="0"/>
    <n v="2694.3045000000002"/>
    <n v="2864.7450000000003"/>
    <n v="1432.3725000000002"/>
    <n v="1"/>
    <s v="High Value"/>
    <s v="Nov-2024"/>
    <s v="Tennis Ball 3-Pack"/>
    <s v="Sports"/>
    <x v="404"/>
  </r>
  <r>
    <s v="SALE1999"/>
    <d v="2023-12-07T00:00:00"/>
    <x v="193"/>
    <s v="PROD76"/>
    <s v="STORE19"/>
    <n v="3"/>
    <n v="68.45"/>
    <n v="0.17"/>
    <x v="1"/>
    <n v="170.44049999999999"/>
    <n v="170.44049999999999"/>
    <n v="170.44049999999999"/>
    <n v="1"/>
    <s v="Low Value"/>
    <s v="Dec-2023"/>
    <s v="Wireless Mouse"/>
    <s v="Electronics"/>
    <x v="192"/>
  </r>
  <r>
    <m/>
    <m/>
    <x v="492"/>
    <m/>
    <m/>
    <m/>
    <m/>
    <m/>
    <x v="3"/>
    <m/>
    <m/>
    <m/>
    <m/>
    <m/>
    <m/>
    <m/>
    <m/>
    <x v="49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ROD0"/>
    <s v="Brother Laser Printer"/>
    <x v="0"/>
    <s v="Computer"/>
    <s v="Hunt Inc"/>
    <n v="112.42"/>
    <n v="416"/>
  </r>
  <r>
    <s v="PROD1"/>
    <s v="Men's Graphic T-Shirt"/>
    <x v="1"/>
    <s v="Tops"/>
    <s v="Terry-Moore"/>
    <n v="342.56"/>
    <n v="181"/>
  </r>
  <r>
    <s v="PROD2"/>
    <s v="Women's Casual Hoodie"/>
    <x v="1"/>
    <s v="Outerwear"/>
    <s v="Sims Inc"/>
    <m/>
    <n v="352"/>
  </r>
  <r>
    <s v="PROD3"/>
    <s v="Men's Running Jacket"/>
    <x v="1"/>
    <s v="Outerwear"/>
    <s v="Pineda Ltd"/>
    <n v="364.67"/>
    <n v="452"/>
  </r>
  <r>
    <s v="PROD4"/>
    <s v="Women's Yoga Pants"/>
    <x v="1"/>
    <s v="Bottoms"/>
    <s v="Gonzales-Davis"/>
    <n v="306.45999999999998"/>
    <n v="487"/>
  </r>
  <r>
    <s v="PROD5"/>
    <s v="Men's Leather Belt"/>
    <x v="1"/>
    <s v="Accessories"/>
    <s v="Baldwin, Garza and Gonzalez"/>
    <n v="261"/>
    <n v="59"/>
  </r>
  <r>
    <s v="PROD6"/>
    <s v="Herbal Face Moisturizer"/>
    <x v="2"/>
    <s v="Skincare"/>
    <s v="Davidson PLC"/>
    <n v="312.8"/>
    <n v="350"/>
  </r>
  <r>
    <s v="PROD7"/>
    <s v="LED Table Lamp"/>
    <x v="3"/>
    <s v="Lighting"/>
    <s v="Harrell LLC"/>
    <n v="218.86"/>
    <n v="170"/>
  </r>
  <r>
    <s v="PROD8"/>
    <s v="Wireless Bluetooth Earbuds"/>
    <x v="0"/>
    <s v="Audio"/>
    <s v="Perez-Johnston"/>
    <n v="439.07"/>
    <n v="142"/>
  </r>
  <r>
    <s v="PROD9"/>
    <s v="Adjustable Dumbbell Set"/>
    <x v="4"/>
    <s v="Fitness"/>
    <s v="Hill PLC"/>
    <n v="495.72"/>
    <n v="323"/>
  </r>
  <r>
    <s v="PROD10"/>
    <s v="Ceramic Kitchen Bowl Set"/>
    <x v="3"/>
    <s v="Kitchen"/>
    <s v="Hamilton Group"/>
    <n v="298.86"/>
    <n v="308"/>
  </r>
  <r>
    <s v="PROD11"/>
    <s v="HD Smart TV Stick"/>
    <x v="0"/>
    <s v="Accessories"/>
    <s v="Gibson, Hobbs and Weaver"/>
    <n v="449.4"/>
    <m/>
  </r>
  <r>
    <s v="PROD12"/>
    <s v="Hair Strengthening Shampoo"/>
    <x v="2"/>
    <s v="Haircare"/>
    <s v="Rice LLC"/>
    <n v="115.82"/>
    <n v="460"/>
  </r>
  <r>
    <s v="PROD13"/>
    <s v="USB-C Fast Charger"/>
    <x v="0"/>
    <s v="Accessories"/>
    <s v="Dawson-Perkins"/>
    <n v="242.23"/>
    <n v="453"/>
  </r>
  <r>
    <s v="PROD14"/>
    <s v="Decorative Wall Mirror"/>
    <x v="3"/>
    <s v="Decor"/>
    <s v="Luna, Anderson and Bowman"/>
    <n v="48.01"/>
    <n v="439"/>
  </r>
  <r>
    <s v="PROD15"/>
    <s v="4K Home Projector"/>
    <x v="0"/>
    <s v="Appliances"/>
    <s v="Thomas LLC"/>
    <n v="465.34"/>
    <n v="301"/>
  </r>
  <r>
    <s v="PROD16"/>
    <s v="Beard Grooming Kit"/>
    <x v="2"/>
    <s v="Grooming"/>
    <s v="Erickson-Green"/>
    <n v="337.42"/>
    <n v="256"/>
  </r>
  <r>
    <s v="PROD17"/>
    <s v="Soccer Training Cone Set"/>
    <x v="4"/>
    <s v="Accessories"/>
    <s v="Ford, Murphy and Wilson"/>
    <n v="144.53"/>
    <n v="367"/>
  </r>
  <r>
    <s v="PROD18"/>
    <s v="Women's Denim Jeans"/>
    <x v="1"/>
    <s v="Bottoms"/>
    <s v="Guerra-Hendrix"/>
    <m/>
    <n v="343"/>
  </r>
  <r>
    <s v="PROD19"/>
    <s v="Knee Support Brace"/>
    <x v="4"/>
    <s v="Equipment"/>
    <s v="May-Reese"/>
    <n v="21.34"/>
    <n v="65"/>
  </r>
  <r>
    <s v="PROD20"/>
    <s v="Outdoor Sports Water Bottle"/>
    <x v="4"/>
    <s v="Accessories"/>
    <s v="Soto-Ellis"/>
    <n v="131.51"/>
    <m/>
  </r>
  <r>
    <s v="PROD21"/>
    <s v="Multi-Purpose Storage Box"/>
    <x v="3"/>
    <s v="Storage"/>
    <s v="Gardner-Montes"/>
    <n v="123.46"/>
    <n v="76"/>
  </r>
  <r>
    <s v="PROD22"/>
    <s v="Carbon Fiber Tennis Racket"/>
    <x v="4"/>
    <s v="Equipment"/>
    <s v="Flores, Pineda and Rodriguez"/>
    <n v="484.62"/>
    <n v="432"/>
  </r>
  <r>
    <s v="PROD23"/>
    <s v="Men's Formal Shirt"/>
    <x v="1"/>
    <s v="Tops"/>
    <s v="Moon, Mora and Santos"/>
    <m/>
    <n v="360"/>
  </r>
  <r>
    <s v="PROD24"/>
    <s v="Foldable Camping Chair"/>
    <x v="4"/>
    <s v="Outdoor"/>
    <s v="Cook Ltd"/>
    <n v="166.06"/>
    <n v="340"/>
  </r>
  <r>
    <s v="PROD25"/>
    <s v="Women's Scarf Set"/>
    <x v="1"/>
    <s v="Accessories"/>
    <s v="Brown and Sons"/>
    <n v="174.02"/>
    <n v="268"/>
  </r>
  <r>
    <s v="PROD26"/>
    <s v="Wireless Bluetooth Speaker"/>
    <x v="0"/>
    <s v="Audio"/>
    <s v="Reed-Schmidt"/>
    <n v="322.41000000000003"/>
    <n v="213"/>
  </r>
  <r>
    <s v="PROD27"/>
    <s v="Decorative Floor Vase"/>
    <x v="3"/>
    <s v="Decor"/>
    <s v="Khan, Jones and Paul"/>
    <m/>
    <n v="378"/>
  </r>
  <r>
    <s v="PROD28"/>
    <s v="Sports Stopwatch Timer"/>
    <x v="4"/>
    <s v="Accessories"/>
    <s v="Burns-Hansen"/>
    <n v="38.76"/>
    <n v="137"/>
  </r>
  <r>
    <s v="PROD29"/>
    <s v="Fabric Sofa Throw Blanket"/>
    <x v="3"/>
    <s v="Decor"/>
    <s v="Hoffman Group"/>
    <n v="218.48"/>
    <n v="276"/>
  </r>
  <r>
    <s v="PROD30"/>
    <s v="Stainless Steel Cutlery Set"/>
    <x v="3"/>
    <s v="Kitchen"/>
    <s v="Stevens, Fernandez and Martin"/>
    <n v="19.52"/>
    <n v="57"/>
  </r>
  <r>
    <s v="PROD31"/>
    <s v="Basketball"/>
    <x v="4"/>
    <s v="Team Sports"/>
    <s v="Nolan-Snow"/>
    <n v="204.39"/>
    <n v="281"/>
  </r>
  <r>
    <s v="PROD32"/>
    <s v="Vitamin C Face Serum"/>
    <x v="2"/>
    <s v="Skincare"/>
    <s v="Griffin Ltd"/>
    <n v="283.83"/>
    <n v="244"/>
  </r>
  <r>
    <s v="PROD33"/>
    <s v="Modern Wall Clock"/>
    <x v="3"/>
    <s v="Decor"/>
    <s v="Weiss-Watson"/>
    <n v="179.77"/>
    <n v="305"/>
  </r>
  <r>
    <s v="PROD34"/>
    <s v="Gaming Mechanical Keyboard"/>
    <x v="0"/>
    <s v="Computer"/>
    <s v="Lucero LLC"/>
    <n v="419.28"/>
    <n v="86"/>
  </r>
  <r>
    <s v="PROD35"/>
    <s v="Bedroom Table Lamp"/>
    <x v="3"/>
    <s v="Lighting"/>
    <s v="Jones LLC"/>
    <n v="382.22"/>
    <n v="329"/>
  </r>
  <r>
    <s v="PROD36"/>
    <s v="Women's Summer Dress"/>
    <x v="1"/>
    <s v="Tops"/>
    <s v="Smith-Mills"/>
    <n v="223.43"/>
    <n v="154"/>
  </r>
  <r>
    <s v="PROD37"/>
    <s v="Men's Casual Sneakers"/>
    <x v="1"/>
    <s v="Footwear"/>
    <s v="Hogan-Lee"/>
    <n v="353.47"/>
    <n v="214"/>
  </r>
  <r>
    <s v="PROD38"/>
    <s v="Sports Water Hydration Pack"/>
    <x v="4"/>
    <s v="Outdoor"/>
    <s v="Sims-Smith"/>
    <n v="135.61000000000001"/>
    <n v="394"/>
  </r>
  <r>
    <s v="PROD39"/>
    <s v="Portable Power Bank"/>
    <x v="0"/>
    <s v="Mobile"/>
    <s v="Cummings and Sons"/>
    <n v="326.06"/>
    <n v="301"/>
  </r>
  <r>
    <s v="PROD40"/>
    <s v="Noise-Canceling Headphones"/>
    <x v="0"/>
    <s v="Audio"/>
    <s v="Taylor-Hart"/>
    <n v="38.520000000000003"/>
    <n v="378"/>
  </r>
  <r>
    <s v="PROD41"/>
    <s v="Yoga Exercise Mat"/>
    <x v="4"/>
    <s v="Fitness"/>
    <s v="Carroll, Long and Mendoza"/>
    <n v="313.26"/>
    <n v="369"/>
  </r>
  <r>
    <s v="PROD42"/>
    <s v="Smart Home WiFi Camera"/>
    <x v="0"/>
    <s v="Accessories"/>
    <s v="Holmes LLC"/>
    <n v="450.71"/>
    <n v="389"/>
  </r>
  <r>
    <s v="PROD43"/>
    <s v="USB External Hard Drive"/>
    <x v="0"/>
    <s v="Computer"/>
    <s v="Robinson Inc"/>
    <n v="253.33"/>
    <n v="266"/>
  </r>
  <r>
    <s v="PROD44"/>
    <s v="Adjustable Jump Rope"/>
    <x v="4"/>
    <s v="Fitness"/>
    <s v="Cox Inc"/>
    <n v="167.12"/>
    <n v="316"/>
  </r>
  <r>
    <s v="PROD45"/>
    <s v="High-Grip Football"/>
    <x v="4"/>
    <s v="Team Sports"/>
    <s v="Bridges, Banks and Cummings"/>
    <n v="318.91000000000003"/>
    <n v="114"/>
  </r>
  <r>
    <s v="PROD46"/>
    <s v="Men's Winter Jacket"/>
    <x v="1"/>
    <s v="Outerwear"/>
    <s v="Kelly, Smith and Perez"/>
    <n v="167.34"/>
    <n v="296"/>
  </r>
  <r>
    <s v="PROD47"/>
    <s v="Makeup Brush Set"/>
    <x v="2"/>
    <s v="Makeup"/>
    <s v="Cook Inc"/>
    <m/>
    <n v="431"/>
  </r>
  <r>
    <s v="PROD48"/>
    <s v="Car Dashboard Phone Holder"/>
    <x v="0"/>
    <s v="Accessories"/>
    <s v="Byrd, Stewart and Valdez"/>
    <n v="177.98"/>
    <n v="103"/>
  </r>
  <r>
    <s v="PROD49"/>
    <s v="Men's Roll-On Perfume"/>
    <x v="2"/>
    <s v="Fragrance"/>
    <s v="Sullivan and Sons"/>
    <n v="43.29"/>
    <n v="267"/>
  </r>
  <r>
    <s v="PROD50"/>
    <s v="Boxing Hand Wraps"/>
    <x v="4"/>
    <s v="Fitness"/>
    <s v="Smith-King"/>
    <n v="190.29"/>
    <n v="260"/>
  </r>
  <r>
    <s v="PROD51"/>
    <s v="HDMI Cable – 2m"/>
    <x v="0"/>
    <s v="Accessories"/>
    <s v="Bautista, Green and Hale"/>
    <n v="88.49"/>
    <n v="246"/>
  </r>
  <r>
    <s v="PROD52"/>
    <s v="Rugby Ball"/>
    <x v="4"/>
    <s v="Team Sports"/>
    <s v="Harris Inc"/>
    <n v="212.26"/>
    <n v="82"/>
  </r>
  <r>
    <s v="PROD53"/>
    <s v="Men's Track Pants"/>
    <x v="1"/>
    <s v="Bottoms"/>
    <s v="Hamilton, Woods and Walker"/>
    <n v="386.56"/>
    <n v="125"/>
  </r>
  <r>
    <s v="PROD54"/>
    <s v="Sports Stopwatch Pro"/>
    <x v="4"/>
    <s v="Accessories"/>
    <s v="Thompson-French"/>
    <n v="434.84"/>
    <n v="185"/>
  </r>
  <r>
    <s v="PROD55"/>
    <s v="Ceramic Plant Pot"/>
    <x v="3"/>
    <s v="Decor"/>
    <s v="Hatfield, Baird and Torres"/>
    <n v="81.75"/>
    <m/>
  </r>
  <r>
    <s v="PROD56"/>
    <s v="Premium Blanket Throw"/>
    <x v="3"/>
    <s v="Decor"/>
    <s v="Hernandez, Kennedy and Porter"/>
    <n v="461.47"/>
    <n v="190"/>
  </r>
  <r>
    <s v="PROD57"/>
    <s v="Foam Roller"/>
    <x v="4"/>
    <s v="Fitness"/>
    <s v="Atkinson, Camacho and Oliver"/>
    <n v="30.62"/>
    <n v="138"/>
  </r>
  <r>
    <s v="PROD58"/>
    <s v="Womens Cotton Scarf"/>
    <x v="1"/>
    <s v="Accessories"/>
    <s v="Shepherd-Gould"/>
    <n v="113.83"/>
    <n v="485"/>
  </r>
  <r>
    <s v="PROD59"/>
    <s v="Men's Hair Styling Gel"/>
    <x v="2"/>
    <s v="Haircare"/>
    <s v="Cline-Mccarthy"/>
    <n v="17.309999999999999"/>
    <n v="399"/>
  </r>
  <r>
    <s v="PROD60"/>
    <s v="Luxury Perfume Spray"/>
    <x v="2"/>
    <s v="Fragrance"/>
    <s v="Gibson, Green and Lopez"/>
    <n v="482.75"/>
    <n v="444"/>
  </r>
  <r>
    <s v="PROD61"/>
    <s v="Tennis Ball 3-Pack"/>
    <x v="4"/>
    <s v="Equipment"/>
    <s v="Lopez LLC"/>
    <n v="103.45"/>
    <n v="465"/>
  </r>
  <r>
    <s v="PROD62"/>
    <s v="Laptop Cooling Pad"/>
    <x v="0"/>
    <s v="Computer"/>
    <s v="Murray, Gould and Ware"/>
    <n v="86.42"/>
    <n v="222"/>
  </r>
  <r>
    <s v="PROD63"/>
    <s v="Organic Sunscreen Lotion"/>
    <x v="2"/>
    <s v="Skincare"/>
    <s v="Anderson-Riley"/>
    <n v="266.86"/>
    <n v="458"/>
  </r>
  <r>
    <s v="PROD64"/>
    <s v="Matte Lipstick Set"/>
    <x v="2"/>
    <s v="Makeup"/>
    <s v="Zhang Inc"/>
    <n v="299.11"/>
    <n v="118"/>
  </r>
  <r>
    <s v="PROD65"/>
    <s v="Adjustable Dumbbells 20kg"/>
    <x v="4"/>
    <s v="Fitness"/>
    <s v="Montgomery, Benton and Miller"/>
    <n v="240.63"/>
    <n v="423"/>
  </r>
  <r>
    <s v="PROD66"/>
    <s v="Women's Hair Dryer Brush"/>
    <x v="2"/>
    <s v="Haircare"/>
    <s v="Torres, Spencer and Potter"/>
    <n v="340.39"/>
    <n v="177"/>
  </r>
  <r>
    <s v="PROD67"/>
    <s v="Smart LED Light Strip"/>
    <x v="0"/>
    <s v="Accessories"/>
    <s v="Flores-Davis"/>
    <n v="349.17"/>
    <n v="476"/>
  </r>
  <r>
    <s v="PROD68"/>
    <s v="Wooden Nightstand"/>
    <x v="3"/>
    <s v="Furniture"/>
    <s v="Wolfe, Ross and Hester"/>
    <n v="243.7"/>
    <n v="130"/>
  </r>
  <r>
    <s v="PROD69"/>
    <s v="Men's Sports Shorts"/>
    <x v="1"/>
    <s v="Bottoms"/>
    <s v="Fitzpatrick Ltd"/>
    <n v="218.22"/>
    <n v="224"/>
  </r>
  <r>
    <s v="PROD70"/>
    <s v="Kitchen Storage Rack"/>
    <x v="3"/>
    <s v="Storage"/>
    <s v="Duran Group"/>
    <n v="138.05000000000001"/>
    <n v="89"/>
  </r>
  <r>
    <s v="PROD71"/>
    <s v="Hair Repair Oil Treatment"/>
    <x v="2"/>
    <s v="Haircare"/>
    <s v="Hopkins Ltd"/>
    <n v="214.32"/>
    <n v="383"/>
  </r>
  <r>
    <s v="PROD72"/>
    <s v="Professional Jump Rope"/>
    <x v="4"/>
    <s v="Fitness"/>
    <s v="Davis PLC"/>
    <n v="477.61"/>
    <n v="300"/>
  </r>
  <r>
    <s v="PROD73"/>
    <s v="Shin Guards – Adult"/>
    <x v="4"/>
    <s v="Team Sports"/>
    <s v="French Ltd"/>
    <n v="107.06"/>
    <n v="359"/>
  </r>
  <r>
    <s v="PROD74"/>
    <s v="Bluetooth Car Audio System"/>
    <x v="0"/>
    <s v="Audio"/>
    <s v="Bruce-Bowen"/>
    <n v="403.71"/>
    <n v="159"/>
  </r>
  <r>
    <s v="PROD75"/>
    <s v="Women's Ankle Boots"/>
    <x v="1"/>
    <s v="Footwear"/>
    <s v="Poole PLC"/>
    <n v="158.13999999999999"/>
    <n v="82"/>
  </r>
  <r>
    <s v="PROD76"/>
    <s v="Wireless Mouse"/>
    <x v="0"/>
    <s v="Computer"/>
    <s v="Larson Ltd"/>
    <n v="392.89"/>
    <n v="320"/>
  </r>
  <r>
    <s v="PROD77"/>
    <s v="WiFi Mesh Router"/>
    <x v="0"/>
    <s v="Appliances"/>
    <s v="White, Reeves and Woods"/>
    <n v="480.9"/>
    <n v="104"/>
  </r>
  <r>
    <s v="PROD78"/>
    <s v="Essential Oil Diffuser"/>
    <x v="3"/>
    <s v="Decor"/>
    <s v="Hernandez Inc"/>
    <n v="325.26"/>
    <n v="400"/>
  </r>
  <r>
    <s v="PROD79"/>
    <s v="Decorative Lamp Shade"/>
    <x v="3"/>
    <s v="Lighting"/>
    <s v="Ramirez-Hanson"/>
    <n v="228.53"/>
    <n v="469"/>
  </r>
  <r>
    <s v="PROD80"/>
    <s v="Wall-Mounted Spice Rack"/>
    <x v="3"/>
    <s v="Kitchen"/>
    <s v="Allison Ltd"/>
    <n v="143.43"/>
    <n v="58"/>
  </r>
  <r>
    <s v="PROD81"/>
    <s v="Badminton Racket Set"/>
    <x v="4"/>
    <s v="Equipment"/>
    <s v="Robinson-Brown"/>
    <n v="285.54000000000002"/>
    <n v="358"/>
  </r>
  <r>
    <s v="PROD82"/>
    <s v="Fitness Resistance Bands"/>
    <x v="4"/>
    <s v="Fitness"/>
    <s v="Reese-Watson"/>
    <n v="152.91999999999999"/>
    <n v="281"/>
  </r>
  <r>
    <s v="PROD83"/>
    <s v="Hydrating Face Cleanser"/>
    <x v="2"/>
    <s v="Skincare"/>
    <s v="Butler Group"/>
    <m/>
    <n v="159"/>
  </r>
  <r>
    <s v="PROD84"/>
    <s v="Wooden Bookshelf"/>
    <x v="3"/>
    <s v="Furniture"/>
    <s v="Collins-Stephenson"/>
    <n v="388.46"/>
    <n v="208"/>
  </r>
  <r>
    <s v="PROD85"/>
    <s v="Women's Beanie Hat"/>
    <x v="1"/>
    <s v="Accessories"/>
    <s v="Richardson-Carrillo"/>
    <n v="119.57"/>
    <n v="210"/>
  </r>
  <r>
    <s v="PROD86"/>
    <s v="Kitchen Cutting Board"/>
    <x v="3"/>
    <s v="Kitchen"/>
    <s v="Taylor, Dodson and Johnston"/>
    <n v="176.07"/>
    <n v="82"/>
  </r>
  <r>
    <s v="PROD87"/>
    <s v="LED Bedside Lamp"/>
    <x v="3"/>
    <s v="Lighting"/>
    <s v="Aguilar, Horton and Lewis"/>
    <n v="371.38"/>
    <n v="220"/>
  </r>
  <r>
    <s v="PROD88"/>
    <s v="Sports Wrist Sweatbands"/>
    <x v="4"/>
    <s v="Accessories"/>
    <s v="Olsen-Daniels"/>
    <n v="131.24"/>
    <n v="232"/>
  </r>
  <r>
    <s v="PROD89"/>
    <s v="Face Foundation Kit"/>
    <x v="2"/>
    <s v="Makeup"/>
    <s v="Taylor-Elliott"/>
    <n v="183.04"/>
    <n v="457"/>
  </r>
  <r>
    <s v="PROD90"/>
    <s v="Gaming Mouse Pad XL"/>
    <x v="0"/>
    <s v="Accessories"/>
    <s v="Sharp, Taylor and Rodriguez"/>
    <n v="340.14"/>
    <n v="361"/>
  </r>
  <r>
    <s v="PROD91"/>
    <s v="Women's High Heels"/>
    <x v="1"/>
    <s v="Footwear"/>
    <s v="Smith-Charles"/>
    <n v="438.25"/>
    <n v="496"/>
  </r>
  <r>
    <s v="PROD92"/>
    <s v="Microwave Oven"/>
    <x v="3"/>
    <s v="Appliances"/>
    <s v="Green, Powell and Palmer"/>
    <n v="447.43"/>
    <n v="191"/>
  </r>
  <r>
    <s v="PROD93"/>
    <s v="USB-C Laptop Charger"/>
    <x v="0"/>
    <s v="Computer"/>
    <s v="Martin LLC"/>
    <n v="377.52"/>
    <n v="485"/>
  </r>
  <r>
    <s v="PROD94"/>
    <s v="Vitamin E Body Lotion"/>
    <x v="2"/>
    <s v="Skincare"/>
    <s v="Hoffman-Williams"/>
    <n v="358.47"/>
    <n v="213"/>
  </r>
  <r>
    <s v="PROD95"/>
    <s v="Sports Stopwatch Basic"/>
    <x v="4"/>
    <s v="Accessories"/>
    <s v="Wilson Group"/>
    <n v="60.65"/>
    <n v="75"/>
  </r>
  <r>
    <s v="PROD96"/>
    <s v="Women's Formal Blazer"/>
    <x v="1"/>
    <s v="Outerwear"/>
    <s v="Phillips and Sons"/>
    <n v="358.47"/>
    <n v="143"/>
  </r>
  <r>
    <s v="PROD97"/>
    <s v="Cricket Bat"/>
    <x v="4"/>
    <s v="Team Sports"/>
    <s v="Khan LLC"/>
    <n v="245.98"/>
    <n v="471"/>
  </r>
  <r>
    <s v="PROD98"/>
    <s v="Portable Bluetooth Speaker"/>
    <x v="0"/>
    <s v="Audio"/>
    <s v="Flores-King"/>
    <n v="431.67"/>
    <n v="73"/>
  </r>
  <r>
    <s v="PROD99"/>
    <s v="Stainless Steel Cookware Set"/>
    <x v="3"/>
    <s v="Kitchen"/>
    <s v="Campbell Ltd"/>
    <n v="201.41"/>
    <n v="146"/>
  </r>
  <r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8C607-713B-46B0-B657-E42C1A62CFF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5:K9" firstHeaderRow="1" firstDataRow="1" firstDataCol="1"/>
  <pivotFields count="8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E94B4-5DA2-400B-8E42-6BC483B58A5D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4:N10" firstHeaderRow="1" firstDataRow="1" firstDataCol="1"/>
  <pivotFields count="7">
    <pivotField dataField="1" showAll="0"/>
    <pivotField showAll="0"/>
    <pivotField axis="axisRow" showAll="0">
      <items count="7">
        <item x="2"/>
        <item x="1"/>
        <item x="0"/>
        <item x="3"/>
        <item x="4"/>
        <item h="1"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6080B-CD75-465E-91C9-A28CDE1E677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1" firstHeaderRow="1" firstDataRow="1" firstDataCol="1"/>
  <pivotFields count="5">
    <pivotField dataField="1"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82292-7AAB-4157-8DA8-29B36EB10DA6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A5:A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08913-5DD4-49A9-8384-2BA76F770E47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6:W1607" firstHeaderRow="1" firstDataRow="1" firstDataCol="1"/>
  <pivotFields count="18">
    <pivotField showAll="0"/>
    <pivotField showAll="0"/>
    <pivotField showAll="0">
      <items count="494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x="49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92">
        <item x="417"/>
        <item x="13"/>
        <item x="222"/>
        <item x="155"/>
        <item x="247"/>
        <item x="133"/>
        <item x="49"/>
        <item x="21"/>
        <item x="471"/>
        <item x="356"/>
        <item x="4"/>
        <item x="337"/>
        <item x="277"/>
        <item x="100"/>
        <item x="50"/>
        <item x="421"/>
        <item x="119"/>
        <item x="290"/>
        <item x="301"/>
        <item x="289"/>
        <item x="302"/>
        <item x="87"/>
        <item x="406"/>
        <item x="387"/>
        <item x="27"/>
        <item x="418"/>
        <item x="223"/>
        <item x="5"/>
        <item x="255"/>
        <item x="430"/>
        <item x="311"/>
        <item x="367"/>
        <item x="32"/>
        <item x="16"/>
        <item x="236"/>
        <item x="250"/>
        <item x="435"/>
        <item x="405"/>
        <item x="230"/>
        <item x="403"/>
        <item x="413"/>
        <item x="151"/>
        <item x="312"/>
        <item x="315"/>
        <item x="131"/>
        <item x="168"/>
        <item x="285"/>
        <item x="332"/>
        <item x="128"/>
        <item x="377"/>
        <item x="309"/>
        <item x="134"/>
        <item x="291"/>
        <item x="371"/>
        <item x="286"/>
        <item x="411"/>
        <item x="229"/>
        <item x="351"/>
        <item x="279"/>
        <item x="392"/>
        <item x="79"/>
        <item x="173"/>
        <item x="319"/>
        <item x="118"/>
        <item x="433"/>
        <item x="322"/>
        <item x="132"/>
        <item x="361"/>
        <item x="145"/>
        <item x="399"/>
        <item x="107"/>
        <item x="431"/>
        <item x="62"/>
        <item x="189"/>
        <item x="347"/>
        <item x="412"/>
        <item x="397"/>
        <item x="136"/>
        <item x="64"/>
        <item x="98"/>
        <item x="110"/>
        <item x="165"/>
        <item x="252"/>
        <item x="246"/>
        <item x="408"/>
        <item x="2"/>
        <item x="307"/>
        <item x="42"/>
        <item x="125"/>
        <item x="415"/>
        <item x="148"/>
        <item x="209"/>
        <item x="353"/>
        <item x="205"/>
        <item x="220"/>
        <item x="137"/>
        <item x="438"/>
        <item x="370"/>
        <item x="335"/>
        <item x="260"/>
        <item x="219"/>
        <item x="175"/>
        <item x="85"/>
        <item x="396"/>
        <item x="409"/>
        <item x="57"/>
        <item x="37"/>
        <item x="358"/>
        <item x="68"/>
        <item x="63"/>
        <item x="288"/>
        <item x="111"/>
        <item x="36"/>
        <item x="83"/>
        <item x="91"/>
        <item x="89"/>
        <item x="457"/>
        <item x="81"/>
        <item x="18"/>
        <item x="9"/>
        <item x="423"/>
        <item x="53"/>
        <item x="164"/>
        <item x="404"/>
        <item x="197"/>
        <item x="339"/>
        <item x="257"/>
        <item x="196"/>
        <item x="478"/>
        <item x="321"/>
        <item x="80"/>
        <item x="375"/>
        <item x="157"/>
        <item x="378"/>
        <item x="398"/>
        <item x="72"/>
        <item x="92"/>
        <item x="424"/>
        <item x="237"/>
        <item x="8"/>
        <item x="47"/>
        <item x="231"/>
        <item x="207"/>
        <item x="150"/>
        <item x="40"/>
        <item x="120"/>
        <item x="308"/>
        <item x="160"/>
        <item x="22"/>
        <item x="129"/>
        <item x="453"/>
        <item x="400"/>
        <item x="218"/>
        <item x="450"/>
        <item x="163"/>
        <item x="369"/>
        <item x="45"/>
        <item x="95"/>
        <item x="343"/>
        <item x="130"/>
        <item x="182"/>
        <item x="25"/>
        <item x="329"/>
        <item x="280"/>
        <item x="281"/>
        <item x="33"/>
        <item x="73"/>
        <item x="310"/>
        <item x="232"/>
        <item x="195"/>
        <item x="233"/>
        <item x="144"/>
        <item x="88"/>
        <item x="227"/>
        <item x="464"/>
        <item x="243"/>
        <item x="383"/>
        <item x="115"/>
        <item x="275"/>
        <item x="434"/>
        <item x="474"/>
        <item x="342"/>
        <item x="55"/>
        <item x="360"/>
        <item x="262"/>
        <item x="373"/>
        <item x="60"/>
        <item x="475"/>
        <item x="420"/>
        <item x="334"/>
        <item x="179"/>
        <item x="261"/>
        <item x="94"/>
        <item x="259"/>
        <item x="140"/>
        <item x="467"/>
        <item x="56"/>
        <item x="388"/>
        <item x="267"/>
        <item x="270"/>
        <item x="93"/>
        <item x="211"/>
        <item x="254"/>
        <item x="331"/>
        <item x="436"/>
        <item x="458"/>
        <item x="338"/>
        <item x="106"/>
        <item x="376"/>
        <item x="238"/>
        <item x="484"/>
        <item x="52"/>
        <item x="31"/>
        <item x="51"/>
        <item x="24"/>
        <item x="41"/>
        <item x="480"/>
        <item x="456"/>
        <item x="452"/>
        <item x="212"/>
        <item x="11"/>
        <item x="296"/>
        <item x="203"/>
        <item x="416"/>
        <item x="489"/>
        <item x="71"/>
        <item x="459"/>
        <item x="121"/>
        <item x="359"/>
        <item x="3"/>
        <item x="316"/>
        <item x="479"/>
        <item x="485"/>
        <item x="292"/>
        <item x="123"/>
        <item x="6"/>
        <item x="76"/>
        <item x="38"/>
        <item x="326"/>
        <item x="192"/>
        <item x="442"/>
        <item x="449"/>
        <item x="208"/>
        <item x="114"/>
        <item x="174"/>
        <item x="298"/>
        <item x="414"/>
        <item x="86"/>
        <item x="276"/>
        <item x="444"/>
        <item x="401"/>
        <item x="29"/>
        <item x="317"/>
        <item x="469"/>
        <item x="34"/>
        <item x="487"/>
        <item x="429"/>
        <item x="374"/>
        <item x="20"/>
        <item x="74"/>
        <item x="482"/>
        <item x="186"/>
        <item x="266"/>
        <item x="352"/>
        <item x="439"/>
        <item x="221"/>
        <item x="216"/>
        <item x="75"/>
        <item x="258"/>
        <item x="187"/>
        <item x="476"/>
        <item x="357"/>
        <item x="264"/>
        <item x="172"/>
        <item x="245"/>
        <item x="171"/>
        <item x="313"/>
        <item x="422"/>
        <item x="336"/>
        <item x="349"/>
        <item x="141"/>
        <item x="204"/>
        <item x="251"/>
        <item x="278"/>
        <item x="161"/>
        <item x="149"/>
        <item x="101"/>
        <item x="268"/>
        <item x="354"/>
        <item x="116"/>
        <item x="425"/>
        <item x="432"/>
        <item x="169"/>
        <item x="249"/>
        <item x="461"/>
        <item x="15"/>
        <item x="124"/>
        <item x="69"/>
        <item x="304"/>
        <item x="477"/>
        <item x="300"/>
        <item x="372"/>
        <item x="44"/>
        <item x="466"/>
        <item x="19"/>
        <item x="472"/>
        <item x="48"/>
        <item x="306"/>
        <item x="58"/>
        <item x="340"/>
        <item x="78"/>
        <item x="451"/>
        <item x="156"/>
        <item x="113"/>
        <item x="176"/>
        <item x="299"/>
        <item x="162"/>
        <item x="272"/>
        <item x="104"/>
        <item x="379"/>
        <item x="273"/>
        <item x="446"/>
        <item x="54"/>
        <item x="167"/>
        <item x="153"/>
        <item x="97"/>
        <item x="90"/>
        <item x="46"/>
        <item x="443"/>
        <item x="395"/>
        <item x="381"/>
        <item x="1"/>
        <item x="170"/>
        <item x="314"/>
        <item x="96"/>
        <item x="483"/>
        <item x="10"/>
        <item x="67"/>
        <item x="363"/>
        <item x="295"/>
        <item x="393"/>
        <item x="328"/>
        <item x="318"/>
        <item x="117"/>
        <item x="142"/>
        <item x="481"/>
        <item x="324"/>
        <item x="23"/>
        <item x="234"/>
        <item x="283"/>
        <item x="17"/>
        <item x="239"/>
        <item x="99"/>
        <item x="465"/>
        <item x="488"/>
        <item x="210"/>
        <item x="158"/>
        <item x="126"/>
        <item x="462"/>
        <item x="253"/>
        <item x="348"/>
        <item x="440"/>
        <item x="84"/>
        <item x="445"/>
        <item x="135"/>
        <item x="198"/>
        <item x="240"/>
        <item x="447"/>
        <item x="200"/>
        <item x="463"/>
        <item x="391"/>
        <item x="303"/>
        <item x="199"/>
        <item x="7"/>
        <item x="427"/>
        <item x="341"/>
        <item x="127"/>
        <item x="330"/>
        <item x="166"/>
        <item x="147"/>
        <item x="66"/>
        <item x="61"/>
        <item x="77"/>
        <item x="177"/>
        <item x="454"/>
        <item x="345"/>
        <item x="402"/>
        <item x="244"/>
        <item x="486"/>
        <item x="305"/>
        <item x="213"/>
        <item x="323"/>
        <item x="152"/>
        <item x="214"/>
        <item x="426"/>
        <item x="224"/>
        <item x="269"/>
        <item x="419"/>
        <item x="181"/>
        <item x="217"/>
        <item x="282"/>
        <item x="441"/>
        <item x="109"/>
        <item x="366"/>
        <item x="190"/>
        <item x="65"/>
        <item x="180"/>
        <item x="241"/>
        <item x="154"/>
        <item x="143"/>
        <item x="43"/>
        <item x="385"/>
        <item x="386"/>
        <item x="368"/>
        <item x="256"/>
        <item x="0"/>
        <item x="468"/>
        <item x="188"/>
        <item x="215"/>
        <item x="102"/>
        <item x="159"/>
        <item x="30"/>
        <item x="455"/>
        <item x="184"/>
        <item x="382"/>
        <item x="284"/>
        <item x="437"/>
        <item x="265"/>
        <item x="178"/>
        <item x="384"/>
        <item x="380"/>
        <item x="14"/>
        <item x="428"/>
        <item x="248"/>
        <item x="460"/>
        <item x="333"/>
        <item x="410"/>
        <item x="185"/>
        <item x="293"/>
        <item x="470"/>
        <item x="201"/>
        <item x="26"/>
        <item x="448"/>
        <item x="146"/>
        <item x="390"/>
        <item x="35"/>
        <item x="362"/>
        <item x="294"/>
        <item x="271"/>
        <item x="202"/>
        <item x="346"/>
        <item x="122"/>
        <item x="28"/>
        <item x="206"/>
        <item x="355"/>
        <item x="394"/>
        <item x="191"/>
        <item x="327"/>
        <item x="350"/>
        <item x="389"/>
        <item x="103"/>
        <item x="407"/>
        <item x="325"/>
        <item x="183"/>
        <item x="235"/>
        <item x="225"/>
        <item x="320"/>
        <item x="39"/>
        <item x="274"/>
        <item x="105"/>
        <item x="297"/>
        <item x="82"/>
        <item x="139"/>
        <item x="70"/>
        <item x="138"/>
        <item x="242"/>
        <item x="263"/>
        <item x="59"/>
        <item x="473"/>
        <item x="112"/>
        <item x="226"/>
        <item x="364"/>
        <item x="12"/>
        <item x="365"/>
        <item x="193"/>
        <item x="194"/>
        <item x="344"/>
        <item x="228"/>
        <item x="108"/>
        <item x="287"/>
        <item x="490"/>
        <item t="default"/>
      </items>
    </pivotField>
  </pivotFields>
  <rowFields count="2">
    <field x="17"/>
    <field x="8"/>
  </rowFields>
  <rowItems count="159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>
      <x v="5"/>
    </i>
    <i r="1">
      <x/>
    </i>
    <i r="1">
      <x v="2"/>
    </i>
    <i>
      <x v="6"/>
    </i>
    <i r="1">
      <x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>
      <x v="11"/>
    </i>
    <i r="1">
      <x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 v="1"/>
    </i>
    <i r="1">
      <x v="2"/>
    </i>
    <i>
      <x v="15"/>
    </i>
    <i r="1">
      <x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2"/>
    </i>
    <i>
      <x v="18"/>
    </i>
    <i r="1">
      <x/>
    </i>
    <i r="1">
      <x v="1"/>
    </i>
    <i>
      <x v="19"/>
    </i>
    <i r="1">
      <x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 r="1">
      <x v="2"/>
    </i>
    <i>
      <x v="25"/>
    </i>
    <i r="1">
      <x/>
    </i>
    <i r="1">
      <x v="2"/>
    </i>
    <i>
      <x v="26"/>
    </i>
    <i r="1">
      <x v="1"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1"/>
    </i>
    <i r="1">
      <x v="2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 v="2"/>
    </i>
    <i>
      <x v="32"/>
    </i>
    <i r="1">
      <x v="1"/>
    </i>
    <i r="1">
      <x v="2"/>
    </i>
    <i>
      <x v="33"/>
    </i>
    <i r="1">
      <x/>
    </i>
    <i r="1">
      <x v="1"/>
    </i>
    <i r="1">
      <x v="2"/>
    </i>
    <i>
      <x v="34"/>
    </i>
    <i r="1">
      <x v="2"/>
    </i>
    <i>
      <x v="35"/>
    </i>
    <i r="1">
      <x v="1"/>
    </i>
    <i r="1">
      <x v="2"/>
    </i>
    <i>
      <x v="36"/>
    </i>
    <i r="1">
      <x v="1"/>
    </i>
    <i r="1">
      <x v="2"/>
    </i>
    <i>
      <x v="37"/>
    </i>
    <i r="1">
      <x/>
    </i>
    <i r="1">
      <x v="1"/>
    </i>
    <i r="1">
      <x v="2"/>
    </i>
    <i>
      <x v="38"/>
    </i>
    <i r="1">
      <x v="1"/>
    </i>
    <i r="1">
      <x v="2"/>
    </i>
    <i>
      <x v="39"/>
    </i>
    <i r="1">
      <x/>
    </i>
    <i>
      <x v="40"/>
    </i>
    <i r="1">
      <x/>
    </i>
    <i r="1">
      <x v="1"/>
    </i>
    <i r="1">
      <x v="2"/>
    </i>
    <i>
      <x v="41"/>
    </i>
    <i r="1">
      <x/>
    </i>
    <i r="1">
      <x v="1"/>
    </i>
    <i r="1">
      <x v="2"/>
    </i>
    <i>
      <x v="42"/>
    </i>
    <i r="1">
      <x/>
    </i>
    <i r="1">
      <x v="1"/>
    </i>
    <i r="1">
      <x v="2"/>
    </i>
    <i>
      <x v="43"/>
    </i>
    <i r="1">
      <x/>
    </i>
    <i r="1">
      <x v="1"/>
    </i>
    <i r="1">
      <x v="2"/>
    </i>
    <i>
      <x v="44"/>
    </i>
    <i r="1">
      <x/>
    </i>
    <i r="1">
      <x v="1"/>
    </i>
    <i r="1">
      <x v="2"/>
    </i>
    <i>
      <x v="45"/>
    </i>
    <i r="1">
      <x v="1"/>
    </i>
    <i r="1">
      <x v="2"/>
    </i>
    <i>
      <x v="46"/>
    </i>
    <i r="1">
      <x/>
    </i>
    <i r="1">
      <x v="1"/>
    </i>
    <i r="1">
      <x v="2"/>
    </i>
    <i>
      <x v="47"/>
    </i>
    <i r="1">
      <x/>
    </i>
    <i r="1">
      <x v="2"/>
    </i>
    <i>
      <x v="48"/>
    </i>
    <i r="1">
      <x/>
    </i>
    <i r="1">
      <x v="1"/>
    </i>
    <i r="1">
      <x v="2"/>
    </i>
    <i>
      <x v="49"/>
    </i>
    <i r="1">
      <x/>
    </i>
    <i r="1">
      <x v="1"/>
    </i>
    <i>
      <x v="50"/>
    </i>
    <i r="1">
      <x/>
    </i>
    <i r="1">
      <x v="1"/>
    </i>
    <i r="1">
      <x v="2"/>
    </i>
    <i>
      <x v="51"/>
    </i>
    <i r="1">
      <x/>
    </i>
    <i r="1">
      <x v="1"/>
    </i>
    <i>
      <x v="52"/>
    </i>
    <i r="1">
      <x v="1"/>
    </i>
    <i r="1">
      <x v="2"/>
    </i>
    <i>
      <x v="53"/>
    </i>
    <i r="1">
      <x/>
    </i>
    <i r="1">
      <x v="1"/>
    </i>
    <i r="1">
      <x v="2"/>
    </i>
    <i>
      <x v="54"/>
    </i>
    <i r="1">
      <x v="1"/>
    </i>
    <i r="1">
      <x v="2"/>
    </i>
    <i>
      <x v="55"/>
    </i>
    <i r="1">
      <x/>
    </i>
    <i r="1">
      <x v="2"/>
    </i>
    <i>
      <x v="56"/>
    </i>
    <i r="1">
      <x/>
    </i>
    <i r="1">
      <x v="1"/>
    </i>
    <i>
      <x v="57"/>
    </i>
    <i r="1">
      <x/>
    </i>
    <i r="1">
      <x v="1"/>
    </i>
    <i r="1">
      <x v="2"/>
    </i>
    <i>
      <x v="58"/>
    </i>
    <i r="1">
      <x/>
    </i>
    <i r="1">
      <x v="1"/>
    </i>
    <i r="1">
      <x v="2"/>
    </i>
    <i>
      <x v="59"/>
    </i>
    <i r="1">
      <x/>
    </i>
    <i r="1">
      <x v="1"/>
    </i>
    <i r="1">
      <x v="2"/>
    </i>
    <i>
      <x v="60"/>
    </i>
    <i r="1">
      <x/>
    </i>
    <i r="1">
      <x v="1"/>
    </i>
    <i>
      <x v="61"/>
    </i>
    <i r="1">
      <x/>
    </i>
    <i r="1">
      <x v="1"/>
    </i>
    <i>
      <x v="62"/>
    </i>
    <i r="1">
      <x v="1"/>
    </i>
    <i r="1">
      <x v="2"/>
    </i>
    <i>
      <x v="63"/>
    </i>
    <i r="1">
      <x/>
    </i>
    <i r="1">
      <x v="2"/>
    </i>
    <i>
      <x v="64"/>
    </i>
    <i r="1">
      <x/>
    </i>
    <i r="1">
      <x v="1"/>
    </i>
    <i r="1">
      <x v="2"/>
    </i>
    <i>
      <x v="65"/>
    </i>
    <i r="1">
      <x v="2"/>
    </i>
    <i>
      <x v="66"/>
    </i>
    <i r="1">
      <x/>
    </i>
    <i r="1">
      <x v="1"/>
    </i>
    <i r="1">
      <x v="2"/>
    </i>
    <i>
      <x v="67"/>
    </i>
    <i r="1">
      <x/>
    </i>
    <i r="1">
      <x v="1"/>
    </i>
    <i r="1">
      <x v="2"/>
    </i>
    <i>
      <x v="68"/>
    </i>
    <i r="1">
      <x/>
    </i>
    <i r="1">
      <x v="1"/>
    </i>
    <i>
      <x v="69"/>
    </i>
    <i r="1">
      <x/>
    </i>
    <i r="1">
      <x v="1"/>
    </i>
    <i>
      <x v="70"/>
    </i>
    <i r="1">
      <x/>
    </i>
    <i r="1">
      <x v="1"/>
    </i>
    <i>
      <x v="71"/>
    </i>
    <i r="1">
      <x/>
    </i>
    <i r="1">
      <x v="1"/>
    </i>
    <i r="1">
      <x v="2"/>
    </i>
    <i>
      <x v="72"/>
    </i>
    <i r="1">
      <x/>
    </i>
    <i r="1">
      <x v="1"/>
    </i>
    <i r="1">
      <x v="2"/>
    </i>
    <i>
      <x v="73"/>
    </i>
    <i r="1">
      <x/>
    </i>
    <i r="1">
      <x v="1"/>
    </i>
    <i r="1">
      <x v="2"/>
    </i>
    <i>
      <x v="74"/>
    </i>
    <i r="1">
      <x/>
    </i>
    <i r="1">
      <x v="1"/>
    </i>
    <i r="1">
      <x v="2"/>
    </i>
    <i>
      <x v="75"/>
    </i>
    <i r="1">
      <x v="1"/>
    </i>
    <i r="1">
      <x v="2"/>
    </i>
    <i>
      <x v="76"/>
    </i>
    <i r="1">
      <x/>
    </i>
    <i r="1">
      <x v="1"/>
    </i>
    <i r="1">
      <x v="2"/>
    </i>
    <i>
      <x v="77"/>
    </i>
    <i r="1">
      <x v="2"/>
    </i>
    <i>
      <x v="78"/>
    </i>
    <i r="1">
      <x/>
    </i>
    <i r="1">
      <x v="1"/>
    </i>
    <i r="1">
      <x v="2"/>
    </i>
    <i>
      <x v="79"/>
    </i>
    <i r="1">
      <x/>
    </i>
    <i r="1">
      <x v="1"/>
    </i>
    <i r="1">
      <x v="2"/>
    </i>
    <i>
      <x v="80"/>
    </i>
    <i r="1">
      <x/>
    </i>
    <i r="1">
      <x v="1"/>
    </i>
    <i r="1">
      <x v="2"/>
    </i>
    <i>
      <x v="81"/>
    </i>
    <i r="1">
      <x/>
    </i>
    <i r="1">
      <x v="1"/>
    </i>
    <i r="1">
      <x v="2"/>
    </i>
    <i>
      <x v="82"/>
    </i>
    <i r="1">
      <x/>
    </i>
    <i r="1">
      <x v="1"/>
    </i>
    <i r="1">
      <x v="2"/>
    </i>
    <i>
      <x v="83"/>
    </i>
    <i r="1">
      <x/>
    </i>
    <i r="1">
      <x v="1"/>
    </i>
    <i r="1">
      <x v="2"/>
    </i>
    <i>
      <x v="84"/>
    </i>
    <i r="1">
      <x/>
    </i>
    <i r="1">
      <x v="1"/>
    </i>
    <i r="1">
      <x v="2"/>
    </i>
    <i>
      <x v="85"/>
    </i>
    <i r="1">
      <x/>
    </i>
    <i r="1">
      <x v="1"/>
    </i>
    <i>
      <x v="86"/>
    </i>
    <i r="1">
      <x/>
    </i>
    <i r="1">
      <x v="1"/>
    </i>
    <i>
      <x v="87"/>
    </i>
    <i r="1">
      <x/>
    </i>
    <i r="1">
      <x v="1"/>
    </i>
    <i r="1">
      <x v="2"/>
    </i>
    <i>
      <x v="88"/>
    </i>
    <i r="1">
      <x/>
    </i>
    <i r="1">
      <x v="2"/>
    </i>
    <i>
      <x v="89"/>
    </i>
    <i r="1">
      <x/>
    </i>
    <i r="1">
      <x v="1"/>
    </i>
    <i>
      <x v="90"/>
    </i>
    <i r="1">
      <x/>
    </i>
    <i r="1">
      <x v="1"/>
    </i>
    <i r="1">
      <x v="2"/>
    </i>
    <i>
      <x v="91"/>
    </i>
    <i r="1">
      <x/>
    </i>
    <i r="1">
      <x v="1"/>
    </i>
    <i r="1">
      <x v="2"/>
    </i>
    <i>
      <x v="92"/>
    </i>
    <i r="1">
      <x/>
    </i>
    <i r="1">
      <x v="1"/>
    </i>
    <i>
      <x v="93"/>
    </i>
    <i r="1">
      <x v="1"/>
    </i>
    <i r="1">
      <x v="2"/>
    </i>
    <i>
      <x v="94"/>
    </i>
    <i r="1">
      <x/>
    </i>
    <i r="1">
      <x v="2"/>
    </i>
    <i>
      <x v="95"/>
    </i>
    <i r="1">
      <x/>
    </i>
    <i>
      <x v="96"/>
    </i>
    <i r="1">
      <x v="2"/>
    </i>
    <i>
      <x v="97"/>
    </i>
    <i r="1">
      <x v="1"/>
    </i>
    <i r="1">
      <x v="2"/>
    </i>
    <i>
      <x v="98"/>
    </i>
    <i r="1">
      <x/>
    </i>
    <i r="1">
      <x v="1"/>
    </i>
    <i r="1">
      <x v="2"/>
    </i>
    <i>
      <x v="99"/>
    </i>
    <i r="1">
      <x/>
    </i>
    <i r="1">
      <x v="1"/>
    </i>
    <i r="1">
      <x v="2"/>
    </i>
    <i>
      <x v="100"/>
    </i>
    <i r="1">
      <x/>
    </i>
    <i r="1">
      <x v="1"/>
    </i>
    <i r="1">
      <x v="2"/>
    </i>
    <i>
      <x v="101"/>
    </i>
    <i r="1">
      <x/>
    </i>
    <i r="1">
      <x v="1"/>
    </i>
    <i r="1">
      <x v="2"/>
    </i>
    <i>
      <x v="102"/>
    </i>
    <i r="1">
      <x/>
    </i>
    <i r="1">
      <x v="1"/>
    </i>
    <i r="1">
      <x v="2"/>
    </i>
    <i>
      <x v="103"/>
    </i>
    <i r="1">
      <x v="1"/>
    </i>
    <i r="1">
      <x v="2"/>
    </i>
    <i>
      <x v="104"/>
    </i>
    <i r="1">
      <x v="2"/>
    </i>
    <i>
      <x v="105"/>
    </i>
    <i r="1">
      <x/>
    </i>
    <i r="1">
      <x v="1"/>
    </i>
    <i>
      <x v="106"/>
    </i>
    <i r="1">
      <x/>
    </i>
    <i>
      <x v="107"/>
    </i>
    <i r="1">
      <x v="1"/>
    </i>
    <i>
      <x v="108"/>
    </i>
    <i r="1">
      <x/>
    </i>
    <i r="1">
      <x v="1"/>
    </i>
    <i r="1">
      <x v="2"/>
    </i>
    <i>
      <x v="109"/>
    </i>
    <i r="1">
      <x/>
    </i>
    <i r="1">
      <x v="1"/>
    </i>
    <i r="1">
      <x v="2"/>
    </i>
    <i>
      <x v="110"/>
    </i>
    <i r="1">
      <x v="1"/>
    </i>
    <i r="1">
      <x v="2"/>
    </i>
    <i>
      <x v="111"/>
    </i>
    <i r="1">
      <x/>
    </i>
    <i r="1">
      <x v="1"/>
    </i>
    <i r="1">
      <x v="2"/>
    </i>
    <i>
      <x v="112"/>
    </i>
    <i r="1">
      <x/>
    </i>
    <i r="1">
      <x v="1"/>
    </i>
    <i r="1">
      <x v="2"/>
    </i>
    <i>
      <x v="113"/>
    </i>
    <i r="1">
      <x/>
    </i>
    <i r="1">
      <x v="2"/>
    </i>
    <i>
      <x v="114"/>
    </i>
    <i r="1">
      <x/>
    </i>
    <i r="1">
      <x v="2"/>
    </i>
    <i>
      <x v="115"/>
    </i>
    <i r="1">
      <x/>
    </i>
    <i r="1">
      <x v="2"/>
    </i>
    <i>
      <x v="116"/>
    </i>
    <i r="1">
      <x/>
    </i>
    <i r="1">
      <x v="2"/>
    </i>
    <i>
      <x v="117"/>
    </i>
    <i r="1">
      <x/>
    </i>
    <i r="1">
      <x v="1"/>
    </i>
    <i r="1">
      <x v="2"/>
    </i>
    <i>
      <x v="118"/>
    </i>
    <i r="1">
      <x/>
    </i>
    <i r="1">
      <x v="1"/>
    </i>
    <i r="1">
      <x v="2"/>
    </i>
    <i>
      <x v="119"/>
    </i>
    <i r="1">
      <x/>
    </i>
    <i r="1">
      <x v="1"/>
    </i>
    <i r="1">
      <x v="2"/>
    </i>
    <i>
      <x v="120"/>
    </i>
    <i r="1">
      <x/>
    </i>
    <i r="1">
      <x v="1"/>
    </i>
    <i r="1">
      <x v="2"/>
    </i>
    <i>
      <x v="121"/>
    </i>
    <i r="1">
      <x v="2"/>
    </i>
    <i>
      <x v="122"/>
    </i>
    <i r="1">
      <x v="1"/>
    </i>
    <i>
      <x v="123"/>
    </i>
    <i r="1">
      <x/>
    </i>
    <i r="1">
      <x v="1"/>
    </i>
    <i r="1">
      <x v="2"/>
    </i>
    <i>
      <x v="124"/>
    </i>
    <i r="1">
      <x/>
    </i>
    <i r="1">
      <x v="1"/>
    </i>
    <i r="1">
      <x v="2"/>
    </i>
    <i>
      <x v="125"/>
    </i>
    <i r="1">
      <x/>
    </i>
    <i r="1">
      <x v="1"/>
    </i>
    <i r="1">
      <x v="2"/>
    </i>
    <i>
      <x v="126"/>
    </i>
    <i r="1">
      <x/>
    </i>
    <i>
      <x v="127"/>
    </i>
    <i r="1">
      <x/>
    </i>
    <i r="1">
      <x v="1"/>
    </i>
    <i r="1">
      <x v="2"/>
    </i>
    <i>
      <x v="128"/>
    </i>
    <i r="1">
      <x v="1"/>
    </i>
    <i>
      <x v="129"/>
    </i>
    <i r="1">
      <x/>
    </i>
    <i r="1">
      <x v="1"/>
    </i>
    <i>
      <x v="130"/>
    </i>
    <i r="1">
      <x/>
    </i>
    <i r="1">
      <x v="2"/>
    </i>
    <i>
      <x v="131"/>
    </i>
    <i r="1">
      <x/>
    </i>
    <i r="1">
      <x v="2"/>
    </i>
    <i>
      <x v="132"/>
    </i>
    <i r="1">
      <x/>
    </i>
    <i>
      <x v="133"/>
    </i>
    <i r="1">
      <x v="1"/>
    </i>
    <i r="1">
      <x v="2"/>
    </i>
    <i>
      <x v="134"/>
    </i>
    <i r="1">
      <x/>
    </i>
    <i r="1">
      <x v="1"/>
    </i>
    <i r="1">
      <x v="2"/>
    </i>
    <i>
      <x v="135"/>
    </i>
    <i r="1">
      <x v="1"/>
    </i>
    <i r="1">
      <x v="2"/>
    </i>
    <i>
      <x v="136"/>
    </i>
    <i r="1">
      <x/>
    </i>
    <i r="1">
      <x v="1"/>
    </i>
    <i r="1">
      <x v="2"/>
    </i>
    <i>
      <x v="137"/>
    </i>
    <i r="1">
      <x v="2"/>
    </i>
    <i>
      <x v="138"/>
    </i>
    <i r="1">
      <x v="1"/>
    </i>
    <i r="1">
      <x v="2"/>
    </i>
    <i>
      <x v="139"/>
    </i>
    <i r="1">
      <x v="1"/>
    </i>
    <i r="1">
      <x v="2"/>
    </i>
    <i>
      <x v="140"/>
    </i>
    <i r="1">
      <x/>
    </i>
    <i r="1">
      <x v="1"/>
    </i>
    <i r="1">
      <x v="2"/>
    </i>
    <i>
      <x v="141"/>
    </i>
    <i r="1">
      <x v="2"/>
    </i>
    <i>
      <x v="142"/>
    </i>
    <i r="1">
      <x/>
    </i>
    <i r="1">
      <x v="1"/>
    </i>
    <i r="1">
      <x v="2"/>
    </i>
    <i>
      <x v="143"/>
    </i>
    <i r="1">
      <x/>
    </i>
    <i r="1">
      <x v="1"/>
    </i>
    <i r="1">
      <x v="2"/>
    </i>
    <i>
      <x v="144"/>
    </i>
    <i r="1">
      <x v="2"/>
    </i>
    <i>
      <x v="145"/>
    </i>
    <i r="1">
      <x/>
    </i>
    <i r="1">
      <x v="1"/>
    </i>
    <i>
      <x v="146"/>
    </i>
    <i r="1">
      <x/>
    </i>
    <i>
      <x v="147"/>
    </i>
    <i r="1">
      <x/>
    </i>
    <i>
      <x v="148"/>
    </i>
    <i r="1">
      <x/>
    </i>
    <i r="1">
      <x v="1"/>
    </i>
    <i r="1">
      <x v="2"/>
    </i>
    <i>
      <x v="149"/>
    </i>
    <i r="1">
      <x/>
    </i>
    <i r="1">
      <x v="1"/>
    </i>
    <i r="1">
      <x v="2"/>
    </i>
    <i>
      <x v="150"/>
    </i>
    <i r="1">
      <x v="1"/>
    </i>
    <i>
      <x v="151"/>
    </i>
    <i r="1">
      <x/>
    </i>
    <i r="1">
      <x v="1"/>
    </i>
    <i>
      <x v="152"/>
    </i>
    <i r="1">
      <x/>
    </i>
    <i r="1">
      <x v="1"/>
    </i>
    <i>
      <x v="153"/>
    </i>
    <i r="1">
      <x/>
    </i>
    <i>
      <x v="154"/>
    </i>
    <i r="1">
      <x v="2"/>
    </i>
    <i>
      <x v="155"/>
    </i>
    <i r="1">
      <x/>
    </i>
    <i r="1">
      <x v="1"/>
    </i>
    <i r="1">
      <x v="2"/>
    </i>
    <i>
      <x v="156"/>
    </i>
    <i r="1">
      <x/>
    </i>
    <i r="1">
      <x v="1"/>
    </i>
    <i r="1">
      <x v="2"/>
    </i>
    <i>
      <x v="157"/>
    </i>
    <i r="1">
      <x/>
    </i>
    <i r="1">
      <x v="2"/>
    </i>
    <i>
      <x v="158"/>
    </i>
    <i r="1">
      <x v="1"/>
    </i>
    <i r="1">
      <x v="2"/>
    </i>
    <i>
      <x v="159"/>
    </i>
    <i r="1">
      <x/>
    </i>
    <i r="1">
      <x v="1"/>
    </i>
    <i r="1">
      <x v="2"/>
    </i>
    <i>
      <x v="160"/>
    </i>
    <i r="1">
      <x/>
    </i>
    <i r="1">
      <x v="1"/>
    </i>
    <i r="1">
      <x v="2"/>
    </i>
    <i>
      <x v="161"/>
    </i>
    <i r="1">
      <x/>
    </i>
    <i r="1">
      <x v="1"/>
    </i>
    <i r="1">
      <x v="2"/>
    </i>
    <i>
      <x v="162"/>
    </i>
    <i r="1">
      <x v="1"/>
    </i>
    <i r="1">
      <x v="2"/>
    </i>
    <i>
      <x v="163"/>
    </i>
    <i r="1">
      <x/>
    </i>
    <i r="1">
      <x v="1"/>
    </i>
    <i>
      <x v="164"/>
    </i>
    <i r="1">
      <x/>
    </i>
    <i r="1">
      <x v="2"/>
    </i>
    <i>
      <x v="165"/>
    </i>
    <i r="1">
      <x/>
    </i>
    <i r="1">
      <x v="1"/>
    </i>
    <i r="1">
      <x v="2"/>
    </i>
    <i>
      <x v="166"/>
    </i>
    <i r="1">
      <x/>
    </i>
    <i r="1">
      <x v="1"/>
    </i>
    <i r="1">
      <x v="2"/>
    </i>
    <i>
      <x v="167"/>
    </i>
    <i r="1">
      <x/>
    </i>
    <i r="1">
      <x v="1"/>
    </i>
    <i r="1">
      <x v="2"/>
    </i>
    <i>
      <x v="168"/>
    </i>
    <i r="1">
      <x v="1"/>
    </i>
    <i r="1">
      <x v="2"/>
    </i>
    <i>
      <x v="169"/>
    </i>
    <i r="1">
      <x v="1"/>
    </i>
    <i r="1">
      <x v="2"/>
    </i>
    <i>
      <x v="170"/>
    </i>
    <i r="1">
      <x/>
    </i>
    <i r="1">
      <x v="1"/>
    </i>
    <i r="1">
      <x v="2"/>
    </i>
    <i>
      <x v="171"/>
    </i>
    <i r="1">
      <x/>
    </i>
    <i r="1">
      <x v="1"/>
    </i>
    <i r="1">
      <x v="2"/>
    </i>
    <i>
      <x v="172"/>
    </i>
    <i r="1">
      <x/>
    </i>
    <i r="1">
      <x v="1"/>
    </i>
    <i r="1">
      <x v="2"/>
    </i>
    <i>
      <x v="173"/>
    </i>
    <i r="1">
      <x/>
    </i>
    <i r="1">
      <x v="1"/>
    </i>
    <i r="1">
      <x v="2"/>
    </i>
    <i>
      <x v="174"/>
    </i>
    <i r="1">
      <x/>
    </i>
    <i>
      <x v="175"/>
    </i>
    <i r="1">
      <x/>
    </i>
    <i r="1">
      <x v="1"/>
    </i>
    <i r="1">
      <x v="2"/>
    </i>
    <i>
      <x v="176"/>
    </i>
    <i r="1">
      <x/>
    </i>
    <i r="1">
      <x v="1"/>
    </i>
    <i r="1">
      <x v="2"/>
    </i>
    <i>
      <x v="177"/>
    </i>
    <i r="1">
      <x v="1"/>
    </i>
    <i r="1">
      <x v="2"/>
    </i>
    <i>
      <x v="178"/>
    </i>
    <i r="1">
      <x/>
    </i>
    <i r="1">
      <x v="1"/>
    </i>
    <i>
      <x v="179"/>
    </i>
    <i r="1">
      <x v="1"/>
    </i>
    <i r="1">
      <x v="2"/>
    </i>
    <i>
      <x v="180"/>
    </i>
    <i r="1">
      <x/>
    </i>
    <i r="1">
      <x v="1"/>
    </i>
    <i>
      <x v="181"/>
    </i>
    <i r="1">
      <x v="2"/>
    </i>
    <i>
      <x v="182"/>
    </i>
    <i r="1">
      <x/>
    </i>
    <i r="1">
      <x v="1"/>
    </i>
    <i>
      <x v="183"/>
    </i>
    <i r="1">
      <x v="2"/>
    </i>
    <i>
      <x v="184"/>
    </i>
    <i r="1">
      <x/>
    </i>
    <i r="1">
      <x v="2"/>
    </i>
    <i>
      <x v="185"/>
    </i>
    <i r="1">
      <x v="1"/>
    </i>
    <i r="1">
      <x v="2"/>
    </i>
    <i>
      <x v="186"/>
    </i>
    <i r="1">
      <x/>
    </i>
    <i r="1">
      <x v="1"/>
    </i>
    <i r="1">
      <x v="2"/>
    </i>
    <i>
      <x v="187"/>
    </i>
    <i r="1">
      <x/>
    </i>
    <i r="1">
      <x v="1"/>
    </i>
    <i>
      <x v="188"/>
    </i>
    <i r="1">
      <x/>
    </i>
    <i r="1">
      <x v="1"/>
    </i>
    <i>
      <x v="189"/>
    </i>
    <i r="1">
      <x/>
    </i>
    <i r="1">
      <x v="1"/>
    </i>
    <i r="1">
      <x v="2"/>
    </i>
    <i>
      <x v="190"/>
    </i>
    <i r="1">
      <x/>
    </i>
    <i r="1">
      <x v="1"/>
    </i>
    <i r="1">
      <x v="2"/>
    </i>
    <i>
      <x v="191"/>
    </i>
    <i r="1">
      <x/>
    </i>
    <i r="1">
      <x v="1"/>
    </i>
    <i>
      <x v="192"/>
    </i>
    <i r="1">
      <x/>
    </i>
    <i r="1">
      <x v="1"/>
    </i>
    <i r="1">
      <x v="2"/>
    </i>
    <i>
      <x v="193"/>
    </i>
    <i r="1">
      <x/>
    </i>
    <i r="1">
      <x v="1"/>
    </i>
    <i r="1">
      <x v="2"/>
    </i>
    <i>
      <x v="194"/>
    </i>
    <i r="1">
      <x/>
    </i>
    <i r="1">
      <x v="1"/>
    </i>
    <i r="1">
      <x v="2"/>
    </i>
    <i>
      <x v="195"/>
    </i>
    <i r="1">
      <x/>
    </i>
    <i r="1">
      <x v="1"/>
    </i>
    <i>
      <x v="196"/>
    </i>
    <i r="1">
      <x/>
    </i>
    <i r="1">
      <x v="1"/>
    </i>
    <i>
      <x v="197"/>
    </i>
    <i r="1">
      <x/>
    </i>
    <i r="1">
      <x v="1"/>
    </i>
    <i>
      <x v="198"/>
    </i>
    <i r="1">
      <x v="1"/>
    </i>
    <i r="1">
      <x v="2"/>
    </i>
    <i>
      <x v="199"/>
    </i>
    <i r="1">
      <x/>
    </i>
    <i r="1">
      <x v="1"/>
    </i>
    <i>
      <x v="200"/>
    </i>
    <i r="1">
      <x v="1"/>
    </i>
    <i r="1">
      <x v="2"/>
    </i>
    <i>
      <x v="201"/>
    </i>
    <i r="1">
      <x/>
    </i>
    <i r="1">
      <x v="1"/>
    </i>
    <i r="1">
      <x v="2"/>
    </i>
    <i>
      <x v="202"/>
    </i>
    <i r="1">
      <x v="1"/>
    </i>
    <i r="1">
      <x v="2"/>
    </i>
    <i>
      <x v="203"/>
    </i>
    <i r="1">
      <x/>
    </i>
    <i r="1">
      <x v="1"/>
    </i>
    <i r="1">
      <x v="2"/>
    </i>
    <i>
      <x v="204"/>
    </i>
    <i r="1">
      <x v="1"/>
    </i>
    <i r="1">
      <x v="2"/>
    </i>
    <i>
      <x v="205"/>
    </i>
    <i r="1">
      <x/>
    </i>
    <i>
      <x v="206"/>
    </i>
    <i r="1">
      <x/>
    </i>
    <i r="1">
      <x v="1"/>
    </i>
    <i r="1">
      <x v="2"/>
    </i>
    <i>
      <x v="207"/>
    </i>
    <i r="1">
      <x/>
    </i>
    <i r="1">
      <x v="1"/>
    </i>
    <i>
      <x v="208"/>
    </i>
    <i r="1">
      <x/>
    </i>
    <i r="1">
      <x v="1"/>
    </i>
    <i r="1">
      <x v="2"/>
    </i>
    <i>
      <x v="209"/>
    </i>
    <i r="1">
      <x v="1"/>
    </i>
    <i>
      <x v="210"/>
    </i>
    <i r="1">
      <x v="1"/>
    </i>
    <i>
      <x v="211"/>
    </i>
    <i r="1">
      <x/>
    </i>
    <i r="1">
      <x v="2"/>
    </i>
    <i>
      <x v="212"/>
    </i>
    <i r="1">
      <x v="1"/>
    </i>
    <i>
      <x v="213"/>
    </i>
    <i r="1">
      <x/>
    </i>
    <i r="1">
      <x v="2"/>
    </i>
    <i>
      <x v="214"/>
    </i>
    <i r="1">
      <x v="1"/>
    </i>
    <i>
      <x v="215"/>
    </i>
    <i r="1">
      <x/>
    </i>
    <i r="1">
      <x v="2"/>
    </i>
    <i>
      <x v="216"/>
    </i>
    <i r="1">
      <x v="1"/>
    </i>
    <i r="1">
      <x v="2"/>
    </i>
    <i>
      <x v="217"/>
    </i>
    <i r="1">
      <x/>
    </i>
    <i r="1">
      <x v="1"/>
    </i>
    <i r="1">
      <x v="2"/>
    </i>
    <i>
      <x v="218"/>
    </i>
    <i r="1">
      <x/>
    </i>
    <i r="1">
      <x v="1"/>
    </i>
    <i r="1">
      <x v="2"/>
    </i>
    <i>
      <x v="219"/>
    </i>
    <i r="1">
      <x/>
    </i>
    <i r="1">
      <x v="1"/>
    </i>
    <i r="1">
      <x v="2"/>
    </i>
    <i>
      <x v="220"/>
    </i>
    <i r="1">
      <x v="1"/>
    </i>
    <i>
      <x v="221"/>
    </i>
    <i r="1">
      <x/>
    </i>
    <i r="1">
      <x v="1"/>
    </i>
    <i r="1">
      <x v="2"/>
    </i>
    <i>
      <x v="222"/>
    </i>
    <i r="1">
      <x/>
    </i>
    <i r="1">
      <x v="1"/>
    </i>
    <i r="1">
      <x v="2"/>
    </i>
    <i>
      <x v="223"/>
    </i>
    <i r="1">
      <x/>
    </i>
    <i r="1">
      <x v="2"/>
    </i>
    <i>
      <x v="224"/>
    </i>
    <i r="1">
      <x/>
    </i>
    <i>
      <x v="225"/>
    </i>
    <i r="1">
      <x/>
    </i>
    <i r="1">
      <x v="2"/>
    </i>
    <i>
      <x v="226"/>
    </i>
    <i r="1">
      <x v="1"/>
    </i>
    <i>
      <x v="227"/>
    </i>
    <i r="1">
      <x/>
    </i>
    <i r="1">
      <x v="2"/>
    </i>
    <i>
      <x v="228"/>
    </i>
    <i r="1">
      <x/>
    </i>
    <i r="1">
      <x v="1"/>
    </i>
    <i>
      <x v="229"/>
    </i>
    <i r="1">
      <x/>
    </i>
    <i r="1">
      <x v="1"/>
    </i>
    <i r="1">
      <x v="2"/>
    </i>
    <i>
      <x v="230"/>
    </i>
    <i r="1">
      <x/>
    </i>
    <i r="1">
      <x v="1"/>
    </i>
    <i r="1">
      <x v="2"/>
    </i>
    <i>
      <x v="231"/>
    </i>
    <i r="1">
      <x v="1"/>
    </i>
    <i>
      <x v="232"/>
    </i>
    <i r="1">
      <x/>
    </i>
    <i r="1">
      <x v="1"/>
    </i>
    <i r="1">
      <x v="2"/>
    </i>
    <i>
      <x v="233"/>
    </i>
    <i r="1">
      <x v="1"/>
    </i>
    <i>
      <x v="234"/>
    </i>
    <i r="1">
      <x/>
    </i>
    <i r="1">
      <x v="1"/>
    </i>
    <i r="1">
      <x v="2"/>
    </i>
    <i>
      <x v="235"/>
    </i>
    <i r="1">
      <x/>
    </i>
    <i r="1">
      <x v="1"/>
    </i>
    <i r="1">
      <x v="2"/>
    </i>
    <i>
      <x v="236"/>
    </i>
    <i r="1">
      <x v="1"/>
    </i>
    <i r="1">
      <x v="2"/>
    </i>
    <i>
      <x v="237"/>
    </i>
    <i r="1">
      <x/>
    </i>
    <i r="1">
      <x v="1"/>
    </i>
    <i>
      <x v="238"/>
    </i>
    <i r="1">
      <x/>
    </i>
    <i r="1">
      <x v="1"/>
    </i>
    <i>
      <x v="239"/>
    </i>
    <i r="1">
      <x/>
    </i>
    <i r="1">
      <x v="1"/>
    </i>
    <i r="1">
      <x v="2"/>
    </i>
    <i>
      <x v="240"/>
    </i>
    <i r="1">
      <x/>
    </i>
    <i r="1">
      <x v="2"/>
    </i>
    <i>
      <x v="241"/>
    </i>
    <i r="1">
      <x v="1"/>
    </i>
    <i r="1">
      <x v="2"/>
    </i>
    <i>
      <x v="242"/>
    </i>
    <i r="1">
      <x/>
    </i>
    <i r="1">
      <x v="1"/>
    </i>
    <i r="1">
      <x v="2"/>
    </i>
    <i>
      <x v="243"/>
    </i>
    <i r="1">
      <x/>
    </i>
    <i r="1">
      <x v="1"/>
    </i>
    <i r="1">
      <x v="2"/>
    </i>
    <i>
      <x v="244"/>
    </i>
    <i r="1">
      <x/>
    </i>
    <i r="1">
      <x v="1"/>
    </i>
    <i>
      <x v="245"/>
    </i>
    <i r="1">
      <x v="1"/>
    </i>
    <i r="1">
      <x v="2"/>
    </i>
    <i>
      <x v="246"/>
    </i>
    <i r="1">
      <x/>
    </i>
    <i r="1">
      <x v="1"/>
    </i>
    <i>
      <x v="247"/>
    </i>
    <i r="1">
      <x/>
    </i>
    <i r="1">
      <x v="1"/>
    </i>
    <i r="1">
      <x v="2"/>
    </i>
    <i>
      <x v="248"/>
    </i>
    <i r="1">
      <x/>
    </i>
    <i r="1">
      <x v="1"/>
    </i>
    <i>
      <x v="249"/>
    </i>
    <i r="1">
      <x v="1"/>
    </i>
    <i r="1">
      <x v="2"/>
    </i>
    <i>
      <x v="250"/>
    </i>
    <i r="1">
      <x/>
    </i>
    <i r="1">
      <x v="2"/>
    </i>
    <i>
      <x v="251"/>
    </i>
    <i r="1">
      <x/>
    </i>
    <i r="1">
      <x v="2"/>
    </i>
    <i>
      <x v="252"/>
    </i>
    <i r="1">
      <x v="2"/>
    </i>
    <i>
      <x v="253"/>
    </i>
    <i r="1">
      <x v="1"/>
    </i>
    <i r="1">
      <x v="2"/>
    </i>
    <i>
      <x v="254"/>
    </i>
    <i r="1">
      <x/>
    </i>
    <i r="1">
      <x v="1"/>
    </i>
    <i r="1">
      <x v="2"/>
    </i>
    <i>
      <x v="255"/>
    </i>
    <i r="1">
      <x v="2"/>
    </i>
    <i>
      <x v="256"/>
    </i>
    <i r="1">
      <x v="1"/>
    </i>
    <i r="1">
      <x v="2"/>
    </i>
    <i>
      <x v="257"/>
    </i>
    <i r="1">
      <x v="1"/>
    </i>
    <i r="1">
      <x v="2"/>
    </i>
    <i>
      <x v="258"/>
    </i>
    <i r="1">
      <x/>
    </i>
    <i r="1">
      <x v="1"/>
    </i>
    <i>
      <x v="259"/>
    </i>
    <i r="1">
      <x/>
    </i>
    <i r="1">
      <x v="2"/>
    </i>
    <i>
      <x v="260"/>
    </i>
    <i r="1">
      <x/>
    </i>
    <i>
      <x v="261"/>
    </i>
    <i r="1">
      <x/>
    </i>
    <i r="1">
      <x v="2"/>
    </i>
    <i>
      <x v="262"/>
    </i>
    <i r="1">
      <x/>
    </i>
    <i r="1">
      <x v="2"/>
    </i>
    <i>
      <x v="263"/>
    </i>
    <i r="1">
      <x/>
    </i>
    <i r="1">
      <x v="2"/>
    </i>
    <i>
      <x v="264"/>
    </i>
    <i r="1">
      <x/>
    </i>
    <i r="1">
      <x v="1"/>
    </i>
    <i r="1">
      <x v="2"/>
    </i>
    <i>
      <x v="265"/>
    </i>
    <i r="1">
      <x/>
    </i>
    <i r="1">
      <x v="1"/>
    </i>
    <i r="1">
      <x v="2"/>
    </i>
    <i>
      <x v="266"/>
    </i>
    <i r="1">
      <x/>
    </i>
    <i r="1">
      <x v="2"/>
    </i>
    <i>
      <x v="267"/>
    </i>
    <i r="1">
      <x/>
    </i>
    <i r="1">
      <x v="1"/>
    </i>
    <i r="1">
      <x v="2"/>
    </i>
    <i>
      <x v="268"/>
    </i>
    <i r="1">
      <x/>
    </i>
    <i r="1">
      <x v="2"/>
    </i>
    <i>
      <x v="269"/>
    </i>
    <i r="1">
      <x/>
    </i>
    <i r="1">
      <x v="2"/>
    </i>
    <i>
      <x v="270"/>
    </i>
    <i r="1">
      <x v="2"/>
    </i>
    <i>
      <x v="271"/>
    </i>
    <i r="1">
      <x/>
    </i>
    <i>
      <x v="272"/>
    </i>
    <i r="1">
      <x/>
    </i>
    <i>
      <x v="273"/>
    </i>
    <i r="1">
      <x/>
    </i>
    <i r="1">
      <x v="1"/>
    </i>
    <i r="1">
      <x v="2"/>
    </i>
    <i>
      <x v="274"/>
    </i>
    <i r="1">
      <x v="1"/>
    </i>
    <i r="1">
      <x v="2"/>
    </i>
    <i>
      <x v="275"/>
    </i>
    <i r="1">
      <x/>
    </i>
    <i>
      <x v="276"/>
    </i>
    <i r="1">
      <x v="1"/>
    </i>
    <i>
      <x v="277"/>
    </i>
    <i r="1">
      <x v="1"/>
    </i>
    <i>
      <x v="278"/>
    </i>
    <i r="1">
      <x v="1"/>
    </i>
    <i>
      <x v="279"/>
    </i>
    <i r="1">
      <x/>
    </i>
    <i r="1">
      <x v="1"/>
    </i>
    <i>
      <x v="280"/>
    </i>
    <i r="1">
      <x/>
    </i>
    <i r="1">
      <x v="2"/>
    </i>
    <i>
      <x v="281"/>
    </i>
    <i r="1">
      <x/>
    </i>
    <i r="1">
      <x v="1"/>
    </i>
    <i r="1">
      <x v="2"/>
    </i>
    <i>
      <x v="282"/>
    </i>
    <i r="1">
      <x/>
    </i>
    <i r="1">
      <x v="1"/>
    </i>
    <i>
      <x v="283"/>
    </i>
    <i r="1">
      <x v="1"/>
    </i>
    <i r="1">
      <x v="2"/>
    </i>
    <i>
      <x v="284"/>
    </i>
    <i r="1">
      <x/>
    </i>
    <i r="1">
      <x v="1"/>
    </i>
    <i r="1">
      <x v="2"/>
    </i>
    <i>
      <x v="285"/>
    </i>
    <i r="1">
      <x/>
    </i>
    <i r="1">
      <x v="1"/>
    </i>
    <i r="1">
      <x v="2"/>
    </i>
    <i>
      <x v="286"/>
    </i>
    <i r="1">
      <x/>
    </i>
    <i r="1">
      <x v="1"/>
    </i>
    <i r="1">
      <x v="2"/>
    </i>
    <i>
      <x v="287"/>
    </i>
    <i r="1">
      <x v="1"/>
    </i>
    <i r="1">
      <x v="2"/>
    </i>
    <i>
      <x v="288"/>
    </i>
    <i r="1">
      <x v="1"/>
    </i>
    <i>
      <x v="289"/>
    </i>
    <i r="1">
      <x/>
    </i>
    <i r="1">
      <x v="1"/>
    </i>
    <i>
      <x v="290"/>
    </i>
    <i r="1">
      <x/>
    </i>
    <i r="1">
      <x v="1"/>
    </i>
    <i r="1">
      <x v="2"/>
    </i>
    <i>
      <x v="291"/>
    </i>
    <i r="1">
      <x/>
    </i>
    <i r="1">
      <x v="1"/>
    </i>
    <i r="1">
      <x v="2"/>
    </i>
    <i>
      <x v="292"/>
    </i>
    <i r="1">
      <x/>
    </i>
    <i r="1">
      <x v="1"/>
    </i>
    <i>
      <x v="293"/>
    </i>
    <i r="1">
      <x/>
    </i>
    <i r="1">
      <x v="2"/>
    </i>
    <i>
      <x v="294"/>
    </i>
    <i r="1">
      <x v="1"/>
    </i>
    <i r="1">
      <x v="2"/>
    </i>
    <i>
      <x v="295"/>
    </i>
    <i r="1">
      <x/>
    </i>
    <i r="1">
      <x v="2"/>
    </i>
    <i>
      <x v="296"/>
    </i>
    <i r="1">
      <x v="1"/>
    </i>
    <i r="1">
      <x v="2"/>
    </i>
    <i>
      <x v="297"/>
    </i>
    <i r="1">
      <x/>
    </i>
    <i r="1">
      <x v="1"/>
    </i>
    <i r="1">
      <x v="2"/>
    </i>
    <i>
      <x v="298"/>
    </i>
    <i r="1">
      <x/>
    </i>
    <i r="1">
      <x v="1"/>
    </i>
    <i r="1">
      <x v="2"/>
    </i>
    <i>
      <x v="299"/>
    </i>
    <i r="1">
      <x v="2"/>
    </i>
    <i>
      <x v="300"/>
    </i>
    <i r="1">
      <x/>
    </i>
    <i r="1">
      <x v="2"/>
    </i>
    <i>
      <x v="301"/>
    </i>
    <i r="1">
      <x/>
    </i>
    <i r="1">
      <x v="2"/>
    </i>
    <i>
      <x v="302"/>
    </i>
    <i r="1">
      <x/>
    </i>
    <i r="1">
      <x v="1"/>
    </i>
    <i r="1">
      <x v="2"/>
    </i>
    <i>
      <x v="303"/>
    </i>
    <i r="1">
      <x v="1"/>
    </i>
    <i>
      <x v="304"/>
    </i>
    <i r="1">
      <x/>
    </i>
    <i r="1">
      <x v="1"/>
    </i>
    <i r="1">
      <x v="2"/>
    </i>
    <i>
      <x v="305"/>
    </i>
    <i r="1">
      <x v="2"/>
    </i>
    <i>
      <x v="306"/>
    </i>
    <i r="1">
      <x v="1"/>
    </i>
    <i r="1">
      <x v="2"/>
    </i>
    <i>
      <x v="307"/>
    </i>
    <i r="1">
      <x/>
    </i>
    <i r="1">
      <x v="1"/>
    </i>
    <i r="1">
      <x v="2"/>
    </i>
    <i>
      <x v="308"/>
    </i>
    <i r="1">
      <x v="1"/>
    </i>
    <i r="1">
      <x v="2"/>
    </i>
    <i>
      <x v="309"/>
    </i>
    <i r="1">
      <x/>
    </i>
    <i r="1">
      <x v="1"/>
    </i>
    <i r="1">
      <x v="2"/>
    </i>
    <i>
      <x v="310"/>
    </i>
    <i r="1">
      <x/>
    </i>
    <i r="1">
      <x v="1"/>
    </i>
    <i r="1">
      <x v="2"/>
    </i>
    <i>
      <x v="311"/>
    </i>
    <i r="1">
      <x/>
    </i>
    <i r="1">
      <x v="1"/>
    </i>
    <i>
      <x v="312"/>
    </i>
    <i r="1">
      <x/>
    </i>
    <i r="1">
      <x v="1"/>
    </i>
    <i r="1">
      <x v="2"/>
    </i>
    <i>
      <x v="313"/>
    </i>
    <i r="1">
      <x/>
    </i>
    <i r="1">
      <x v="1"/>
    </i>
    <i r="1">
      <x v="2"/>
    </i>
    <i>
      <x v="314"/>
    </i>
    <i r="1">
      <x/>
    </i>
    <i r="1">
      <x v="2"/>
    </i>
    <i>
      <x v="315"/>
    </i>
    <i r="1">
      <x/>
    </i>
    <i r="1">
      <x v="1"/>
    </i>
    <i r="1">
      <x v="2"/>
    </i>
    <i>
      <x v="316"/>
    </i>
    <i r="1">
      <x/>
    </i>
    <i r="1">
      <x v="1"/>
    </i>
    <i r="1">
      <x v="2"/>
    </i>
    <i>
      <x v="317"/>
    </i>
    <i r="1">
      <x/>
    </i>
    <i r="1">
      <x v="2"/>
    </i>
    <i>
      <x v="318"/>
    </i>
    <i r="1">
      <x/>
    </i>
    <i r="1">
      <x v="1"/>
    </i>
    <i r="1">
      <x v="2"/>
    </i>
    <i>
      <x v="319"/>
    </i>
    <i r="1">
      <x v="1"/>
    </i>
    <i r="1">
      <x v="2"/>
    </i>
    <i>
      <x v="320"/>
    </i>
    <i r="1">
      <x v="2"/>
    </i>
    <i>
      <x v="321"/>
    </i>
    <i r="1">
      <x/>
    </i>
    <i r="1">
      <x v="2"/>
    </i>
    <i>
      <x v="322"/>
    </i>
    <i r="1">
      <x v="2"/>
    </i>
    <i>
      <x v="323"/>
    </i>
    <i r="1">
      <x v="1"/>
    </i>
    <i r="1">
      <x v="2"/>
    </i>
    <i>
      <x v="324"/>
    </i>
    <i r="1">
      <x/>
    </i>
    <i r="1">
      <x v="2"/>
    </i>
    <i>
      <x v="325"/>
    </i>
    <i r="1">
      <x/>
    </i>
    <i r="1">
      <x v="1"/>
    </i>
    <i r="1">
      <x v="2"/>
    </i>
    <i>
      <x v="326"/>
    </i>
    <i r="1">
      <x/>
    </i>
    <i r="1">
      <x v="2"/>
    </i>
    <i>
      <x v="327"/>
    </i>
    <i r="1">
      <x/>
    </i>
    <i r="1">
      <x v="1"/>
    </i>
    <i r="1">
      <x v="2"/>
    </i>
    <i>
      <x v="328"/>
    </i>
    <i r="1">
      <x v="1"/>
    </i>
    <i>
      <x v="329"/>
    </i>
    <i r="1">
      <x/>
    </i>
    <i r="1">
      <x v="1"/>
    </i>
    <i>
      <x v="330"/>
    </i>
    <i r="1">
      <x/>
    </i>
    <i r="1">
      <x v="2"/>
    </i>
    <i>
      <x v="331"/>
    </i>
    <i r="1">
      <x v="1"/>
    </i>
    <i r="1">
      <x v="2"/>
    </i>
    <i>
      <x v="332"/>
    </i>
    <i r="1">
      <x/>
    </i>
    <i r="1">
      <x v="1"/>
    </i>
    <i r="1">
      <x v="2"/>
    </i>
    <i>
      <x v="333"/>
    </i>
    <i r="1">
      <x/>
    </i>
    <i r="1">
      <x v="1"/>
    </i>
    <i r="1">
      <x v="2"/>
    </i>
    <i>
      <x v="334"/>
    </i>
    <i r="1">
      <x/>
    </i>
    <i r="1">
      <x v="1"/>
    </i>
    <i r="1">
      <x v="2"/>
    </i>
    <i>
      <x v="335"/>
    </i>
    <i r="1">
      <x/>
    </i>
    <i>
      <x v="336"/>
    </i>
    <i r="1">
      <x/>
    </i>
    <i r="1">
      <x v="1"/>
    </i>
    <i r="1">
      <x v="2"/>
    </i>
    <i>
      <x v="337"/>
    </i>
    <i r="1">
      <x v="1"/>
    </i>
    <i r="1">
      <x v="2"/>
    </i>
    <i>
      <x v="338"/>
    </i>
    <i r="1">
      <x/>
    </i>
    <i r="1">
      <x v="1"/>
    </i>
    <i>
      <x v="339"/>
    </i>
    <i r="1">
      <x v="1"/>
    </i>
    <i r="1">
      <x v="2"/>
    </i>
    <i>
      <x v="340"/>
    </i>
    <i r="1">
      <x/>
    </i>
    <i r="1">
      <x v="1"/>
    </i>
    <i r="1">
      <x v="2"/>
    </i>
    <i>
      <x v="341"/>
    </i>
    <i r="1">
      <x/>
    </i>
    <i r="1">
      <x v="2"/>
    </i>
    <i>
      <x v="342"/>
    </i>
    <i r="1">
      <x/>
    </i>
    <i r="1">
      <x v="2"/>
    </i>
    <i>
      <x v="343"/>
    </i>
    <i r="1">
      <x/>
    </i>
    <i r="1">
      <x v="1"/>
    </i>
    <i r="1">
      <x v="2"/>
    </i>
    <i>
      <x v="344"/>
    </i>
    <i r="1">
      <x/>
    </i>
    <i r="1">
      <x v="1"/>
    </i>
    <i r="1">
      <x v="2"/>
    </i>
    <i>
      <x v="345"/>
    </i>
    <i r="1">
      <x v="1"/>
    </i>
    <i>
      <x v="346"/>
    </i>
    <i r="1">
      <x v="1"/>
    </i>
    <i r="1">
      <x v="2"/>
    </i>
    <i>
      <x v="347"/>
    </i>
    <i r="1">
      <x/>
    </i>
    <i r="1">
      <x v="1"/>
    </i>
    <i r="1">
      <x v="2"/>
    </i>
    <i>
      <x v="348"/>
    </i>
    <i r="1">
      <x v="2"/>
    </i>
    <i>
      <x v="349"/>
    </i>
    <i r="1">
      <x/>
    </i>
    <i r="1">
      <x v="1"/>
    </i>
    <i r="1">
      <x v="2"/>
    </i>
    <i>
      <x v="350"/>
    </i>
    <i r="1">
      <x v="1"/>
    </i>
    <i>
      <x v="351"/>
    </i>
    <i r="1">
      <x/>
    </i>
    <i r="1">
      <x v="2"/>
    </i>
    <i>
      <x v="352"/>
    </i>
    <i r="1">
      <x v="1"/>
    </i>
    <i>
      <x v="353"/>
    </i>
    <i r="1">
      <x v="2"/>
    </i>
    <i>
      <x v="354"/>
    </i>
    <i r="1">
      <x v="1"/>
    </i>
    <i r="1">
      <x v="2"/>
    </i>
    <i>
      <x v="355"/>
    </i>
    <i r="1">
      <x v="1"/>
    </i>
    <i r="1">
      <x v="2"/>
    </i>
    <i>
      <x v="356"/>
    </i>
    <i r="1">
      <x v="1"/>
    </i>
    <i r="1">
      <x v="2"/>
    </i>
    <i>
      <x v="357"/>
    </i>
    <i r="1">
      <x/>
    </i>
    <i r="1">
      <x v="1"/>
    </i>
    <i>
      <x v="358"/>
    </i>
    <i r="1">
      <x/>
    </i>
    <i r="1">
      <x v="1"/>
    </i>
    <i>
      <x v="359"/>
    </i>
    <i r="1">
      <x/>
    </i>
    <i r="1">
      <x v="1"/>
    </i>
    <i r="1">
      <x v="2"/>
    </i>
    <i>
      <x v="360"/>
    </i>
    <i r="1">
      <x v="2"/>
    </i>
    <i>
      <x v="361"/>
    </i>
    <i r="1">
      <x/>
    </i>
    <i r="1">
      <x v="1"/>
    </i>
    <i r="1">
      <x v="2"/>
    </i>
    <i>
      <x v="362"/>
    </i>
    <i r="1">
      <x/>
    </i>
    <i r="1">
      <x v="1"/>
    </i>
    <i>
      <x v="363"/>
    </i>
    <i r="1">
      <x/>
    </i>
    <i r="1">
      <x v="1"/>
    </i>
    <i>
      <x v="364"/>
    </i>
    <i r="1">
      <x/>
    </i>
    <i r="1">
      <x v="2"/>
    </i>
    <i>
      <x v="365"/>
    </i>
    <i r="1">
      <x/>
    </i>
    <i r="1">
      <x v="1"/>
    </i>
    <i r="1">
      <x v="2"/>
    </i>
    <i>
      <x v="366"/>
    </i>
    <i r="1">
      <x/>
    </i>
    <i r="1">
      <x v="1"/>
    </i>
    <i r="1">
      <x v="2"/>
    </i>
    <i>
      <x v="367"/>
    </i>
    <i r="1">
      <x/>
    </i>
    <i r="1">
      <x v="1"/>
    </i>
    <i r="1">
      <x v="2"/>
    </i>
    <i>
      <x v="368"/>
    </i>
    <i r="1">
      <x/>
    </i>
    <i r="1">
      <x v="1"/>
    </i>
    <i r="1">
      <x v="2"/>
    </i>
    <i>
      <x v="369"/>
    </i>
    <i r="1">
      <x/>
    </i>
    <i>
      <x v="370"/>
    </i>
    <i r="1">
      <x/>
    </i>
    <i r="1">
      <x v="1"/>
    </i>
    <i r="1">
      <x v="2"/>
    </i>
    <i>
      <x v="371"/>
    </i>
    <i r="1">
      <x/>
    </i>
    <i r="1">
      <x v="2"/>
    </i>
    <i>
      <x v="372"/>
    </i>
    <i r="1">
      <x/>
    </i>
    <i r="1">
      <x v="1"/>
    </i>
    <i>
      <x v="373"/>
    </i>
    <i r="1">
      <x/>
    </i>
    <i r="1">
      <x v="1"/>
    </i>
    <i r="1">
      <x v="2"/>
    </i>
    <i>
      <x v="374"/>
    </i>
    <i r="1">
      <x/>
    </i>
    <i r="1">
      <x v="1"/>
    </i>
    <i>
      <x v="375"/>
    </i>
    <i r="1">
      <x/>
    </i>
    <i r="1">
      <x v="1"/>
    </i>
    <i r="1">
      <x v="2"/>
    </i>
    <i>
      <x v="376"/>
    </i>
    <i r="1">
      <x/>
    </i>
    <i r="1">
      <x v="1"/>
    </i>
    <i r="1">
      <x v="2"/>
    </i>
    <i>
      <x v="377"/>
    </i>
    <i r="1">
      <x v="2"/>
    </i>
    <i>
      <x v="378"/>
    </i>
    <i r="1">
      <x/>
    </i>
    <i r="1">
      <x v="1"/>
    </i>
    <i r="1">
      <x v="2"/>
    </i>
    <i>
      <x v="379"/>
    </i>
    <i r="1">
      <x v="1"/>
    </i>
    <i r="1">
      <x v="2"/>
    </i>
    <i>
      <x v="380"/>
    </i>
    <i r="1">
      <x/>
    </i>
    <i r="1">
      <x v="1"/>
    </i>
    <i>
      <x v="381"/>
    </i>
    <i r="1">
      <x/>
    </i>
    <i r="1">
      <x v="1"/>
    </i>
    <i>
      <x v="382"/>
    </i>
    <i r="1">
      <x/>
    </i>
    <i r="1">
      <x v="1"/>
    </i>
    <i r="1">
      <x v="2"/>
    </i>
    <i>
      <x v="383"/>
    </i>
    <i r="1">
      <x/>
    </i>
    <i r="1">
      <x v="1"/>
    </i>
    <i>
      <x v="384"/>
    </i>
    <i r="1">
      <x/>
    </i>
    <i r="1">
      <x v="2"/>
    </i>
    <i>
      <x v="385"/>
    </i>
    <i r="1">
      <x/>
    </i>
    <i r="1">
      <x v="1"/>
    </i>
    <i r="1">
      <x v="2"/>
    </i>
    <i>
      <x v="386"/>
    </i>
    <i r="1">
      <x/>
    </i>
    <i r="1">
      <x v="1"/>
    </i>
    <i r="1">
      <x v="2"/>
    </i>
    <i>
      <x v="387"/>
    </i>
    <i r="1">
      <x v="1"/>
    </i>
    <i r="1">
      <x v="2"/>
    </i>
    <i>
      <x v="388"/>
    </i>
    <i r="1">
      <x/>
    </i>
    <i r="1">
      <x v="1"/>
    </i>
    <i>
      <x v="389"/>
    </i>
    <i r="1">
      <x/>
    </i>
    <i r="1">
      <x v="1"/>
    </i>
    <i r="1">
      <x v="2"/>
    </i>
    <i>
      <x v="390"/>
    </i>
    <i r="1">
      <x/>
    </i>
    <i r="1">
      <x v="1"/>
    </i>
    <i r="1">
      <x v="2"/>
    </i>
    <i>
      <x v="391"/>
    </i>
    <i r="1">
      <x v="2"/>
    </i>
    <i>
      <x v="392"/>
    </i>
    <i r="1">
      <x/>
    </i>
    <i r="1">
      <x v="1"/>
    </i>
    <i r="1">
      <x v="2"/>
    </i>
    <i>
      <x v="393"/>
    </i>
    <i r="1">
      <x v="1"/>
    </i>
    <i r="1">
      <x v="2"/>
    </i>
    <i>
      <x v="394"/>
    </i>
    <i r="1">
      <x/>
    </i>
    <i r="1">
      <x v="1"/>
    </i>
    <i r="1">
      <x v="2"/>
    </i>
    <i>
      <x v="395"/>
    </i>
    <i r="1">
      <x/>
    </i>
    <i r="1">
      <x v="2"/>
    </i>
    <i>
      <x v="396"/>
    </i>
    <i r="1">
      <x/>
    </i>
    <i r="1">
      <x v="2"/>
    </i>
    <i>
      <x v="397"/>
    </i>
    <i r="1">
      <x v="2"/>
    </i>
    <i>
      <x v="398"/>
    </i>
    <i r="1">
      <x v="1"/>
    </i>
    <i r="1">
      <x v="2"/>
    </i>
    <i>
      <x v="399"/>
    </i>
    <i r="1">
      <x v="1"/>
    </i>
    <i r="1">
      <x v="2"/>
    </i>
    <i>
      <x v="400"/>
    </i>
    <i r="1">
      <x/>
    </i>
    <i r="1">
      <x v="1"/>
    </i>
    <i r="1">
      <x v="2"/>
    </i>
    <i>
      <x v="401"/>
    </i>
    <i r="1">
      <x v="2"/>
    </i>
    <i>
      <x v="402"/>
    </i>
    <i r="1">
      <x/>
    </i>
    <i r="1">
      <x v="1"/>
    </i>
    <i>
      <x v="403"/>
    </i>
    <i r="1">
      <x/>
    </i>
    <i r="1">
      <x v="1"/>
    </i>
    <i>
      <x v="404"/>
    </i>
    <i r="1">
      <x/>
    </i>
    <i r="1">
      <x v="2"/>
    </i>
    <i>
      <x v="405"/>
    </i>
    <i r="1">
      <x/>
    </i>
    <i r="1">
      <x v="1"/>
    </i>
    <i>
      <x v="406"/>
    </i>
    <i r="1">
      <x v="1"/>
    </i>
    <i r="1">
      <x v="2"/>
    </i>
    <i>
      <x v="407"/>
    </i>
    <i r="1">
      <x/>
    </i>
    <i r="1">
      <x v="1"/>
    </i>
    <i>
      <x v="408"/>
    </i>
    <i r="1">
      <x/>
    </i>
    <i r="1">
      <x v="1"/>
    </i>
    <i r="1">
      <x v="2"/>
    </i>
    <i>
      <x v="409"/>
    </i>
    <i r="1">
      <x/>
    </i>
    <i r="1">
      <x v="1"/>
    </i>
    <i r="1">
      <x v="2"/>
    </i>
    <i>
      <x v="410"/>
    </i>
    <i r="1">
      <x/>
    </i>
    <i r="1">
      <x v="1"/>
    </i>
    <i r="1">
      <x v="2"/>
    </i>
    <i>
      <x v="411"/>
    </i>
    <i r="1">
      <x/>
    </i>
    <i r="1">
      <x v="1"/>
    </i>
    <i>
      <x v="412"/>
    </i>
    <i r="1">
      <x/>
    </i>
    <i r="1">
      <x v="1"/>
    </i>
    <i r="1">
      <x v="2"/>
    </i>
    <i>
      <x v="413"/>
    </i>
    <i r="1">
      <x/>
    </i>
    <i r="1">
      <x v="1"/>
    </i>
    <i r="1">
      <x v="2"/>
    </i>
    <i>
      <x v="414"/>
    </i>
    <i r="1">
      <x/>
    </i>
    <i>
      <x v="415"/>
    </i>
    <i r="1">
      <x/>
    </i>
    <i r="1">
      <x v="1"/>
    </i>
    <i r="1">
      <x v="2"/>
    </i>
    <i>
      <x v="416"/>
    </i>
    <i r="1">
      <x/>
    </i>
    <i r="1">
      <x v="2"/>
    </i>
    <i>
      <x v="417"/>
    </i>
    <i r="1">
      <x/>
    </i>
    <i r="1">
      <x v="1"/>
    </i>
    <i r="1">
      <x v="2"/>
    </i>
    <i>
      <x v="418"/>
    </i>
    <i r="1">
      <x/>
    </i>
    <i r="1">
      <x v="1"/>
    </i>
    <i>
      <x v="419"/>
    </i>
    <i r="1">
      <x/>
    </i>
    <i>
      <x v="420"/>
    </i>
    <i r="1">
      <x/>
    </i>
    <i r="1">
      <x v="1"/>
    </i>
    <i r="1">
      <x v="2"/>
    </i>
    <i>
      <x v="421"/>
    </i>
    <i r="1">
      <x/>
    </i>
    <i>
      <x v="422"/>
    </i>
    <i r="1">
      <x/>
    </i>
    <i r="1">
      <x v="1"/>
    </i>
    <i>
      <x v="423"/>
    </i>
    <i r="1">
      <x/>
    </i>
    <i r="1">
      <x v="1"/>
    </i>
    <i r="1">
      <x v="2"/>
    </i>
    <i>
      <x v="424"/>
    </i>
    <i r="1">
      <x v="2"/>
    </i>
    <i>
      <x v="425"/>
    </i>
    <i r="1">
      <x/>
    </i>
    <i r="1">
      <x v="1"/>
    </i>
    <i r="1">
      <x v="2"/>
    </i>
    <i>
      <x v="426"/>
    </i>
    <i r="1">
      <x v="1"/>
    </i>
    <i>
      <x v="427"/>
    </i>
    <i r="1">
      <x v="1"/>
    </i>
    <i r="1">
      <x v="2"/>
    </i>
    <i>
      <x v="428"/>
    </i>
    <i r="1">
      <x/>
    </i>
    <i r="1">
      <x v="1"/>
    </i>
    <i r="1">
      <x v="2"/>
    </i>
    <i>
      <x v="429"/>
    </i>
    <i r="1">
      <x/>
    </i>
    <i r="1">
      <x v="1"/>
    </i>
    <i r="1">
      <x v="2"/>
    </i>
    <i>
      <x v="430"/>
    </i>
    <i r="1">
      <x/>
    </i>
    <i r="1">
      <x v="1"/>
    </i>
    <i r="1">
      <x v="2"/>
    </i>
    <i>
      <x v="431"/>
    </i>
    <i r="1">
      <x/>
    </i>
    <i r="1">
      <x v="1"/>
    </i>
    <i r="1">
      <x v="2"/>
    </i>
    <i>
      <x v="432"/>
    </i>
    <i r="1">
      <x/>
    </i>
    <i r="1">
      <x v="1"/>
    </i>
    <i r="1">
      <x v="2"/>
    </i>
    <i>
      <x v="433"/>
    </i>
    <i r="1">
      <x v="2"/>
    </i>
    <i>
      <x v="434"/>
    </i>
    <i r="1">
      <x/>
    </i>
    <i r="1">
      <x v="1"/>
    </i>
    <i r="1">
      <x v="2"/>
    </i>
    <i>
      <x v="435"/>
    </i>
    <i r="1">
      <x/>
    </i>
    <i r="1">
      <x v="2"/>
    </i>
    <i>
      <x v="436"/>
    </i>
    <i r="1">
      <x v="1"/>
    </i>
    <i>
      <x v="437"/>
    </i>
    <i r="1">
      <x/>
    </i>
    <i r="1">
      <x v="1"/>
    </i>
    <i>
      <x v="438"/>
    </i>
    <i r="1">
      <x/>
    </i>
    <i r="1">
      <x v="1"/>
    </i>
    <i>
      <x v="439"/>
    </i>
    <i r="1">
      <x v="1"/>
    </i>
    <i>
      <x v="440"/>
    </i>
    <i r="1">
      <x v="1"/>
    </i>
    <i r="1">
      <x v="2"/>
    </i>
    <i>
      <x v="441"/>
    </i>
    <i r="1">
      <x/>
    </i>
    <i r="1">
      <x v="1"/>
    </i>
    <i r="1">
      <x v="2"/>
    </i>
    <i>
      <x v="442"/>
    </i>
    <i r="1">
      <x/>
    </i>
    <i r="1">
      <x v="1"/>
    </i>
    <i r="1">
      <x v="2"/>
    </i>
    <i>
      <x v="443"/>
    </i>
    <i r="1">
      <x/>
    </i>
    <i r="1">
      <x v="1"/>
    </i>
    <i r="1">
      <x v="2"/>
    </i>
    <i>
      <x v="444"/>
    </i>
    <i r="1">
      <x/>
    </i>
    <i r="1">
      <x v="2"/>
    </i>
    <i>
      <x v="445"/>
    </i>
    <i r="1">
      <x v="2"/>
    </i>
    <i>
      <x v="446"/>
    </i>
    <i r="1">
      <x/>
    </i>
    <i r="1">
      <x v="1"/>
    </i>
    <i>
      <x v="447"/>
    </i>
    <i r="1">
      <x/>
    </i>
    <i r="1">
      <x v="1"/>
    </i>
    <i r="1">
      <x v="2"/>
    </i>
    <i>
      <x v="448"/>
    </i>
    <i r="1">
      <x/>
    </i>
    <i r="1">
      <x v="2"/>
    </i>
    <i>
      <x v="449"/>
    </i>
    <i r="1">
      <x/>
    </i>
    <i r="1">
      <x v="1"/>
    </i>
    <i r="1">
      <x v="2"/>
    </i>
    <i>
      <x v="450"/>
    </i>
    <i r="1">
      <x/>
    </i>
    <i r="1">
      <x v="2"/>
    </i>
    <i>
      <x v="451"/>
    </i>
    <i r="1">
      <x/>
    </i>
    <i r="1">
      <x v="1"/>
    </i>
    <i r="1">
      <x v="2"/>
    </i>
    <i>
      <x v="452"/>
    </i>
    <i r="1">
      <x v="1"/>
    </i>
    <i r="1">
      <x v="2"/>
    </i>
    <i>
      <x v="453"/>
    </i>
    <i r="1">
      <x/>
    </i>
    <i r="1">
      <x v="1"/>
    </i>
    <i r="1">
      <x v="2"/>
    </i>
    <i>
      <x v="454"/>
    </i>
    <i r="1">
      <x/>
    </i>
    <i r="1">
      <x v="1"/>
    </i>
    <i r="1">
      <x v="2"/>
    </i>
    <i>
      <x v="455"/>
    </i>
    <i r="1">
      <x/>
    </i>
    <i r="1">
      <x v="1"/>
    </i>
    <i r="1">
      <x v="2"/>
    </i>
    <i>
      <x v="456"/>
    </i>
    <i r="1">
      <x/>
    </i>
    <i r="1">
      <x v="2"/>
    </i>
    <i>
      <x v="457"/>
    </i>
    <i r="1">
      <x v="1"/>
    </i>
    <i r="1">
      <x v="2"/>
    </i>
    <i>
      <x v="458"/>
    </i>
    <i r="1">
      <x/>
    </i>
    <i r="1">
      <x v="2"/>
    </i>
    <i>
      <x v="459"/>
    </i>
    <i r="1">
      <x/>
    </i>
    <i r="1">
      <x v="1"/>
    </i>
    <i>
      <x v="460"/>
    </i>
    <i r="1">
      <x/>
    </i>
    <i r="1">
      <x v="2"/>
    </i>
    <i>
      <x v="461"/>
    </i>
    <i r="1">
      <x/>
    </i>
    <i r="1">
      <x v="1"/>
    </i>
    <i r="1">
      <x v="2"/>
    </i>
    <i>
      <x v="462"/>
    </i>
    <i r="1">
      <x v="1"/>
    </i>
    <i r="1">
      <x v="2"/>
    </i>
    <i>
      <x v="463"/>
    </i>
    <i r="1">
      <x/>
    </i>
    <i r="1">
      <x v="1"/>
    </i>
    <i r="1">
      <x v="2"/>
    </i>
    <i>
      <x v="464"/>
    </i>
    <i r="1">
      <x v="1"/>
    </i>
    <i r="1">
      <x v="2"/>
    </i>
    <i>
      <x v="465"/>
    </i>
    <i r="1">
      <x/>
    </i>
    <i r="1">
      <x v="2"/>
    </i>
    <i>
      <x v="466"/>
    </i>
    <i r="1">
      <x v="2"/>
    </i>
    <i>
      <x v="467"/>
    </i>
    <i r="1">
      <x/>
    </i>
    <i r="1">
      <x v="2"/>
    </i>
    <i>
      <x v="468"/>
    </i>
    <i r="1">
      <x/>
    </i>
    <i r="1">
      <x v="1"/>
    </i>
    <i r="1">
      <x v="2"/>
    </i>
    <i>
      <x v="469"/>
    </i>
    <i r="1">
      <x v="2"/>
    </i>
    <i>
      <x v="470"/>
    </i>
    <i r="1">
      <x v="1"/>
    </i>
    <i r="1">
      <x v="2"/>
    </i>
    <i>
      <x v="471"/>
    </i>
    <i r="1">
      <x/>
    </i>
    <i r="1">
      <x v="1"/>
    </i>
    <i r="1">
      <x v="2"/>
    </i>
    <i>
      <x v="472"/>
    </i>
    <i r="1">
      <x/>
    </i>
    <i r="1">
      <x v="1"/>
    </i>
    <i r="1">
      <x v="2"/>
    </i>
    <i>
      <x v="473"/>
    </i>
    <i r="1">
      <x/>
    </i>
    <i r="1">
      <x v="1"/>
    </i>
    <i r="1">
      <x v="2"/>
    </i>
    <i>
      <x v="474"/>
    </i>
    <i r="1">
      <x v="1"/>
    </i>
    <i r="1">
      <x v="2"/>
    </i>
    <i>
      <x v="475"/>
    </i>
    <i r="1">
      <x/>
    </i>
    <i r="1">
      <x v="1"/>
    </i>
    <i r="1">
      <x v="2"/>
    </i>
    <i>
      <x v="476"/>
    </i>
    <i r="1">
      <x/>
    </i>
    <i r="1">
      <x v="1"/>
    </i>
    <i r="1">
      <x v="2"/>
    </i>
    <i>
      <x v="477"/>
    </i>
    <i r="1">
      <x/>
    </i>
    <i r="1">
      <x v="1"/>
    </i>
    <i r="1">
      <x v="2"/>
    </i>
    <i>
      <x v="478"/>
    </i>
    <i r="1">
      <x/>
    </i>
    <i r="1">
      <x v="2"/>
    </i>
    <i>
      <x v="479"/>
    </i>
    <i r="1">
      <x/>
    </i>
    <i r="1">
      <x v="1"/>
    </i>
    <i r="1">
      <x v="2"/>
    </i>
    <i>
      <x v="480"/>
    </i>
    <i r="1">
      <x/>
    </i>
    <i r="1">
      <x v="1"/>
    </i>
    <i r="1">
      <x v="2"/>
    </i>
    <i>
      <x v="481"/>
    </i>
    <i r="1">
      <x/>
    </i>
    <i>
      <x v="482"/>
    </i>
    <i r="1">
      <x/>
    </i>
    <i r="1">
      <x v="1"/>
    </i>
    <i>
      <x v="483"/>
    </i>
    <i r="1">
      <x/>
    </i>
    <i r="1">
      <x v="2"/>
    </i>
    <i>
      <x v="484"/>
    </i>
    <i r="1">
      <x v="1"/>
    </i>
    <i r="1">
      <x v="2"/>
    </i>
    <i>
      <x v="485"/>
    </i>
    <i r="1">
      <x/>
    </i>
    <i r="1">
      <x v="1"/>
    </i>
    <i>
      <x v="486"/>
    </i>
    <i r="1">
      <x v="2"/>
    </i>
    <i>
      <x v="487"/>
    </i>
    <i r="1">
      <x/>
    </i>
    <i r="1">
      <x v="1"/>
    </i>
    <i>
      <x v="488"/>
    </i>
    <i r="1">
      <x v="1"/>
    </i>
    <i>
      <x v="489"/>
    </i>
    <i r="1">
      <x/>
    </i>
    <i r="1">
      <x v="2"/>
    </i>
    <i>
      <x v="490"/>
    </i>
    <i r="1"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9B315-6DA7-4135-ADB5-1BFD2176833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5:W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1"/>
        <item x="3"/>
        <item x="0"/>
        <item h="1"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5D8B4-86DD-4066-B6B5-0E66A52A3E88}" name="CustomerTable" displayName="CustomerTable" ref="A1:H501" totalsRowShown="0" headerRowDxfId="32" dataDxfId="30" headerRowBorderDxfId="31" tableBorderDxfId="29">
  <tableColumns count="8">
    <tableColumn id="1" xr3:uid="{C8697901-DA74-4DAE-9CDF-6EEC6D254F01}" name="Customer_ID" dataDxfId="28"/>
    <tableColumn id="9" xr3:uid="{026D8420-5449-4EC6-9DE6-E5671B28BA14}" name="Name" dataDxfId="27">
      <calculatedColumnFormula>PROPER(TRIM(#REF!))</calculatedColumnFormula>
    </tableColumn>
    <tableColumn id="3" xr3:uid="{B231708C-CBD9-4AC3-873D-D91D16D9ABDA}" name="Age" dataDxfId="26"/>
    <tableColumn id="4" xr3:uid="{194AB778-2526-446A-AB85-7257BEAC81BB}" name="Gender" dataDxfId="25"/>
    <tableColumn id="5" xr3:uid="{2695DED7-90B3-465F-B3D0-83E8055DA295}" name="City" dataDxfId="24"/>
    <tableColumn id="6" xr3:uid="{59A73B5A-B9DA-425F-B4D8-26BCDB426F65}" name="State" dataDxfId="23"/>
    <tableColumn id="7" xr3:uid="{8213652A-C307-435C-A7F5-A7949494CC37}" name="Country" dataDxfId="22"/>
    <tableColumn id="8" xr3:uid="{DCE265BA-E1A7-43C0-84B7-2CBC34DADC45}" name="Loyalty_Level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1147C3-542B-4B1D-98BC-A710C086549C}" name="Table3" displayName="Table3" ref="A1:G101" totalsRowShown="0" headerRowDxfId="20" headerRowBorderDxfId="19" tableBorderDxfId="18">
  <tableColumns count="7">
    <tableColumn id="1" xr3:uid="{F6459FD7-CC80-42F0-A8A6-7B3C8007B50A}" name="Product_ID"/>
    <tableColumn id="2" xr3:uid="{C4F99DF8-92C8-4440-BCE0-24704D4EF459}" name="Product_Name"/>
    <tableColumn id="3" xr3:uid="{11BAA17C-F51D-4823-940A-739D3759DEBE}" name="Category"/>
    <tableColumn id="4" xr3:uid="{A4CA677D-C2F2-4AF3-A892-03EB35EFD447}" name="Sub_Category"/>
    <tableColumn id="5" xr3:uid="{6F942D68-0F27-46E1-98B1-504CFD66B68D}" name="Brand"/>
    <tableColumn id="6" xr3:uid="{52546049-BE10-49C8-8A4A-77173F82D48A}" name="Cost"/>
    <tableColumn id="7" xr3:uid="{91578895-4E25-4FFE-A51E-79CB291F58D7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343154-AC32-4F1B-BB4B-6BB634CA766C}" name="Table4" displayName="Table4" ref="A1:E21" totalsRowShown="0" headerRowDxfId="17" headerRowBorderDxfId="16" tableBorderDxfId="15">
  <tableColumns count="5">
    <tableColumn id="1" xr3:uid="{207F1FFC-5E7F-450D-ADC1-1B48C5EADA67}" name="Store_ID"/>
    <tableColumn id="2" xr3:uid="{45EB3FD9-2055-436B-80E9-80490B132205}" name="Store_Name"/>
    <tableColumn id="3" xr3:uid="{23D32EAF-117C-47D8-B772-6D213B51B307}" name="Region"/>
    <tableColumn id="4" xr3:uid="{E55F8D6F-0616-430C-B16D-DEA613A123D5}" name="City"/>
    <tableColumn id="5" xr3:uid="{C2878B38-027E-4714-95CD-C483113AF00A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80733F-6208-4F82-88F1-9A59F073FA50}" name="Table5" displayName="Table5" ref="A1:R2001" totalsRowShown="0" headerRowDxfId="14" headerRowBorderDxfId="12" tableBorderDxfId="13">
  <autoFilter ref="A1:R2001" xr:uid="{F780733F-6208-4F82-88F1-9A59F073FA50}"/>
  <tableColumns count="18">
    <tableColumn id="1" xr3:uid="{B5B70632-67AE-4E49-AE0E-0A8A7F203364}" name="Sales_ID"/>
    <tableColumn id="2" xr3:uid="{1E8CFE0C-A35D-4B52-BA48-2E68DA5B28A1}" name="Order_Date" dataDxfId="11"/>
    <tableColumn id="3" xr3:uid="{CC0695A5-52E3-457E-B885-946C6C41D5B0}" name="Customer_ID"/>
    <tableColumn id="4" xr3:uid="{370EC9B4-83F7-4331-B04D-6D54144CFF59}" name="Product_ID"/>
    <tableColumn id="5" xr3:uid="{CA7C0816-0250-487C-9DAA-9B089E53640C}" name="Store_ID"/>
    <tableColumn id="6" xr3:uid="{0BEB19EF-BDE4-4CF1-9CDC-A8F05EF5B50C}" name="Quantity"/>
    <tableColumn id="7" xr3:uid="{5086F84A-4A32-4CB4-9964-8D17FF0D50C9}" name="Unit_Price" dataDxfId="10"/>
    <tableColumn id="8" xr3:uid="{F45B9D61-D11B-485A-9986-0C92049F09B3}" name="Discount" dataDxfId="9"/>
    <tableColumn id="9" xr3:uid="{72C9FECD-37B6-40B2-888B-C23A69CCA95A}" name="Payment_Type"/>
    <tableColumn id="10" xr3:uid="{12EACC51-B3B8-4A52-A2DE-1210221E62C7}" name="Total_Amount" dataDxfId="8"/>
    <tableColumn id="17" xr3:uid="{FE0C405E-CC40-4984-BE34-DF2EEC56D628}" name="Total sales" dataDxfId="7">
      <calculatedColumnFormula>SUM(J2:J2001)</calculatedColumnFormula>
    </tableColumn>
    <tableColumn id="18" xr3:uid="{C2D0FC95-F171-46EC-9C53-16CFD632B809}" name="Avg sales" dataDxfId="6">
      <calculatedColumnFormula>AVERAGE(J2:J2001)</calculatedColumnFormula>
    </tableColumn>
    <tableColumn id="19" xr3:uid="{C3D79823-897A-4911-B4E3-FD371B166DBD}" name="Count transby pyt" dataDxfId="5">
      <calculatedColumnFormula>COUNTIF(I2:I2001,"PayPal")</calculatedColumnFormula>
    </tableColumn>
    <tableColumn id="20" xr3:uid="{8DECE37E-1480-4E08-AC89-518C414AAFC6}" name="High or low value" dataDxfId="4">
      <calculatedColumnFormula>IF(J2&gt;=1000,"High Value","Low Value")</calculatedColumnFormula>
    </tableColumn>
    <tableColumn id="21" xr3:uid="{3BF41F2E-897D-4962-BEB7-F8D1BB5066C3}" name="Extract month and year" dataDxfId="3">
      <calculatedColumnFormula>TEXT(B2,"mmm-yyyy")</calculatedColumnFormula>
    </tableColumn>
    <tableColumn id="22" xr3:uid="{9CB0AE6F-EE2F-4FD8-B84E-7248AF99461A}" name="Product_Name" dataDxfId="2"/>
    <tableColumn id="25" xr3:uid="{7BA5CFD8-8D8E-4ABD-88EC-89FD58734B22}" name="Category" dataDxfId="1"/>
    <tableColumn id="26" xr3:uid="{7D7E953F-9F9F-486B-B449-5B39C03E1544}" name="Custom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B4" workbookViewId="0">
      <selection activeCell="N4" sqref="N4"/>
    </sheetView>
  </sheetViews>
  <sheetFormatPr defaultRowHeight="14.4"/>
  <cols>
    <col min="1" max="1" width="13.77734375" style="1" customWidth="1"/>
    <col min="2" max="2" width="20.109375" style="1" customWidth="1"/>
    <col min="3" max="3" width="8.88671875" style="1"/>
    <col min="4" max="4" width="9" style="1" customWidth="1"/>
    <col min="5" max="5" width="24.33203125" style="1" customWidth="1"/>
    <col min="6" max="6" width="14" style="1" bestFit="1" customWidth="1"/>
    <col min="7" max="7" width="21.5546875" style="1" bestFit="1" customWidth="1"/>
    <col min="8" max="8" width="14.33203125" style="1" customWidth="1"/>
    <col min="10" max="10" width="12.5546875" bestFit="1" customWidth="1"/>
    <col min="11" max="11" width="19.88671875" bestFit="1" customWidth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1" t="s">
        <v>8</v>
      </c>
      <c r="B2" s="1" t="s">
        <v>3939</v>
      </c>
      <c r="C2" s="1">
        <v>55</v>
      </c>
      <c r="D2" s="1" t="s">
        <v>9</v>
      </c>
      <c r="E2" s="1" t="s">
        <v>10</v>
      </c>
      <c r="F2" s="1" t="s">
        <v>11</v>
      </c>
      <c r="G2" s="1" t="s">
        <v>12</v>
      </c>
      <c r="H2" s="4" t="s">
        <v>3961</v>
      </c>
    </row>
    <row r="3" spans="1:11">
      <c r="A3" s="1" t="s">
        <v>13</v>
      </c>
      <c r="B3" s="1" t="s">
        <v>14</v>
      </c>
      <c r="C3" s="1">
        <v>26</v>
      </c>
      <c r="D3" s="1" t="s">
        <v>15</v>
      </c>
      <c r="E3" s="1" t="s">
        <v>16</v>
      </c>
      <c r="F3" s="1" t="s">
        <v>17</v>
      </c>
      <c r="G3" s="1" t="s">
        <v>12</v>
      </c>
      <c r="H3" s="1" t="s">
        <v>18</v>
      </c>
    </row>
    <row r="4" spans="1:11">
      <c r="A4" s="1" t="s">
        <v>19</v>
      </c>
      <c r="B4" s="1" t="s">
        <v>3940</v>
      </c>
      <c r="C4" s="1">
        <v>29</v>
      </c>
      <c r="D4" s="1" t="s">
        <v>15</v>
      </c>
      <c r="E4" s="1" t="s">
        <v>20</v>
      </c>
      <c r="F4" s="1" t="s">
        <v>21</v>
      </c>
      <c r="G4" s="1" t="s">
        <v>12</v>
      </c>
      <c r="H4" s="1" t="s">
        <v>18</v>
      </c>
    </row>
    <row r="5" spans="1:11">
      <c r="A5" s="1" t="s">
        <v>22</v>
      </c>
      <c r="B5" s="1" t="s">
        <v>3941</v>
      </c>
      <c r="C5" s="1">
        <v>59</v>
      </c>
      <c r="D5" s="1" t="s">
        <v>15</v>
      </c>
      <c r="E5" s="1" t="s">
        <v>23</v>
      </c>
      <c r="F5" s="1" t="s">
        <v>24</v>
      </c>
      <c r="G5" s="1" t="s">
        <v>12</v>
      </c>
      <c r="H5" s="1" t="s">
        <v>25</v>
      </c>
      <c r="J5" s="24" t="s">
        <v>3967</v>
      </c>
      <c r="K5" t="s">
        <v>3971</v>
      </c>
    </row>
    <row r="6" spans="1:11">
      <c r="A6" s="1" t="s">
        <v>26</v>
      </c>
      <c r="B6" s="1" t="s">
        <v>27</v>
      </c>
      <c r="C6" s="1">
        <v>64</v>
      </c>
      <c r="D6" s="1" t="s">
        <v>15</v>
      </c>
      <c r="E6" s="1" t="s">
        <v>28</v>
      </c>
      <c r="F6" s="1" t="s">
        <v>29</v>
      </c>
      <c r="G6" s="1" t="s">
        <v>12</v>
      </c>
      <c r="H6" s="1" t="s">
        <v>30</v>
      </c>
      <c r="J6" s="25" t="s">
        <v>15</v>
      </c>
      <c r="K6" s="6">
        <v>262</v>
      </c>
    </row>
    <row r="7" spans="1:11">
      <c r="A7" s="1" t="s">
        <v>31</v>
      </c>
      <c r="B7" s="1" t="s">
        <v>32</v>
      </c>
      <c r="C7" s="1">
        <v>24</v>
      </c>
      <c r="D7" s="1" t="s">
        <v>9</v>
      </c>
      <c r="E7" s="1" t="s">
        <v>33</v>
      </c>
      <c r="F7" s="1" t="s">
        <v>34</v>
      </c>
      <c r="G7" s="1" t="s">
        <v>12</v>
      </c>
      <c r="H7" s="1" t="s">
        <v>25</v>
      </c>
      <c r="J7" s="25" t="s">
        <v>9</v>
      </c>
      <c r="K7" s="6">
        <v>238</v>
      </c>
    </row>
    <row r="8" spans="1:11">
      <c r="A8" s="1" t="s">
        <v>35</v>
      </c>
      <c r="B8" s="1" t="s">
        <v>36</v>
      </c>
      <c r="C8" s="1">
        <v>29</v>
      </c>
      <c r="D8" s="1" t="s">
        <v>15</v>
      </c>
      <c r="E8" s="1" t="s">
        <v>37</v>
      </c>
      <c r="F8" s="1" t="s">
        <v>38</v>
      </c>
      <c r="G8" s="1" t="s">
        <v>12</v>
      </c>
      <c r="H8" s="1" t="s">
        <v>18</v>
      </c>
      <c r="J8" s="25" t="s">
        <v>3968</v>
      </c>
      <c r="K8" s="6"/>
    </row>
    <row r="9" spans="1:11">
      <c r="A9" s="1" t="s">
        <v>39</v>
      </c>
      <c r="B9" s="1" t="s">
        <v>40</v>
      </c>
      <c r="C9" s="1">
        <v>29</v>
      </c>
      <c r="D9" s="1" t="s">
        <v>15</v>
      </c>
      <c r="E9" s="1" t="s">
        <v>41</v>
      </c>
      <c r="F9" s="1" t="s">
        <v>42</v>
      </c>
      <c r="G9" s="1" t="s">
        <v>12</v>
      </c>
      <c r="H9" s="1" t="s">
        <v>25</v>
      </c>
      <c r="J9" s="25" t="s">
        <v>3969</v>
      </c>
      <c r="K9" s="6">
        <v>500</v>
      </c>
    </row>
    <row r="10" spans="1:11">
      <c r="A10" s="1" t="s">
        <v>43</v>
      </c>
      <c r="B10" s="1" t="s">
        <v>44</v>
      </c>
      <c r="C10" s="1">
        <v>53</v>
      </c>
      <c r="D10" s="1" t="s">
        <v>15</v>
      </c>
      <c r="E10" s="1" t="s">
        <v>45</v>
      </c>
      <c r="F10" s="1" t="s">
        <v>46</v>
      </c>
      <c r="G10" s="1" t="s">
        <v>12</v>
      </c>
      <c r="H10" s="1" t="s">
        <v>47</v>
      </c>
    </row>
    <row r="11" spans="1:11">
      <c r="A11" s="1" t="s">
        <v>48</v>
      </c>
      <c r="B11" s="1" t="s">
        <v>49</v>
      </c>
      <c r="C11" s="1">
        <v>64</v>
      </c>
      <c r="D11" s="1" t="s">
        <v>9</v>
      </c>
      <c r="E11" s="1" t="s">
        <v>50</v>
      </c>
      <c r="F11" s="1" t="s">
        <v>51</v>
      </c>
      <c r="G11" s="1" t="s">
        <v>12</v>
      </c>
      <c r="H11" s="1" t="s">
        <v>18</v>
      </c>
    </row>
    <row r="12" spans="1:11">
      <c r="A12" s="1" t="s">
        <v>52</v>
      </c>
      <c r="B12" s="1" t="s">
        <v>53</v>
      </c>
      <c r="C12" s="1">
        <v>53</v>
      </c>
      <c r="D12" s="1" t="s">
        <v>9</v>
      </c>
      <c r="E12" s="1" t="s">
        <v>54</v>
      </c>
      <c r="F12" s="1" t="s">
        <v>51</v>
      </c>
      <c r="G12" s="1" t="s">
        <v>12</v>
      </c>
      <c r="H12" s="1" t="s">
        <v>25</v>
      </c>
    </row>
    <row r="13" spans="1:11">
      <c r="A13" s="1" t="s">
        <v>55</v>
      </c>
      <c r="B13" s="1" t="s">
        <v>56</v>
      </c>
      <c r="C13" s="1">
        <v>28</v>
      </c>
      <c r="D13" s="1" t="s">
        <v>15</v>
      </c>
      <c r="E13" s="1" t="s">
        <v>57</v>
      </c>
      <c r="F13" s="1" t="s">
        <v>58</v>
      </c>
      <c r="G13" s="1" t="s">
        <v>12</v>
      </c>
      <c r="H13" s="1" t="s">
        <v>47</v>
      </c>
    </row>
    <row r="14" spans="1:11">
      <c r="A14" s="1" t="s">
        <v>59</v>
      </c>
      <c r="B14" s="1" t="s">
        <v>60</v>
      </c>
      <c r="C14" s="1">
        <v>55</v>
      </c>
      <c r="D14" s="1" t="s">
        <v>15</v>
      </c>
      <c r="E14" s="1" t="s">
        <v>61</v>
      </c>
      <c r="F14" s="1" t="s">
        <v>62</v>
      </c>
      <c r="G14" s="1" t="s">
        <v>12</v>
      </c>
      <c r="H14" s="1" t="s">
        <v>18</v>
      </c>
    </row>
    <row r="15" spans="1:11">
      <c r="A15" s="1" t="s">
        <v>63</v>
      </c>
      <c r="B15" s="1" t="s">
        <v>64</v>
      </c>
      <c r="C15" s="1">
        <v>32</v>
      </c>
      <c r="D15" s="1" t="s">
        <v>15</v>
      </c>
      <c r="E15" s="1" t="s">
        <v>65</v>
      </c>
      <c r="F15" s="1" t="s">
        <v>66</v>
      </c>
      <c r="G15" s="1" t="s">
        <v>12</v>
      </c>
      <c r="H15" s="1" t="s">
        <v>30</v>
      </c>
    </row>
    <row r="16" spans="1:11">
      <c r="A16" s="1" t="s">
        <v>67</v>
      </c>
      <c r="B16" s="1" t="s">
        <v>68</v>
      </c>
      <c r="C16" s="1">
        <v>53</v>
      </c>
      <c r="D16" s="1" t="s">
        <v>15</v>
      </c>
      <c r="E16" s="1" t="s">
        <v>69</v>
      </c>
      <c r="F16" s="1" t="s">
        <v>70</v>
      </c>
      <c r="G16" s="1" t="s">
        <v>12</v>
      </c>
      <c r="H16" s="1" t="s">
        <v>30</v>
      </c>
    </row>
    <row r="17" spans="1:8">
      <c r="A17" s="1" t="s">
        <v>71</v>
      </c>
      <c r="B17" s="1" t="s">
        <v>72</v>
      </c>
      <c r="C17" s="1">
        <v>49</v>
      </c>
      <c r="D17" s="1" t="s">
        <v>15</v>
      </c>
      <c r="E17" s="1" t="s">
        <v>73</v>
      </c>
      <c r="F17" s="1" t="s">
        <v>74</v>
      </c>
      <c r="G17" s="1" t="s">
        <v>12</v>
      </c>
      <c r="H17" s="1" t="s">
        <v>18</v>
      </c>
    </row>
    <row r="18" spans="1:8">
      <c r="A18" s="1" t="s">
        <v>75</v>
      </c>
      <c r="B18" s="1" t="s">
        <v>76</v>
      </c>
      <c r="C18" s="1">
        <v>24</v>
      </c>
      <c r="D18" s="1" t="s">
        <v>15</v>
      </c>
      <c r="E18" s="1" t="s">
        <v>77</v>
      </c>
      <c r="F18" s="1" t="s">
        <v>51</v>
      </c>
      <c r="G18" s="1" t="s">
        <v>12</v>
      </c>
      <c r="H18" s="1" t="s">
        <v>25</v>
      </c>
    </row>
    <row r="19" spans="1:8">
      <c r="A19" s="1" t="s">
        <v>78</v>
      </c>
      <c r="B19" s="1" t="s">
        <v>79</v>
      </c>
      <c r="C19" s="1">
        <v>60</v>
      </c>
      <c r="D19" s="1" t="s">
        <v>15</v>
      </c>
      <c r="E19" s="1" t="s">
        <v>80</v>
      </c>
      <c r="F19" s="1" t="s">
        <v>81</v>
      </c>
      <c r="G19" s="1" t="s">
        <v>12</v>
      </c>
      <c r="H19" s="1" t="s">
        <v>18</v>
      </c>
    </row>
    <row r="20" spans="1:8">
      <c r="A20" s="1" t="s">
        <v>82</v>
      </c>
      <c r="B20" s="1" t="s">
        <v>83</v>
      </c>
      <c r="C20" s="1">
        <v>43</v>
      </c>
      <c r="D20" s="1" t="s">
        <v>9</v>
      </c>
      <c r="E20" s="1" t="s">
        <v>84</v>
      </c>
      <c r="F20" s="1" t="s">
        <v>62</v>
      </c>
      <c r="G20" s="1" t="s">
        <v>12</v>
      </c>
      <c r="H20" s="4" t="s">
        <v>3961</v>
      </c>
    </row>
    <row r="21" spans="1:8">
      <c r="A21" s="1" t="s">
        <v>85</v>
      </c>
      <c r="B21" s="1" t="s">
        <v>86</v>
      </c>
      <c r="C21" s="1">
        <v>46</v>
      </c>
      <c r="D21" s="1" t="s">
        <v>15</v>
      </c>
      <c r="E21" s="1" t="s">
        <v>87</v>
      </c>
      <c r="F21" s="1" t="s">
        <v>88</v>
      </c>
      <c r="G21" s="1" t="s">
        <v>12</v>
      </c>
      <c r="H21" s="1" t="s">
        <v>18</v>
      </c>
    </row>
    <row r="22" spans="1:8">
      <c r="A22" s="1" t="s">
        <v>89</v>
      </c>
      <c r="B22" s="1" t="s">
        <v>90</v>
      </c>
      <c r="C22" s="1">
        <v>59</v>
      </c>
      <c r="D22" s="1" t="s">
        <v>9</v>
      </c>
      <c r="E22" s="1" t="s">
        <v>91</v>
      </c>
      <c r="F22" s="1" t="s">
        <v>92</v>
      </c>
      <c r="G22" s="1" t="s">
        <v>12</v>
      </c>
      <c r="H22" s="1" t="s">
        <v>30</v>
      </c>
    </row>
    <row r="23" spans="1:8">
      <c r="A23" s="1" t="s">
        <v>93</v>
      </c>
      <c r="B23" s="1" t="s">
        <v>94</v>
      </c>
      <c r="C23" s="1">
        <v>36</v>
      </c>
      <c r="D23" s="1" t="s">
        <v>15</v>
      </c>
      <c r="E23" s="1" t="s">
        <v>95</v>
      </c>
      <c r="F23" s="1" t="s">
        <v>96</v>
      </c>
      <c r="G23" s="1" t="s">
        <v>12</v>
      </c>
      <c r="H23" s="1" t="s">
        <v>47</v>
      </c>
    </row>
    <row r="24" spans="1:8">
      <c r="A24" s="1" t="s">
        <v>97</v>
      </c>
      <c r="B24" s="1" t="s">
        <v>3942</v>
      </c>
      <c r="C24" s="1">
        <v>33</v>
      </c>
      <c r="D24" s="1" t="s">
        <v>15</v>
      </c>
      <c r="E24" s="1" t="s">
        <v>98</v>
      </c>
      <c r="F24" s="1" t="s">
        <v>99</v>
      </c>
      <c r="G24" s="1" t="s">
        <v>12</v>
      </c>
      <c r="H24" s="1" t="s">
        <v>30</v>
      </c>
    </row>
    <row r="25" spans="1:8">
      <c r="A25" s="1" t="s">
        <v>100</v>
      </c>
      <c r="B25" s="1" t="s">
        <v>101</v>
      </c>
      <c r="C25" s="1">
        <v>52</v>
      </c>
      <c r="D25" s="1" t="s">
        <v>15</v>
      </c>
      <c r="E25" s="1" t="s">
        <v>102</v>
      </c>
      <c r="F25" s="1" t="s">
        <v>34</v>
      </c>
      <c r="G25" s="1" t="s">
        <v>12</v>
      </c>
      <c r="H25" s="1" t="s">
        <v>30</v>
      </c>
    </row>
    <row r="26" spans="1:8">
      <c r="A26" s="1" t="s">
        <v>103</v>
      </c>
      <c r="B26" s="1" t="s">
        <v>104</v>
      </c>
      <c r="C26" s="1">
        <v>40</v>
      </c>
      <c r="D26" s="1" t="s">
        <v>9</v>
      </c>
      <c r="E26" s="1" t="s">
        <v>105</v>
      </c>
      <c r="F26" s="1" t="s">
        <v>106</v>
      </c>
      <c r="G26" s="1" t="s">
        <v>12</v>
      </c>
      <c r="H26" s="1" t="s">
        <v>18</v>
      </c>
    </row>
    <row r="27" spans="1:8">
      <c r="A27" s="1" t="s">
        <v>107</v>
      </c>
      <c r="B27" s="1" t="s">
        <v>108</v>
      </c>
      <c r="C27" s="1">
        <v>59</v>
      </c>
      <c r="D27" s="1" t="s">
        <v>15</v>
      </c>
      <c r="E27" s="1" t="s">
        <v>109</v>
      </c>
      <c r="F27" s="1" t="s">
        <v>29</v>
      </c>
      <c r="G27" s="1" t="s">
        <v>12</v>
      </c>
      <c r="H27" s="1" t="s">
        <v>25</v>
      </c>
    </row>
    <row r="28" spans="1:8">
      <c r="A28" s="1" t="s">
        <v>110</v>
      </c>
      <c r="B28" s="1" t="s">
        <v>111</v>
      </c>
      <c r="C28" s="1">
        <v>18</v>
      </c>
      <c r="D28" s="1" t="s">
        <v>15</v>
      </c>
      <c r="E28" s="1" t="s">
        <v>112</v>
      </c>
      <c r="F28" s="1" t="s">
        <v>113</v>
      </c>
      <c r="G28" s="1" t="s">
        <v>12</v>
      </c>
      <c r="H28" s="1" t="s">
        <v>47</v>
      </c>
    </row>
    <row r="29" spans="1:8">
      <c r="A29" s="1" t="s">
        <v>114</v>
      </c>
      <c r="B29" s="1" t="s">
        <v>115</v>
      </c>
      <c r="C29" s="1">
        <v>31</v>
      </c>
      <c r="D29" s="1" t="s">
        <v>9</v>
      </c>
      <c r="E29" s="1" t="s">
        <v>116</v>
      </c>
      <c r="F29" s="1" t="s">
        <v>117</v>
      </c>
      <c r="G29" s="1" t="s">
        <v>12</v>
      </c>
      <c r="H29" s="4" t="s">
        <v>3961</v>
      </c>
    </row>
    <row r="30" spans="1:8">
      <c r="A30" s="1" t="s">
        <v>118</v>
      </c>
      <c r="B30" s="1" t="s">
        <v>119</v>
      </c>
      <c r="C30" s="1">
        <v>27</v>
      </c>
      <c r="D30" s="1" t="s">
        <v>15</v>
      </c>
      <c r="E30" s="1" t="s">
        <v>120</v>
      </c>
      <c r="F30" s="1" t="s">
        <v>88</v>
      </c>
      <c r="G30" s="1" t="s">
        <v>12</v>
      </c>
      <c r="H30" s="1" t="s">
        <v>18</v>
      </c>
    </row>
    <row r="31" spans="1:8">
      <c r="A31" s="1" t="s">
        <v>121</v>
      </c>
      <c r="B31" s="1" t="s">
        <v>122</v>
      </c>
      <c r="C31" s="1">
        <v>54</v>
      </c>
      <c r="D31" s="1" t="s">
        <v>15</v>
      </c>
      <c r="E31" s="1" t="s">
        <v>123</v>
      </c>
      <c r="F31" s="1" t="s">
        <v>29</v>
      </c>
      <c r="G31" s="1" t="s">
        <v>12</v>
      </c>
      <c r="H31" s="1" t="s">
        <v>30</v>
      </c>
    </row>
    <row r="32" spans="1:8">
      <c r="A32" s="1" t="s">
        <v>124</v>
      </c>
      <c r="B32" s="1" t="s">
        <v>125</v>
      </c>
      <c r="C32" s="1">
        <v>64</v>
      </c>
      <c r="D32" s="1" t="s">
        <v>15</v>
      </c>
      <c r="E32" s="1" t="s">
        <v>126</v>
      </c>
      <c r="F32" s="1" t="s">
        <v>51</v>
      </c>
      <c r="G32" s="1" t="s">
        <v>12</v>
      </c>
      <c r="H32" s="1" t="s">
        <v>25</v>
      </c>
    </row>
    <row r="33" spans="1:8">
      <c r="A33" s="1" t="s">
        <v>127</v>
      </c>
      <c r="B33" s="1" t="s">
        <v>128</v>
      </c>
      <c r="C33" s="1">
        <v>41</v>
      </c>
      <c r="D33" s="1" t="s">
        <v>9</v>
      </c>
      <c r="E33" s="1" t="s">
        <v>129</v>
      </c>
      <c r="F33" s="1" t="s">
        <v>34</v>
      </c>
      <c r="G33" s="1" t="s">
        <v>12</v>
      </c>
      <c r="H33" s="1" t="s">
        <v>30</v>
      </c>
    </row>
    <row r="34" spans="1:8">
      <c r="A34" s="1" t="s">
        <v>130</v>
      </c>
      <c r="B34" s="1" t="s">
        <v>131</v>
      </c>
      <c r="C34" s="1">
        <v>48</v>
      </c>
      <c r="D34" s="1" t="s">
        <v>15</v>
      </c>
      <c r="E34" s="1" t="s">
        <v>132</v>
      </c>
      <c r="F34" s="1" t="s">
        <v>133</v>
      </c>
      <c r="G34" s="1" t="s">
        <v>12</v>
      </c>
      <c r="H34" s="1" t="s">
        <v>47</v>
      </c>
    </row>
    <row r="35" spans="1:8">
      <c r="A35" s="1" t="s">
        <v>134</v>
      </c>
      <c r="B35" s="1" t="s">
        <v>3943</v>
      </c>
      <c r="C35" s="1">
        <v>25</v>
      </c>
      <c r="D35" s="1" t="s">
        <v>9</v>
      </c>
      <c r="E35" s="1" t="s">
        <v>135</v>
      </c>
      <c r="F35" s="1" t="s">
        <v>96</v>
      </c>
      <c r="G35" s="1" t="s">
        <v>12</v>
      </c>
      <c r="H35" s="1" t="s">
        <v>18</v>
      </c>
    </row>
    <row r="36" spans="1:8">
      <c r="A36" s="1" t="s">
        <v>136</v>
      </c>
      <c r="B36" s="1" t="s">
        <v>137</v>
      </c>
      <c r="C36" s="1">
        <v>27</v>
      </c>
      <c r="D36" s="1" t="s">
        <v>15</v>
      </c>
      <c r="E36" s="1" t="s">
        <v>138</v>
      </c>
      <c r="F36" s="1" t="s">
        <v>139</v>
      </c>
      <c r="G36" s="1" t="s">
        <v>12</v>
      </c>
      <c r="H36" s="1" t="s">
        <v>18</v>
      </c>
    </row>
    <row r="37" spans="1:8">
      <c r="A37" s="1" t="s">
        <v>140</v>
      </c>
      <c r="B37" s="1" t="s">
        <v>141</v>
      </c>
      <c r="C37" s="1">
        <v>52</v>
      </c>
      <c r="D37" s="1" t="s">
        <v>9</v>
      </c>
      <c r="E37" s="1" t="s">
        <v>142</v>
      </c>
      <c r="F37" s="1" t="s">
        <v>17</v>
      </c>
      <c r="G37" s="1" t="s">
        <v>12</v>
      </c>
      <c r="H37" s="1" t="s">
        <v>30</v>
      </c>
    </row>
    <row r="38" spans="1:8">
      <c r="A38" s="1" t="s">
        <v>143</v>
      </c>
      <c r="B38" s="1" t="s">
        <v>144</v>
      </c>
      <c r="C38" s="1">
        <v>20</v>
      </c>
      <c r="D38" s="1" t="s">
        <v>15</v>
      </c>
      <c r="E38" s="1" t="s">
        <v>145</v>
      </c>
      <c r="F38" s="1" t="s">
        <v>81</v>
      </c>
      <c r="G38" s="1" t="s">
        <v>12</v>
      </c>
      <c r="H38" s="1" t="s">
        <v>47</v>
      </c>
    </row>
    <row r="39" spans="1:8">
      <c r="A39" s="1" t="s">
        <v>146</v>
      </c>
      <c r="B39" s="1" t="s">
        <v>147</v>
      </c>
      <c r="C39" s="1">
        <v>27</v>
      </c>
      <c r="D39" s="1" t="s">
        <v>15</v>
      </c>
      <c r="E39" s="1" t="s">
        <v>148</v>
      </c>
      <c r="F39" s="1" t="s">
        <v>38</v>
      </c>
      <c r="G39" s="1" t="s">
        <v>12</v>
      </c>
      <c r="H39" s="4" t="s">
        <v>3961</v>
      </c>
    </row>
    <row r="40" spans="1:8">
      <c r="A40" s="1" t="s">
        <v>149</v>
      </c>
      <c r="B40" s="1" t="s">
        <v>150</v>
      </c>
      <c r="C40" s="1">
        <v>35</v>
      </c>
      <c r="D40" s="1" t="s">
        <v>15</v>
      </c>
      <c r="E40" s="1" t="s">
        <v>151</v>
      </c>
      <c r="F40" s="1" t="s">
        <v>17</v>
      </c>
      <c r="G40" s="1" t="s">
        <v>12</v>
      </c>
      <c r="H40" s="1" t="s">
        <v>25</v>
      </c>
    </row>
    <row r="41" spans="1:8">
      <c r="A41" s="1" t="s">
        <v>152</v>
      </c>
      <c r="B41" s="1" t="s">
        <v>153</v>
      </c>
      <c r="C41" s="1">
        <v>55</v>
      </c>
      <c r="D41" s="1" t="s">
        <v>15</v>
      </c>
      <c r="E41" s="1" t="s">
        <v>154</v>
      </c>
      <c r="F41" s="1" t="s">
        <v>155</v>
      </c>
      <c r="G41" s="1" t="s">
        <v>12</v>
      </c>
      <c r="H41" s="1" t="s">
        <v>47</v>
      </c>
    </row>
    <row r="42" spans="1:8">
      <c r="A42" s="1" t="s">
        <v>156</v>
      </c>
      <c r="B42" s="1" t="s">
        <v>157</v>
      </c>
      <c r="C42" s="1">
        <v>50</v>
      </c>
      <c r="D42" s="1" t="s">
        <v>9</v>
      </c>
      <c r="E42" s="1" t="s">
        <v>158</v>
      </c>
      <c r="F42" s="1" t="s">
        <v>62</v>
      </c>
      <c r="G42" s="1" t="s">
        <v>12</v>
      </c>
      <c r="H42" s="1" t="s">
        <v>47</v>
      </c>
    </row>
    <row r="43" spans="1:8">
      <c r="A43" s="1" t="s">
        <v>159</v>
      </c>
      <c r="B43" s="1" t="s">
        <v>160</v>
      </c>
      <c r="C43" s="1">
        <v>21</v>
      </c>
      <c r="D43" s="1" t="s">
        <v>9</v>
      </c>
      <c r="E43" s="1" t="s">
        <v>161</v>
      </c>
      <c r="F43" s="1" t="s">
        <v>162</v>
      </c>
      <c r="G43" s="1" t="s">
        <v>12</v>
      </c>
      <c r="H43" s="1" t="s">
        <v>18</v>
      </c>
    </row>
    <row r="44" spans="1:8">
      <c r="A44" s="1" t="s">
        <v>163</v>
      </c>
      <c r="B44" s="1" t="s">
        <v>164</v>
      </c>
      <c r="C44" s="1">
        <v>19</v>
      </c>
      <c r="D44" s="1" t="s">
        <v>9</v>
      </c>
      <c r="E44" s="1" t="s">
        <v>165</v>
      </c>
      <c r="F44" s="1" t="s">
        <v>166</v>
      </c>
      <c r="G44" s="1" t="s">
        <v>12</v>
      </c>
      <c r="H44" s="1" t="s">
        <v>18</v>
      </c>
    </row>
    <row r="45" spans="1:8">
      <c r="A45" s="1" t="s">
        <v>167</v>
      </c>
      <c r="B45" s="1" t="s">
        <v>168</v>
      </c>
      <c r="C45" s="1">
        <v>45</v>
      </c>
      <c r="D45" s="1" t="s">
        <v>9</v>
      </c>
      <c r="E45" s="1" t="s">
        <v>169</v>
      </c>
      <c r="F45" s="1" t="s">
        <v>170</v>
      </c>
      <c r="G45" s="1" t="s">
        <v>12</v>
      </c>
      <c r="H45" s="1" t="s">
        <v>47</v>
      </c>
    </row>
    <row r="46" spans="1:8">
      <c r="A46" s="1" t="s">
        <v>171</v>
      </c>
      <c r="B46" s="1" t="s">
        <v>172</v>
      </c>
      <c r="C46" s="1">
        <v>34</v>
      </c>
      <c r="D46" s="1" t="s">
        <v>9</v>
      </c>
      <c r="E46" s="1" t="s">
        <v>173</v>
      </c>
      <c r="F46" s="1" t="s">
        <v>99</v>
      </c>
      <c r="G46" s="1" t="s">
        <v>12</v>
      </c>
      <c r="H46" s="1" t="s">
        <v>25</v>
      </c>
    </row>
    <row r="47" spans="1:8">
      <c r="A47" s="1" t="s">
        <v>174</v>
      </c>
      <c r="B47" s="1" t="s">
        <v>3944</v>
      </c>
      <c r="C47" s="1">
        <v>54</v>
      </c>
      <c r="D47" s="1" t="s">
        <v>9</v>
      </c>
      <c r="E47" s="1" t="s">
        <v>175</v>
      </c>
      <c r="F47" s="1" t="s">
        <v>133</v>
      </c>
      <c r="G47" s="1" t="s">
        <v>12</v>
      </c>
      <c r="H47" s="1" t="s">
        <v>47</v>
      </c>
    </row>
    <row r="48" spans="1:8">
      <c r="A48" s="1" t="s">
        <v>176</v>
      </c>
      <c r="B48" s="1" t="s">
        <v>3945</v>
      </c>
      <c r="C48" s="1">
        <v>55</v>
      </c>
      <c r="D48" s="1" t="s">
        <v>15</v>
      </c>
      <c r="E48" s="1" t="s">
        <v>177</v>
      </c>
      <c r="F48" s="1" t="s">
        <v>24</v>
      </c>
      <c r="G48" s="1" t="s">
        <v>12</v>
      </c>
      <c r="H48" s="1" t="s">
        <v>18</v>
      </c>
    </row>
    <row r="49" spans="1:8">
      <c r="A49" s="1" t="s">
        <v>178</v>
      </c>
      <c r="B49" s="1" t="s">
        <v>179</v>
      </c>
      <c r="C49" s="1">
        <v>54</v>
      </c>
      <c r="D49" s="1" t="s">
        <v>15</v>
      </c>
      <c r="E49" s="1" t="s">
        <v>180</v>
      </c>
      <c r="F49" s="1" t="s">
        <v>181</v>
      </c>
      <c r="G49" s="1" t="s">
        <v>12</v>
      </c>
      <c r="H49" s="1" t="s">
        <v>30</v>
      </c>
    </row>
    <row r="50" spans="1:8">
      <c r="A50" s="1" t="s">
        <v>182</v>
      </c>
      <c r="B50" s="1" t="s">
        <v>183</v>
      </c>
      <c r="C50" s="1">
        <v>54</v>
      </c>
      <c r="D50" s="1" t="s">
        <v>9</v>
      </c>
      <c r="E50" s="1" t="s">
        <v>184</v>
      </c>
      <c r="F50" s="1" t="s">
        <v>11</v>
      </c>
      <c r="G50" s="1" t="s">
        <v>12</v>
      </c>
      <c r="H50" s="1" t="s">
        <v>18</v>
      </c>
    </row>
    <row r="51" spans="1:8">
      <c r="A51" s="1" t="s">
        <v>185</v>
      </c>
      <c r="B51" s="1" t="s">
        <v>186</v>
      </c>
      <c r="C51" s="1">
        <v>45</v>
      </c>
      <c r="D51" s="1" t="s">
        <v>15</v>
      </c>
      <c r="E51" s="1" t="s">
        <v>187</v>
      </c>
      <c r="F51" s="1" t="s">
        <v>24</v>
      </c>
      <c r="G51" s="1" t="s">
        <v>12</v>
      </c>
      <c r="H51" s="1" t="s">
        <v>47</v>
      </c>
    </row>
    <row r="52" spans="1:8">
      <c r="A52" s="1" t="s">
        <v>188</v>
      </c>
      <c r="B52" s="1" t="s">
        <v>189</v>
      </c>
      <c r="C52" s="1">
        <v>61</v>
      </c>
      <c r="D52" s="1" t="s">
        <v>15</v>
      </c>
      <c r="E52" s="1" t="s">
        <v>190</v>
      </c>
      <c r="F52" s="1" t="s">
        <v>191</v>
      </c>
      <c r="G52" s="1" t="s">
        <v>12</v>
      </c>
      <c r="H52" s="1" t="s">
        <v>47</v>
      </c>
    </row>
    <row r="53" spans="1:8">
      <c r="A53" s="1" t="s">
        <v>192</v>
      </c>
      <c r="B53" s="1" t="s">
        <v>193</v>
      </c>
      <c r="C53" s="1">
        <v>23</v>
      </c>
      <c r="D53" s="1" t="s">
        <v>15</v>
      </c>
      <c r="E53" s="1" t="s">
        <v>194</v>
      </c>
      <c r="F53" s="1" t="s">
        <v>42</v>
      </c>
      <c r="G53" s="1" t="s">
        <v>12</v>
      </c>
      <c r="H53" s="1" t="s">
        <v>47</v>
      </c>
    </row>
    <row r="54" spans="1:8">
      <c r="A54" s="1" t="s">
        <v>195</v>
      </c>
      <c r="B54" s="1" t="s">
        <v>196</v>
      </c>
      <c r="C54" s="1">
        <v>55</v>
      </c>
      <c r="D54" s="1" t="s">
        <v>9</v>
      </c>
      <c r="E54" s="1" t="s">
        <v>197</v>
      </c>
      <c r="F54" s="1" t="s">
        <v>198</v>
      </c>
      <c r="G54" s="1" t="s">
        <v>12</v>
      </c>
      <c r="H54" s="1" t="s">
        <v>25</v>
      </c>
    </row>
    <row r="55" spans="1:8">
      <c r="A55" s="1" t="s">
        <v>199</v>
      </c>
      <c r="B55" s="1" t="s">
        <v>200</v>
      </c>
      <c r="C55" s="1">
        <v>37</v>
      </c>
      <c r="D55" s="1" t="s">
        <v>15</v>
      </c>
      <c r="E55" s="1" t="s">
        <v>201</v>
      </c>
      <c r="F55" s="1" t="s">
        <v>155</v>
      </c>
      <c r="G55" s="1" t="s">
        <v>12</v>
      </c>
      <c r="H55" s="1" t="s">
        <v>47</v>
      </c>
    </row>
    <row r="56" spans="1:8">
      <c r="A56" s="1" t="s">
        <v>202</v>
      </c>
      <c r="B56" s="1" t="s">
        <v>203</v>
      </c>
      <c r="C56" s="1">
        <v>24</v>
      </c>
      <c r="D56" s="1" t="s">
        <v>9</v>
      </c>
      <c r="E56" s="1" t="s">
        <v>204</v>
      </c>
      <c r="F56" s="1" t="s">
        <v>96</v>
      </c>
      <c r="G56" s="1" t="s">
        <v>12</v>
      </c>
      <c r="H56" s="1" t="s">
        <v>18</v>
      </c>
    </row>
    <row r="57" spans="1:8">
      <c r="A57" s="1" t="s">
        <v>205</v>
      </c>
      <c r="B57" s="1" t="s">
        <v>206</v>
      </c>
      <c r="C57" s="1">
        <v>56</v>
      </c>
      <c r="D57" s="1" t="s">
        <v>15</v>
      </c>
      <c r="E57" s="1" t="s">
        <v>207</v>
      </c>
      <c r="F57" s="1" t="s">
        <v>198</v>
      </c>
      <c r="G57" s="1" t="s">
        <v>12</v>
      </c>
      <c r="H57" s="1" t="s">
        <v>25</v>
      </c>
    </row>
    <row r="58" spans="1:8">
      <c r="A58" s="1" t="s">
        <v>208</v>
      </c>
      <c r="B58" s="1" t="s">
        <v>209</v>
      </c>
      <c r="C58" s="1">
        <v>49</v>
      </c>
      <c r="D58" s="1" t="s">
        <v>15</v>
      </c>
      <c r="E58" s="1" t="s">
        <v>210</v>
      </c>
      <c r="F58" s="1" t="s">
        <v>51</v>
      </c>
      <c r="G58" s="1" t="s">
        <v>12</v>
      </c>
      <c r="H58" s="1" t="s">
        <v>47</v>
      </c>
    </row>
    <row r="59" spans="1:8">
      <c r="A59" s="1" t="s">
        <v>211</v>
      </c>
      <c r="B59" s="1" t="s">
        <v>212</v>
      </c>
      <c r="C59" s="1">
        <v>43</v>
      </c>
      <c r="D59" s="1" t="s">
        <v>15</v>
      </c>
      <c r="E59" s="1" t="s">
        <v>213</v>
      </c>
      <c r="F59" s="1" t="s">
        <v>214</v>
      </c>
      <c r="G59" s="1" t="s">
        <v>12</v>
      </c>
      <c r="H59" s="1" t="s">
        <v>18</v>
      </c>
    </row>
    <row r="60" spans="1:8">
      <c r="A60" s="1" t="s">
        <v>215</v>
      </c>
      <c r="B60" s="1" t="s">
        <v>216</v>
      </c>
      <c r="C60" s="1">
        <v>51</v>
      </c>
      <c r="D60" s="1" t="s">
        <v>9</v>
      </c>
      <c r="E60" s="1" t="s">
        <v>217</v>
      </c>
      <c r="F60" s="1" t="s">
        <v>139</v>
      </c>
      <c r="G60" s="1" t="s">
        <v>12</v>
      </c>
      <c r="H60" s="1" t="s">
        <v>18</v>
      </c>
    </row>
    <row r="61" spans="1:8">
      <c r="A61" s="1" t="s">
        <v>218</v>
      </c>
      <c r="B61" s="1" t="s">
        <v>219</v>
      </c>
      <c r="C61" s="1">
        <v>53</v>
      </c>
      <c r="D61" s="1" t="s">
        <v>9</v>
      </c>
      <c r="E61" s="1" t="s">
        <v>220</v>
      </c>
      <c r="F61" s="1" t="s">
        <v>66</v>
      </c>
      <c r="G61" s="1" t="s">
        <v>12</v>
      </c>
      <c r="H61" s="1" t="s">
        <v>18</v>
      </c>
    </row>
    <row r="62" spans="1:8">
      <c r="A62" s="1" t="s">
        <v>221</v>
      </c>
      <c r="B62" s="1" t="s">
        <v>222</v>
      </c>
      <c r="C62" s="1">
        <v>22</v>
      </c>
      <c r="D62" s="1" t="s">
        <v>15</v>
      </c>
      <c r="E62" s="1" t="s">
        <v>223</v>
      </c>
      <c r="F62" s="1" t="s">
        <v>162</v>
      </c>
      <c r="G62" s="1" t="s">
        <v>12</v>
      </c>
      <c r="H62" s="1" t="s">
        <v>30</v>
      </c>
    </row>
    <row r="63" spans="1:8">
      <c r="A63" s="1" t="s">
        <v>224</v>
      </c>
      <c r="B63" s="1" t="s">
        <v>225</v>
      </c>
      <c r="C63" s="1">
        <v>23</v>
      </c>
      <c r="D63" s="1" t="s">
        <v>9</v>
      </c>
      <c r="E63" s="1" t="s">
        <v>226</v>
      </c>
      <c r="F63" s="1" t="s">
        <v>113</v>
      </c>
      <c r="G63" s="1" t="s">
        <v>12</v>
      </c>
      <c r="H63" s="1" t="s">
        <v>30</v>
      </c>
    </row>
    <row r="64" spans="1:8">
      <c r="A64" s="1" t="s">
        <v>227</v>
      </c>
      <c r="B64" s="1" t="s">
        <v>228</v>
      </c>
      <c r="C64" s="1">
        <v>50</v>
      </c>
      <c r="D64" s="1" t="s">
        <v>9</v>
      </c>
      <c r="E64" s="1" t="s">
        <v>229</v>
      </c>
      <c r="F64" s="1" t="s">
        <v>230</v>
      </c>
      <c r="G64" s="1" t="s">
        <v>12</v>
      </c>
      <c r="H64" s="1" t="s">
        <v>25</v>
      </c>
    </row>
    <row r="65" spans="1:8">
      <c r="A65" s="1" t="s">
        <v>231</v>
      </c>
      <c r="B65" s="1" t="s">
        <v>232</v>
      </c>
      <c r="C65" s="1">
        <v>51</v>
      </c>
      <c r="D65" s="1" t="s">
        <v>9</v>
      </c>
      <c r="E65" s="1" t="s">
        <v>233</v>
      </c>
      <c r="F65" s="1" t="s">
        <v>234</v>
      </c>
      <c r="G65" s="1" t="s">
        <v>12</v>
      </c>
      <c r="H65" s="1" t="s">
        <v>18</v>
      </c>
    </row>
    <row r="66" spans="1:8">
      <c r="A66" s="1" t="s">
        <v>235</v>
      </c>
      <c r="B66" s="1" t="s">
        <v>236</v>
      </c>
      <c r="C66" s="1">
        <v>33</v>
      </c>
      <c r="D66" s="1" t="s">
        <v>9</v>
      </c>
      <c r="E66" s="1" t="s">
        <v>237</v>
      </c>
      <c r="F66" s="1" t="s">
        <v>133</v>
      </c>
      <c r="G66" s="1" t="s">
        <v>12</v>
      </c>
      <c r="H66" s="1" t="s">
        <v>47</v>
      </c>
    </row>
    <row r="67" spans="1:8">
      <c r="A67" s="1" t="s">
        <v>238</v>
      </c>
      <c r="B67" s="1" t="s">
        <v>239</v>
      </c>
      <c r="C67" s="1">
        <v>21</v>
      </c>
      <c r="D67" s="1" t="s">
        <v>15</v>
      </c>
      <c r="E67" s="1" t="s">
        <v>240</v>
      </c>
      <c r="F67" s="1" t="s">
        <v>181</v>
      </c>
      <c r="G67" s="1" t="s">
        <v>12</v>
      </c>
      <c r="H67" s="1" t="s">
        <v>30</v>
      </c>
    </row>
    <row r="68" spans="1:8">
      <c r="A68" s="1" t="s">
        <v>241</v>
      </c>
      <c r="B68" s="1" t="s">
        <v>242</v>
      </c>
      <c r="C68" s="1">
        <v>27</v>
      </c>
      <c r="D68" s="1" t="s">
        <v>15</v>
      </c>
      <c r="E68" s="1" t="s">
        <v>243</v>
      </c>
      <c r="F68" s="1" t="s">
        <v>46</v>
      </c>
      <c r="G68" s="1" t="s">
        <v>12</v>
      </c>
      <c r="H68" s="1" t="s">
        <v>30</v>
      </c>
    </row>
    <row r="69" spans="1:8">
      <c r="A69" s="1" t="s">
        <v>244</v>
      </c>
      <c r="B69" s="1" t="s">
        <v>245</v>
      </c>
      <c r="C69" s="1">
        <v>58</v>
      </c>
      <c r="D69" s="1" t="s">
        <v>9</v>
      </c>
      <c r="E69" s="1" t="s">
        <v>246</v>
      </c>
      <c r="F69" s="1" t="s">
        <v>247</v>
      </c>
      <c r="G69" s="1" t="s">
        <v>12</v>
      </c>
      <c r="H69" s="1" t="s">
        <v>30</v>
      </c>
    </row>
    <row r="70" spans="1:8">
      <c r="A70" s="1" t="s">
        <v>248</v>
      </c>
      <c r="B70" s="1" t="s">
        <v>249</v>
      </c>
      <c r="C70" s="1">
        <v>24</v>
      </c>
      <c r="D70" s="1" t="s">
        <v>15</v>
      </c>
      <c r="E70" s="1" t="s">
        <v>250</v>
      </c>
      <c r="F70" s="1" t="s">
        <v>251</v>
      </c>
      <c r="G70" s="1" t="s">
        <v>12</v>
      </c>
      <c r="H70" s="1" t="s">
        <v>30</v>
      </c>
    </row>
    <row r="71" spans="1:8">
      <c r="A71" s="1" t="s">
        <v>252</v>
      </c>
      <c r="B71" s="1" t="s">
        <v>253</v>
      </c>
      <c r="C71" s="1">
        <v>24</v>
      </c>
      <c r="D71" s="1" t="s">
        <v>15</v>
      </c>
      <c r="E71" s="1" t="s">
        <v>254</v>
      </c>
      <c r="F71" s="1" t="s">
        <v>88</v>
      </c>
      <c r="G71" s="1" t="s">
        <v>12</v>
      </c>
      <c r="H71" s="1" t="s">
        <v>18</v>
      </c>
    </row>
    <row r="72" spans="1:8">
      <c r="A72" s="1" t="s">
        <v>255</v>
      </c>
      <c r="B72" s="1" t="s">
        <v>256</v>
      </c>
      <c r="C72" s="1">
        <v>29</v>
      </c>
      <c r="D72" s="1" t="s">
        <v>15</v>
      </c>
      <c r="E72" s="1" t="s">
        <v>257</v>
      </c>
      <c r="F72" s="1" t="s">
        <v>230</v>
      </c>
      <c r="G72" s="1" t="s">
        <v>12</v>
      </c>
      <c r="H72" s="1" t="s">
        <v>47</v>
      </c>
    </row>
    <row r="73" spans="1:8">
      <c r="A73" s="1" t="s">
        <v>258</v>
      </c>
      <c r="B73" s="1" t="s">
        <v>259</v>
      </c>
      <c r="C73" s="1">
        <v>61</v>
      </c>
      <c r="D73" s="1" t="s">
        <v>15</v>
      </c>
      <c r="E73" s="1" t="s">
        <v>260</v>
      </c>
      <c r="F73" s="1" t="s">
        <v>230</v>
      </c>
      <c r="G73" s="1" t="s">
        <v>12</v>
      </c>
      <c r="H73" s="1" t="s">
        <v>47</v>
      </c>
    </row>
    <row r="74" spans="1:8">
      <c r="A74" s="1" t="s">
        <v>261</v>
      </c>
      <c r="B74" s="1" t="s">
        <v>262</v>
      </c>
      <c r="C74" s="1">
        <v>39</v>
      </c>
      <c r="D74" s="1" t="s">
        <v>15</v>
      </c>
      <c r="E74" s="1" t="s">
        <v>263</v>
      </c>
      <c r="F74" s="1" t="s">
        <v>264</v>
      </c>
      <c r="G74" s="1" t="s">
        <v>12</v>
      </c>
      <c r="H74" s="1" t="s">
        <v>47</v>
      </c>
    </row>
    <row r="75" spans="1:8">
      <c r="A75" s="1" t="s">
        <v>265</v>
      </c>
      <c r="B75" s="1" t="s">
        <v>266</v>
      </c>
      <c r="C75" s="1">
        <v>56</v>
      </c>
      <c r="D75" s="1" t="s">
        <v>15</v>
      </c>
      <c r="E75" s="1" t="s">
        <v>267</v>
      </c>
      <c r="F75" s="1" t="s">
        <v>42</v>
      </c>
      <c r="G75" s="1" t="s">
        <v>12</v>
      </c>
      <c r="H75" s="1" t="s">
        <v>30</v>
      </c>
    </row>
    <row r="76" spans="1:8">
      <c r="A76" s="1" t="s">
        <v>268</v>
      </c>
      <c r="B76" s="1" t="s">
        <v>269</v>
      </c>
      <c r="C76" s="1">
        <v>58</v>
      </c>
      <c r="D76" s="1" t="s">
        <v>9</v>
      </c>
      <c r="E76" s="1" t="s">
        <v>270</v>
      </c>
      <c r="F76" s="1" t="s">
        <v>271</v>
      </c>
      <c r="G76" s="1" t="s">
        <v>12</v>
      </c>
      <c r="H76" s="1" t="s">
        <v>25</v>
      </c>
    </row>
    <row r="77" spans="1:8">
      <c r="A77" s="1" t="s">
        <v>272</v>
      </c>
      <c r="B77" s="1" t="s">
        <v>273</v>
      </c>
      <c r="C77" s="1">
        <v>61</v>
      </c>
      <c r="D77" s="1" t="s">
        <v>15</v>
      </c>
      <c r="E77" s="1" t="s">
        <v>274</v>
      </c>
      <c r="F77" s="1" t="s">
        <v>29</v>
      </c>
      <c r="G77" s="1" t="s">
        <v>12</v>
      </c>
      <c r="H77" s="1" t="s">
        <v>47</v>
      </c>
    </row>
    <row r="78" spans="1:8">
      <c r="A78" s="1" t="s">
        <v>275</v>
      </c>
      <c r="B78" s="1" t="s">
        <v>276</v>
      </c>
      <c r="C78" s="1">
        <v>37</v>
      </c>
      <c r="D78" s="1" t="s">
        <v>9</v>
      </c>
      <c r="E78" s="1" t="s">
        <v>277</v>
      </c>
      <c r="F78" s="1" t="s">
        <v>96</v>
      </c>
      <c r="G78" s="1" t="s">
        <v>12</v>
      </c>
      <c r="H78" s="1" t="s">
        <v>47</v>
      </c>
    </row>
    <row r="79" spans="1:8">
      <c r="A79" s="1" t="s">
        <v>278</v>
      </c>
      <c r="B79" s="1" t="s">
        <v>279</v>
      </c>
      <c r="C79" s="1">
        <v>29</v>
      </c>
      <c r="D79" s="1" t="s">
        <v>9</v>
      </c>
      <c r="E79" s="1" t="s">
        <v>280</v>
      </c>
      <c r="F79" s="1" t="s">
        <v>170</v>
      </c>
      <c r="G79" s="1" t="s">
        <v>12</v>
      </c>
      <c r="H79" s="1" t="s">
        <v>47</v>
      </c>
    </row>
    <row r="80" spans="1:8">
      <c r="A80" s="1" t="s">
        <v>281</v>
      </c>
      <c r="B80" s="1" t="s">
        <v>282</v>
      </c>
      <c r="C80" s="1">
        <v>21</v>
      </c>
      <c r="D80" s="1" t="s">
        <v>9</v>
      </c>
      <c r="E80" s="1" t="s">
        <v>283</v>
      </c>
      <c r="F80" s="1" t="s">
        <v>284</v>
      </c>
      <c r="G80" s="1" t="s">
        <v>12</v>
      </c>
      <c r="H80" s="1" t="s">
        <v>47</v>
      </c>
    </row>
    <row r="81" spans="1:8">
      <c r="A81" s="1" t="s">
        <v>285</v>
      </c>
      <c r="B81" s="1" t="s">
        <v>286</v>
      </c>
      <c r="C81" s="1">
        <v>22</v>
      </c>
      <c r="D81" s="1" t="s">
        <v>15</v>
      </c>
      <c r="E81" s="1" t="s">
        <v>287</v>
      </c>
      <c r="F81" s="1" t="s">
        <v>288</v>
      </c>
      <c r="G81" s="1" t="s">
        <v>12</v>
      </c>
      <c r="H81" s="1" t="s">
        <v>18</v>
      </c>
    </row>
    <row r="82" spans="1:8">
      <c r="A82" s="1" t="s">
        <v>289</v>
      </c>
      <c r="B82" s="1" t="s">
        <v>290</v>
      </c>
      <c r="C82" s="1">
        <v>61</v>
      </c>
      <c r="D82" s="1" t="s">
        <v>15</v>
      </c>
      <c r="E82" s="1" t="s">
        <v>291</v>
      </c>
      <c r="F82" s="1" t="s">
        <v>230</v>
      </c>
      <c r="G82" s="1" t="s">
        <v>12</v>
      </c>
      <c r="H82" s="1" t="s">
        <v>25</v>
      </c>
    </row>
    <row r="83" spans="1:8">
      <c r="A83" s="1" t="s">
        <v>292</v>
      </c>
      <c r="B83" s="1" t="s">
        <v>293</v>
      </c>
      <c r="C83" s="1">
        <v>34</v>
      </c>
      <c r="D83" s="1" t="s">
        <v>15</v>
      </c>
      <c r="E83" s="1" t="s">
        <v>294</v>
      </c>
      <c r="F83" s="1" t="s">
        <v>133</v>
      </c>
      <c r="G83" s="1" t="s">
        <v>12</v>
      </c>
      <c r="H83" s="1" t="s">
        <v>18</v>
      </c>
    </row>
    <row r="84" spans="1:8">
      <c r="A84" s="1" t="s">
        <v>295</v>
      </c>
      <c r="B84" s="1" t="s">
        <v>296</v>
      </c>
      <c r="C84" s="1">
        <v>53</v>
      </c>
      <c r="D84" s="1" t="s">
        <v>9</v>
      </c>
      <c r="E84" s="1" t="s">
        <v>297</v>
      </c>
      <c r="F84" s="1" t="s">
        <v>247</v>
      </c>
      <c r="G84" s="1" t="s">
        <v>12</v>
      </c>
      <c r="H84" s="1" t="s">
        <v>25</v>
      </c>
    </row>
    <row r="85" spans="1:8">
      <c r="A85" s="1" t="s">
        <v>298</v>
      </c>
      <c r="B85" s="1" t="s">
        <v>299</v>
      </c>
      <c r="C85" s="1">
        <v>48</v>
      </c>
      <c r="D85" s="1" t="s">
        <v>15</v>
      </c>
      <c r="E85" s="1" t="s">
        <v>300</v>
      </c>
      <c r="F85" s="1" t="s">
        <v>81</v>
      </c>
      <c r="G85" s="1" t="s">
        <v>12</v>
      </c>
      <c r="H85" s="1" t="s">
        <v>25</v>
      </c>
    </row>
    <row r="86" spans="1:8">
      <c r="A86" s="1" t="s">
        <v>301</v>
      </c>
      <c r="B86" s="1" t="s">
        <v>302</v>
      </c>
      <c r="C86" s="1">
        <v>26</v>
      </c>
      <c r="D86" s="1" t="s">
        <v>15</v>
      </c>
      <c r="E86" s="1" t="s">
        <v>303</v>
      </c>
      <c r="F86" s="1" t="s">
        <v>251</v>
      </c>
      <c r="G86" s="1" t="s">
        <v>12</v>
      </c>
      <c r="H86" s="1" t="s">
        <v>18</v>
      </c>
    </row>
    <row r="87" spans="1:8">
      <c r="A87" s="1" t="s">
        <v>304</v>
      </c>
      <c r="B87" s="1" t="s">
        <v>305</v>
      </c>
      <c r="C87" s="1">
        <v>36</v>
      </c>
      <c r="D87" s="1" t="s">
        <v>9</v>
      </c>
      <c r="E87" s="1" t="s">
        <v>306</v>
      </c>
      <c r="F87" s="1" t="s">
        <v>51</v>
      </c>
      <c r="G87" s="1" t="s">
        <v>12</v>
      </c>
      <c r="H87" s="1" t="s">
        <v>30</v>
      </c>
    </row>
    <row r="88" spans="1:8">
      <c r="A88" s="1" t="s">
        <v>307</v>
      </c>
      <c r="B88" s="1" t="s">
        <v>3946</v>
      </c>
      <c r="C88" s="1">
        <v>19</v>
      </c>
      <c r="D88" s="1" t="s">
        <v>15</v>
      </c>
      <c r="E88" s="1" t="s">
        <v>308</v>
      </c>
      <c r="F88" s="1" t="s">
        <v>309</v>
      </c>
      <c r="G88" s="1" t="s">
        <v>12</v>
      </c>
      <c r="H88" s="1" t="s">
        <v>47</v>
      </c>
    </row>
    <row r="89" spans="1:8">
      <c r="A89" s="1" t="s">
        <v>310</v>
      </c>
      <c r="B89" s="1" t="s">
        <v>3947</v>
      </c>
      <c r="C89" s="1">
        <v>58</v>
      </c>
      <c r="D89" s="1" t="s">
        <v>15</v>
      </c>
      <c r="E89" s="1" t="s">
        <v>311</v>
      </c>
      <c r="F89" s="1" t="s">
        <v>312</v>
      </c>
      <c r="G89" s="1" t="s">
        <v>12</v>
      </c>
      <c r="H89" s="1" t="s">
        <v>25</v>
      </c>
    </row>
    <row r="90" spans="1:8">
      <c r="A90" s="1" t="s">
        <v>313</v>
      </c>
      <c r="B90" s="1" t="s">
        <v>314</v>
      </c>
      <c r="C90" s="1">
        <v>58</v>
      </c>
      <c r="D90" s="1" t="s">
        <v>9</v>
      </c>
      <c r="E90" s="1" t="s">
        <v>315</v>
      </c>
      <c r="F90" s="1" t="s">
        <v>288</v>
      </c>
      <c r="G90" s="1" t="s">
        <v>12</v>
      </c>
      <c r="H90" s="1" t="s">
        <v>30</v>
      </c>
    </row>
    <row r="91" spans="1:8">
      <c r="A91" s="1" t="s">
        <v>316</v>
      </c>
      <c r="B91" s="1" t="s">
        <v>317</v>
      </c>
      <c r="C91" s="1">
        <v>43</v>
      </c>
      <c r="D91" s="1" t="s">
        <v>9</v>
      </c>
      <c r="E91" s="1" t="s">
        <v>318</v>
      </c>
      <c r="F91" s="1" t="s">
        <v>319</v>
      </c>
      <c r="G91" s="1" t="s">
        <v>12</v>
      </c>
      <c r="H91" s="1" t="s">
        <v>18</v>
      </c>
    </row>
    <row r="92" spans="1:8">
      <c r="A92" s="1" t="s">
        <v>320</v>
      </c>
      <c r="B92" s="1" t="s">
        <v>321</v>
      </c>
      <c r="C92" s="1">
        <v>58</v>
      </c>
      <c r="D92" s="1" t="s">
        <v>15</v>
      </c>
      <c r="E92" s="1" t="s">
        <v>322</v>
      </c>
      <c r="F92" s="1" t="s">
        <v>323</v>
      </c>
      <c r="G92" s="1" t="s">
        <v>12</v>
      </c>
      <c r="H92" s="1" t="s">
        <v>18</v>
      </c>
    </row>
    <row r="93" spans="1:8">
      <c r="A93" s="1" t="s">
        <v>324</v>
      </c>
      <c r="B93" s="1" t="s">
        <v>325</v>
      </c>
      <c r="C93" s="1">
        <v>29</v>
      </c>
      <c r="D93" s="1" t="s">
        <v>15</v>
      </c>
      <c r="E93" s="1" t="s">
        <v>326</v>
      </c>
      <c r="F93" s="1" t="s">
        <v>133</v>
      </c>
      <c r="G93" s="1" t="s">
        <v>12</v>
      </c>
      <c r="H93" s="1" t="s">
        <v>30</v>
      </c>
    </row>
    <row r="94" spans="1:8">
      <c r="A94" s="1" t="s">
        <v>327</v>
      </c>
      <c r="B94" s="1" t="s">
        <v>328</v>
      </c>
      <c r="C94" s="1">
        <v>44</v>
      </c>
      <c r="D94" s="1" t="s">
        <v>15</v>
      </c>
      <c r="E94" s="1" t="s">
        <v>329</v>
      </c>
      <c r="F94" s="1" t="s">
        <v>234</v>
      </c>
      <c r="G94" s="1" t="s">
        <v>12</v>
      </c>
      <c r="H94" s="1" t="s">
        <v>18</v>
      </c>
    </row>
    <row r="95" spans="1:8">
      <c r="A95" s="1" t="s">
        <v>330</v>
      </c>
      <c r="B95" s="1" t="s">
        <v>331</v>
      </c>
      <c r="C95" s="1">
        <v>28</v>
      </c>
      <c r="D95" s="1" t="s">
        <v>15</v>
      </c>
      <c r="E95" s="1" t="s">
        <v>332</v>
      </c>
      <c r="F95" s="1" t="s">
        <v>312</v>
      </c>
      <c r="G95" s="1" t="s">
        <v>12</v>
      </c>
      <c r="H95" s="1" t="s">
        <v>47</v>
      </c>
    </row>
    <row r="96" spans="1:8">
      <c r="A96" s="1" t="s">
        <v>333</v>
      </c>
      <c r="B96" s="1" t="s">
        <v>334</v>
      </c>
      <c r="C96" s="1">
        <v>43</v>
      </c>
      <c r="D96" s="1" t="s">
        <v>15</v>
      </c>
      <c r="E96" s="1" t="s">
        <v>335</v>
      </c>
      <c r="F96" s="1" t="s">
        <v>181</v>
      </c>
      <c r="G96" s="1" t="s">
        <v>12</v>
      </c>
      <c r="H96" s="1" t="s">
        <v>47</v>
      </c>
    </row>
    <row r="97" spans="1:8">
      <c r="A97" s="1" t="s">
        <v>336</v>
      </c>
      <c r="B97" s="1" t="s">
        <v>337</v>
      </c>
      <c r="C97" s="1">
        <v>62</v>
      </c>
      <c r="D97" s="1" t="s">
        <v>15</v>
      </c>
      <c r="E97" s="1" t="s">
        <v>338</v>
      </c>
      <c r="F97" s="1" t="s">
        <v>58</v>
      </c>
      <c r="G97" s="1" t="s">
        <v>12</v>
      </c>
      <c r="H97" s="1" t="s">
        <v>18</v>
      </c>
    </row>
    <row r="98" spans="1:8">
      <c r="A98" s="1" t="s">
        <v>339</v>
      </c>
      <c r="B98" s="1" t="s">
        <v>340</v>
      </c>
      <c r="C98" s="1">
        <v>30</v>
      </c>
      <c r="D98" s="1" t="s">
        <v>15</v>
      </c>
      <c r="E98" s="1" t="s">
        <v>341</v>
      </c>
      <c r="F98" s="1" t="s">
        <v>323</v>
      </c>
      <c r="G98" s="1" t="s">
        <v>12</v>
      </c>
      <c r="H98" s="1" t="s">
        <v>18</v>
      </c>
    </row>
    <row r="99" spans="1:8">
      <c r="A99" s="1" t="s">
        <v>342</v>
      </c>
      <c r="B99" s="1" t="s">
        <v>343</v>
      </c>
      <c r="C99" s="1">
        <v>36</v>
      </c>
      <c r="D99" s="1" t="s">
        <v>9</v>
      </c>
      <c r="E99" s="1" t="s">
        <v>344</v>
      </c>
      <c r="F99" s="1" t="s">
        <v>38</v>
      </c>
      <c r="G99" s="1" t="s">
        <v>12</v>
      </c>
      <c r="H99" s="1" t="s">
        <v>30</v>
      </c>
    </row>
    <row r="100" spans="1:8">
      <c r="A100" s="1" t="s">
        <v>345</v>
      </c>
      <c r="B100" s="1" t="s">
        <v>346</v>
      </c>
      <c r="C100" s="1">
        <v>24</v>
      </c>
      <c r="D100" s="1" t="s">
        <v>9</v>
      </c>
      <c r="E100" s="1" t="s">
        <v>347</v>
      </c>
      <c r="F100" s="1" t="s">
        <v>162</v>
      </c>
      <c r="G100" s="1" t="s">
        <v>12</v>
      </c>
      <c r="H100" s="1" t="s">
        <v>47</v>
      </c>
    </row>
    <row r="101" spans="1:8">
      <c r="A101" s="1" t="s">
        <v>348</v>
      </c>
      <c r="B101" s="1" t="s">
        <v>349</v>
      </c>
      <c r="C101" s="1">
        <v>35</v>
      </c>
      <c r="D101" s="1" t="s">
        <v>9</v>
      </c>
      <c r="E101" s="1" t="s">
        <v>350</v>
      </c>
      <c r="F101" s="1" t="s">
        <v>234</v>
      </c>
      <c r="G101" s="1" t="s">
        <v>12</v>
      </c>
      <c r="H101" s="1" t="s">
        <v>30</v>
      </c>
    </row>
    <row r="102" spans="1:8">
      <c r="A102" s="1" t="s">
        <v>351</v>
      </c>
      <c r="B102" s="1" t="s">
        <v>352</v>
      </c>
      <c r="C102" s="1">
        <v>53</v>
      </c>
      <c r="D102" s="1" t="s">
        <v>15</v>
      </c>
      <c r="E102" s="1" t="s">
        <v>353</v>
      </c>
      <c r="F102" s="1" t="s">
        <v>354</v>
      </c>
      <c r="G102" s="1" t="s">
        <v>12</v>
      </c>
      <c r="H102" s="1" t="s">
        <v>18</v>
      </c>
    </row>
    <row r="103" spans="1:8">
      <c r="A103" s="1" t="s">
        <v>355</v>
      </c>
      <c r="B103" s="1" t="s">
        <v>356</v>
      </c>
      <c r="C103" s="1">
        <v>29</v>
      </c>
      <c r="D103" s="1" t="s">
        <v>9</v>
      </c>
      <c r="E103" s="1" t="s">
        <v>357</v>
      </c>
      <c r="F103" s="1" t="s">
        <v>117</v>
      </c>
      <c r="G103" s="1" t="s">
        <v>12</v>
      </c>
      <c r="H103" s="1" t="s">
        <v>47</v>
      </c>
    </row>
    <row r="104" spans="1:8">
      <c r="A104" s="1" t="s">
        <v>358</v>
      </c>
      <c r="B104" s="1" t="s">
        <v>359</v>
      </c>
      <c r="C104" s="1">
        <v>34</v>
      </c>
      <c r="D104" s="1" t="s">
        <v>15</v>
      </c>
      <c r="E104" s="1" t="s">
        <v>360</v>
      </c>
      <c r="F104" s="1" t="s">
        <v>51</v>
      </c>
      <c r="G104" s="1" t="s">
        <v>12</v>
      </c>
      <c r="H104" s="1" t="s">
        <v>25</v>
      </c>
    </row>
    <row r="105" spans="1:8">
      <c r="A105" s="1" t="s">
        <v>361</v>
      </c>
      <c r="B105" s="1" t="s">
        <v>362</v>
      </c>
      <c r="C105" s="1">
        <v>21</v>
      </c>
      <c r="D105" s="1" t="s">
        <v>9</v>
      </c>
      <c r="E105" s="1" t="s">
        <v>363</v>
      </c>
      <c r="F105" s="1" t="s">
        <v>166</v>
      </c>
      <c r="G105" s="1" t="s">
        <v>12</v>
      </c>
      <c r="H105" s="1" t="s">
        <v>25</v>
      </c>
    </row>
    <row r="106" spans="1:8">
      <c r="A106" s="1" t="s">
        <v>364</v>
      </c>
      <c r="B106" s="1" t="s">
        <v>365</v>
      </c>
      <c r="C106" s="1">
        <v>64</v>
      </c>
      <c r="D106" s="1" t="s">
        <v>9</v>
      </c>
      <c r="E106" s="1" t="s">
        <v>366</v>
      </c>
      <c r="F106" s="1" t="s">
        <v>81</v>
      </c>
      <c r="G106" s="1" t="s">
        <v>12</v>
      </c>
      <c r="H106" s="1" t="s">
        <v>30</v>
      </c>
    </row>
    <row r="107" spans="1:8">
      <c r="A107" s="1" t="s">
        <v>367</v>
      </c>
      <c r="B107" s="1" t="s">
        <v>368</v>
      </c>
      <c r="C107" s="1">
        <v>50</v>
      </c>
      <c r="D107" s="1" t="s">
        <v>15</v>
      </c>
      <c r="E107" s="1" t="s">
        <v>369</v>
      </c>
      <c r="F107" s="1" t="s">
        <v>247</v>
      </c>
      <c r="G107" s="1" t="s">
        <v>12</v>
      </c>
      <c r="H107" s="1" t="s">
        <v>47</v>
      </c>
    </row>
    <row r="108" spans="1:8">
      <c r="A108" s="1" t="s">
        <v>370</v>
      </c>
      <c r="B108" s="1" t="s">
        <v>371</v>
      </c>
      <c r="C108" s="1">
        <v>53</v>
      </c>
      <c r="D108" s="1" t="s">
        <v>15</v>
      </c>
      <c r="E108" s="1" t="s">
        <v>372</v>
      </c>
      <c r="F108" s="1" t="s">
        <v>214</v>
      </c>
      <c r="G108" s="1" t="s">
        <v>12</v>
      </c>
      <c r="H108" s="1" t="s">
        <v>25</v>
      </c>
    </row>
    <row r="109" spans="1:8">
      <c r="A109" s="1" t="s">
        <v>373</v>
      </c>
      <c r="B109" s="1" t="s">
        <v>374</v>
      </c>
      <c r="C109" s="1">
        <v>62</v>
      </c>
      <c r="D109" s="1" t="s">
        <v>15</v>
      </c>
      <c r="E109" s="1" t="s">
        <v>375</v>
      </c>
      <c r="F109" s="1" t="s">
        <v>17</v>
      </c>
      <c r="G109" s="1" t="s">
        <v>12</v>
      </c>
      <c r="H109" s="1" t="s">
        <v>18</v>
      </c>
    </row>
    <row r="110" spans="1:8">
      <c r="A110" s="1" t="s">
        <v>376</v>
      </c>
      <c r="B110" s="1" t="s">
        <v>377</v>
      </c>
      <c r="C110" s="1">
        <v>38</v>
      </c>
      <c r="D110" s="1" t="s">
        <v>9</v>
      </c>
      <c r="E110" s="1" t="s">
        <v>378</v>
      </c>
      <c r="F110" s="1" t="s">
        <v>46</v>
      </c>
      <c r="G110" s="1" t="s">
        <v>12</v>
      </c>
      <c r="H110" s="1" t="s">
        <v>25</v>
      </c>
    </row>
    <row r="111" spans="1:8">
      <c r="A111" s="1" t="s">
        <v>379</v>
      </c>
      <c r="B111" s="1" t="s">
        <v>380</v>
      </c>
      <c r="C111" s="1">
        <v>27</v>
      </c>
      <c r="D111" s="1" t="s">
        <v>9</v>
      </c>
      <c r="E111" s="1" t="s">
        <v>381</v>
      </c>
      <c r="F111" s="1" t="s">
        <v>42</v>
      </c>
      <c r="G111" s="1" t="s">
        <v>12</v>
      </c>
      <c r="H111" s="1" t="s">
        <v>30</v>
      </c>
    </row>
    <row r="112" spans="1:8">
      <c r="A112" s="1" t="s">
        <v>382</v>
      </c>
      <c r="B112" s="1" t="s">
        <v>383</v>
      </c>
      <c r="C112" s="1">
        <v>40</v>
      </c>
      <c r="D112" s="1" t="s">
        <v>15</v>
      </c>
      <c r="E112" s="1" t="s">
        <v>384</v>
      </c>
      <c r="F112" s="1" t="s">
        <v>139</v>
      </c>
      <c r="G112" s="1" t="s">
        <v>12</v>
      </c>
      <c r="H112" s="1" t="s">
        <v>47</v>
      </c>
    </row>
    <row r="113" spans="1:8">
      <c r="A113" s="1" t="s">
        <v>385</v>
      </c>
      <c r="B113" s="1" t="s">
        <v>386</v>
      </c>
      <c r="C113" s="1">
        <v>18</v>
      </c>
      <c r="D113" s="1" t="s">
        <v>15</v>
      </c>
      <c r="E113" s="1" t="s">
        <v>387</v>
      </c>
      <c r="F113" s="1" t="s">
        <v>133</v>
      </c>
      <c r="G113" s="1" t="s">
        <v>12</v>
      </c>
      <c r="H113" s="1" t="s">
        <v>18</v>
      </c>
    </row>
    <row r="114" spans="1:8">
      <c r="A114" s="1" t="s">
        <v>388</v>
      </c>
      <c r="B114" s="1" t="s">
        <v>389</v>
      </c>
      <c r="C114" s="1">
        <v>27</v>
      </c>
      <c r="D114" s="1" t="s">
        <v>15</v>
      </c>
      <c r="E114" s="1" t="s">
        <v>390</v>
      </c>
      <c r="F114" s="1" t="s">
        <v>155</v>
      </c>
      <c r="G114" s="1" t="s">
        <v>12</v>
      </c>
      <c r="H114" s="1" t="s">
        <v>30</v>
      </c>
    </row>
    <row r="115" spans="1:8">
      <c r="A115" s="1" t="s">
        <v>391</v>
      </c>
      <c r="B115" s="1" t="s">
        <v>392</v>
      </c>
      <c r="C115" s="1">
        <v>51</v>
      </c>
      <c r="D115" s="1" t="s">
        <v>9</v>
      </c>
      <c r="E115" s="1" t="s">
        <v>393</v>
      </c>
      <c r="F115" s="1" t="s">
        <v>230</v>
      </c>
      <c r="G115" s="1" t="s">
        <v>12</v>
      </c>
      <c r="H115" s="1" t="s">
        <v>47</v>
      </c>
    </row>
    <row r="116" spans="1:8">
      <c r="A116" s="1" t="s">
        <v>394</v>
      </c>
      <c r="B116" s="1" t="s">
        <v>395</v>
      </c>
      <c r="C116" s="1">
        <v>30</v>
      </c>
      <c r="D116" s="1" t="s">
        <v>9</v>
      </c>
      <c r="E116" s="1" t="s">
        <v>396</v>
      </c>
      <c r="F116" s="1" t="s">
        <v>181</v>
      </c>
      <c r="G116" s="1" t="s">
        <v>12</v>
      </c>
      <c r="H116" s="1" t="s">
        <v>25</v>
      </c>
    </row>
    <row r="117" spans="1:8">
      <c r="A117" s="1" t="s">
        <v>397</v>
      </c>
      <c r="B117" s="1" t="s">
        <v>398</v>
      </c>
      <c r="C117" s="1">
        <v>53</v>
      </c>
      <c r="D117" s="1" t="s">
        <v>15</v>
      </c>
      <c r="E117" s="1" t="s">
        <v>399</v>
      </c>
      <c r="F117" s="1" t="s">
        <v>17</v>
      </c>
      <c r="G117" s="1" t="s">
        <v>12</v>
      </c>
      <c r="H117" s="1" t="s">
        <v>18</v>
      </c>
    </row>
    <row r="118" spans="1:8">
      <c r="A118" s="1" t="s">
        <v>400</v>
      </c>
      <c r="B118" s="1" t="s">
        <v>401</v>
      </c>
      <c r="C118" s="1">
        <v>18</v>
      </c>
      <c r="D118" s="1" t="s">
        <v>15</v>
      </c>
      <c r="E118" s="1" t="s">
        <v>402</v>
      </c>
      <c r="F118" s="1" t="s">
        <v>214</v>
      </c>
      <c r="G118" s="1" t="s">
        <v>12</v>
      </c>
      <c r="H118" s="1" t="s">
        <v>18</v>
      </c>
    </row>
    <row r="119" spans="1:8">
      <c r="A119" s="1" t="s">
        <v>403</v>
      </c>
      <c r="B119" s="1" t="s">
        <v>404</v>
      </c>
      <c r="C119" s="1">
        <v>21</v>
      </c>
      <c r="D119" s="1" t="s">
        <v>15</v>
      </c>
      <c r="E119" s="1" t="s">
        <v>405</v>
      </c>
      <c r="F119" s="1" t="s">
        <v>74</v>
      </c>
      <c r="G119" s="1" t="s">
        <v>12</v>
      </c>
      <c r="H119" s="1" t="s">
        <v>18</v>
      </c>
    </row>
    <row r="120" spans="1:8">
      <c r="A120" s="1" t="s">
        <v>406</v>
      </c>
      <c r="B120" s="1" t="s">
        <v>407</v>
      </c>
      <c r="C120" s="1">
        <v>36</v>
      </c>
      <c r="D120" s="1" t="s">
        <v>9</v>
      </c>
      <c r="E120" s="1" t="s">
        <v>408</v>
      </c>
      <c r="F120" s="1" t="s">
        <v>70</v>
      </c>
      <c r="G120" s="1" t="s">
        <v>12</v>
      </c>
      <c r="H120" s="1" t="s">
        <v>18</v>
      </c>
    </row>
    <row r="121" spans="1:8">
      <c r="A121" s="1" t="s">
        <v>409</v>
      </c>
      <c r="B121" s="1" t="s">
        <v>410</v>
      </c>
      <c r="C121" s="1">
        <v>40</v>
      </c>
      <c r="D121" s="1" t="s">
        <v>9</v>
      </c>
      <c r="E121" s="1" t="s">
        <v>411</v>
      </c>
      <c r="F121" s="1" t="s">
        <v>234</v>
      </c>
      <c r="G121" s="1" t="s">
        <v>12</v>
      </c>
      <c r="H121" s="1" t="s">
        <v>25</v>
      </c>
    </row>
    <row r="122" spans="1:8">
      <c r="A122" s="1" t="s">
        <v>412</v>
      </c>
      <c r="B122" s="1" t="s">
        <v>413</v>
      </c>
      <c r="C122" s="1">
        <v>44</v>
      </c>
      <c r="D122" s="1" t="s">
        <v>15</v>
      </c>
      <c r="E122" s="1" t="s">
        <v>414</v>
      </c>
      <c r="F122" s="1" t="s">
        <v>51</v>
      </c>
      <c r="G122" s="1" t="s">
        <v>12</v>
      </c>
      <c r="H122" s="1" t="s">
        <v>18</v>
      </c>
    </row>
    <row r="123" spans="1:8">
      <c r="A123" s="1" t="s">
        <v>415</v>
      </c>
      <c r="B123" s="1" t="s">
        <v>416</v>
      </c>
      <c r="C123" s="1">
        <v>62</v>
      </c>
      <c r="D123" s="1" t="s">
        <v>9</v>
      </c>
      <c r="E123" s="1" t="s">
        <v>417</v>
      </c>
      <c r="F123" s="1" t="s">
        <v>99</v>
      </c>
      <c r="G123" s="1" t="s">
        <v>12</v>
      </c>
      <c r="H123" s="1" t="s">
        <v>18</v>
      </c>
    </row>
    <row r="124" spans="1:8">
      <c r="A124" s="1" t="s">
        <v>418</v>
      </c>
      <c r="B124" s="1" t="s">
        <v>419</v>
      </c>
      <c r="C124" s="1">
        <v>50</v>
      </c>
      <c r="D124" s="1" t="s">
        <v>9</v>
      </c>
      <c r="E124" s="1" t="s">
        <v>420</v>
      </c>
      <c r="F124" s="1" t="s">
        <v>11</v>
      </c>
      <c r="G124" s="1" t="s">
        <v>12</v>
      </c>
      <c r="H124" s="1" t="s">
        <v>18</v>
      </c>
    </row>
    <row r="125" spans="1:8">
      <c r="A125" s="1" t="s">
        <v>421</v>
      </c>
      <c r="B125" s="1" t="s">
        <v>422</v>
      </c>
      <c r="C125" s="1">
        <v>40</v>
      </c>
      <c r="D125" s="1" t="s">
        <v>9</v>
      </c>
      <c r="E125" s="1" t="s">
        <v>423</v>
      </c>
      <c r="F125" s="1" t="s">
        <v>264</v>
      </c>
      <c r="G125" s="1" t="s">
        <v>12</v>
      </c>
      <c r="H125" s="1" t="s">
        <v>30</v>
      </c>
    </row>
    <row r="126" spans="1:8">
      <c r="A126" s="1" t="s">
        <v>424</v>
      </c>
      <c r="B126" s="1" t="s">
        <v>425</v>
      </c>
      <c r="C126" s="1">
        <v>26</v>
      </c>
      <c r="D126" s="1" t="s">
        <v>9</v>
      </c>
      <c r="E126" s="1" t="s">
        <v>426</v>
      </c>
      <c r="F126" s="1" t="s">
        <v>191</v>
      </c>
      <c r="G126" s="1" t="s">
        <v>12</v>
      </c>
      <c r="H126" s="1" t="s">
        <v>25</v>
      </c>
    </row>
    <row r="127" spans="1:8">
      <c r="A127" s="1" t="s">
        <v>427</v>
      </c>
      <c r="B127" s="1" t="s">
        <v>428</v>
      </c>
      <c r="C127" s="1">
        <v>64</v>
      </c>
      <c r="D127" s="1" t="s">
        <v>15</v>
      </c>
      <c r="E127" s="1" t="s">
        <v>429</v>
      </c>
      <c r="F127" s="1" t="s">
        <v>430</v>
      </c>
      <c r="G127" s="1" t="s">
        <v>12</v>
      </c>
      <c r="H127" s="1" t="s">
        <v>18</v>
      </c>
    </row>
    <row r="128" spans="1:8">
      <c r="A128" s="1" t="s">
        <v>431</v>
      </c>
      <c r="B128" s="1" t="s">
        <v>432</v>
      </c>
      <c r="C128" s="1">
        <v>62</v>
      </c>
      <c r="D128" s="1" t="s">
        <v>15</v>
      </c>
      <c r="E128" s="1" t="s">
        <v>433</v>
      </c>
      <c r="F128" s="1" t="s">
        <v>133</v>
      </c>
      <c r="G128" s="1" t="s">
        <v>12</v>
      </c>
      <c r="H128" s="1" t="s">
        <v>47</v>
      </c>
    </row>
    <row r="129" spans="1:8">
      <c r="A129" s="1" t="s">
        <v>434</v>
      </c>
      <c r="B129" s="1" t="s">
        <v>435</v>
      </c>
      <c r="C129" s="1">
        <v>39</v>
      </c>
      <c r="D129" s="1" t="s">
        <v>9</v>
      </c>
      <c r="E129" s="1" t="s">
        <v>436</v>
      </c>
      <c r="F129" s="1" t="s">
        <v>170</v>
      </c>
      <c r="G129" s="1" t="s">
        <v>12</v>
      </c>
      <c r="H129" s="1" t="s">
        <v>18</v>
      </c>
    </row>
    <row r="130" spans="1:8">
      <c r="A130" s="1" t="s">
        <v>437</v>
      </c>
      <c r="B130" s="1" t="s">
        <v>438</v>
      </c>
      <c r="C130" s="1">
        <v>45</v>
      </c>
      <c r="D130" s="1" t="s">
        <v>9</v>
      </c>
      <c r="E130" s="1" t="s">
        <v>439</v>
      </c>
      <c r="F130" s="1" t="s">
        <v>288</v>
      </c>
      <c r="G130" s="1" t="s">
        <v>12</v>
      </c>
      <c r="H130" s="1" t="s">
        <v>30</v>
      </c>
    </row>
    <row r="131" spans="1:8">
      <c r="A131" s="1" t="s">
        <v>440</v>
      </c>
      <c r="B131" s="1" t="s">
        <v>441</v>
      </c>
      <c r="C131" s="1">
        <v>43</v>
      </c>
      <c r="D131" s="1" t="s">
        <v>15</v>
      </c>
      <c r="E131" s="1" t="s">
        <v>442</v>
      </c>
      <c r="F131" s="1" t="s">
        <v>38</v>
      </c>
      <c r="G131" s="1" t="s">
        <v>12</v>
      </c>
      <c r="H131" s="1" t="s">
        <v>30</v>
      </c>
    </row>
    <row r="132" spans="1:8">
      <c r="A132" s="1" t="s">
        <v>443</v>
      </c>
      <c r="B132" s="1" t="s">
        <v>444</v>
      </c>
      <c r="C132" s="1">
        <v>29</v>
      </c>
      <c r="D132" s="1" t="s">
        <v>9</v>
      </c>
      <c r="E132" s="1" t="s">
        <v>445</v>
      </c>
      <c r="F132" s="1" t="s">
        <v>166</v>
      </c>
      <c r="G132" s="1" t="s">
        <v>446</v>
      </c>
      <c r="H132" s="1" t="s">
        <v>18</v>
      </c>
    </row>
    <row r="133" spans="1:8">
      <c r="A133" s="1" t="s">
        <v>447</v>
      </c>
      <c r="B133" s="1" t="s">
        <v>448</v>
      </c>
      <c r="C133" s="1">
        <v>34</v>
      </c>
      <c r="D133" s="1" t="s">
        <v>15</v>
      </c>
      <c r="E133" s="1" t="s">
        <v>449</v>
      </c>
      <c r="F133" s="1" t="s">
        <v>21</v>
      </c>
      <c r="G133" s="1" t="s">
        <v>12</v>
      </c>
      <c r="H133" s="1" t="s">
        <v>25</v>
      </c>
    </row>
    <row r="134" spans="1:8">
      <c r="A134" s="1" t="s">
        <v>450</v>
      </c>
      <c r="B134" s="1" t="s">
        <v>451</v>
      </c>
      <c r="C134" s="1">
        <v>57</v>
      </c>
      <c r="D134" s="1" t="s">
        <v>15</v>
      </c>
      <c r="E134" s="1" t="s">
        <v>452</v>
      </c>
      <c r="F134" s="1" t="s">
        <v>24</v>
      </c>
      <c r="G134" s="1" t="s">
        <v>12</v>
      </c>
      <c r="H134" s="1" t="s">
        <v>47</v>
      </c>
    </row>
    <row r="135" spans="1:8">
      <c r="A135" s="1" t="s">
        <v>453</v>
      </c>
      <c r="B135" s="1" t="s">
        <v>454</v>
      </c>
      <c r="C135" s="1">
        <v>62</v>
      </c>
      <c r="D135" s="1" t="s">
        <v>15</v>
      </c>
      <c r="E135" s="1" t="s">
        <v>455</v>
      </c>
      <c r="F135" s="1" t="s">
        <v>247</v>
      </c>
      <c r="G135" s="1" t="s">
        <v>12</v>
      </c>
      <c r="H135" s="1" t="s">
        <v>25</v>
      </c>
    </row>
    <row r="136" spans="1:8">
      <c r="A136" s="1" t="s">
        <v>456</v>
      </c>
      <c r="B136" s="1" t="s">
        <v>457</v>
      </c>
      <c r="C136" s="1">
        <v>54</v>
      </c>
      <c r="D136" s="1" t="s">
        <v>9</v>
      </c>
      <c r="E136" s="1" t="s">
        <v>458</v>
      </c>
      <c r="F136" s="1" t="s">
        <v>74</v>
      </c>
      <c r="G136" s="1" t="s">
        <v>12</v>
      </c>
      <c r="H136" s="1" t="s">
        <v>47</v>
      </c>
    </row>
    <row r="137" spans="1:8">
      <c r="A137" s="1" t="s">
        <v>459</v>
      </c>
      <c r="B137" s="1" t="s">
        <v>460</v>
      </c>
      <c r="C137" s="1">
        <v>33</v>
      </c>
      <c r="D137" s="1" t="s">
        <v>15</v>
      </c>
      <c r="E137" s="1" t="s">
        <v>461</v>
      </c>
      <c r="F137" s="1" t="s">
        <v>155</v>
      </c>
      <c r="G137" s="1" t="s">
        <v>12</v>
      </c>
      <c r="H137" s="1" t="s">
        <v>18</v>
      </c>
    </row>
    <row r="138" spans="1:8">
      <c r="A138" s="1" t="s">
        <v>462</v>
      </c>
      <c r="B138" s="1" t="s">
        <v>463</v>
      </c>
      <c r="C138" s="1">
        <v>29</v>
      </c>
      <c r="D138" s="1" t="s">
        <v>9</v>
      </c>
      <c r="E138" s="1" t="s">
        <v>464</v>
      </c>
      <c r="F138" s="1" t="s">
        <v>70</v>
      </c>
      <c r="G138" s="1" t="s">
        <v>12</v>
      </c>
      <c r="H138" s="1" t="s">
        <v>30</v>
      </c>
    </row>
    <row r="139" spans="1:8">
      <c r="A139" s="1" t="s">
        <v>465</v>
      </c>
      <c r="B139" s="1" t="s">
        <v>466</v>
      </c>
      <c r="C139" s="1">
        <v>55</v>
      </c>
      <c r="D139" s="1" t="s">
        <v>15</v>
      </c>
      <c r="E139" s="1" t="s">
        <v>467</v>
      </c>
      <c r="F139" s="1" t="s">
        <v>24</v>
      </c>
      <c r="G139" s="1" t="s">
        <v>12</v>
      </c>
      <c r="H139" s="1" t="s">
        <v>18</v>
      </c>
    </row>
    <row r="140" spans="1:8">
      <c r="A140" s="1" t="s">
        <v>468</v>
      </c>
      <c r="B140" s="1" t="s">
        <v>469</v>
      </c>
      <c r="C140" s="1">
        <v>43</v>
      </c>
      <c r="D140" s="1" t="s">
        <v>9</v>
      </c>
      <c r="E140" s="1" t="s">
        <v>390</v>
      </c>
      <c r="F140" s="1" t="s">
        <v>284</v>
      </c>
      <c r="G140" s="1" t="s">
        <v>12</v>
      </c>
      <c r="H140" s="1" t="s">
        <v>47</v>
      </c>
    </row>
    <row r="141" spans="1:8">
      <c r="A141" s="1" t="s">
        <v>470</v>
      </c>
      <c r="B141" s="1" t="s">
        <v>471</v>
      </c>
      <c r="C141" s="1">
        <v>32</v>
      </c>
      <c r="D141" s="1" t="s">
        <v>9</v>
      </c>
      <c r="E141" s="1" t="s">
        <v>472</v>
      </c>
      <c r="F141" s="1" t="s">
        <v>117</v>
      </c>
      <c r="G141" s="1" t="s">
        <v>12</v>
      </c>
      <c r="H141" s="1" t="s">
        <v>25</v>
      </c>
    </row>
    <row r="142" spans="1:8">
      <c r="A142" s="1" t="s">
        <v>473</v>
      </c>
      <c r="B142" s="1" t="s">
        <v>474</v>
      </c>
      <c r="C142" s="1">
        <v>63</v>
      </c>
      <c r="D142" s="1" t="s">
        <v>15</v>
      </c>
      <c r="E142" s="1" t="s">
        <v>475</v>
      </c>
      <c r="F142" s="1" t="s">
        <v>51</v>
      </c>
      <c r="G142" s="1" t="s">
        <v>12</v>
      </c>
      <c r="H142" s="1" t="s">
        <v>47</v>
      </c>
    </row>
    <row r="143" spans="1:8">
      <c r="A143" s="1" t="s">
        <v>476</v>
      </c>
      <c r="B143" s="1" t="s">
        <v>477</v>
      </c>
      <c r="C143" s="1">
        <v>30</v>
      </c>
      <c r="D143" s="1" t="s">
        <v>9</v>
      </c>
      <c r="E143" s="1" t="s">
        <v>478</v>
      </c>
      <c r="F143" s="1" t="s">
        <v>29</v>
      </c>
      <c r="G143" s="1" t="s">
        <v>446</v>
      </c>
      <c r="H143" s="1" t="s">
        <v>25</v>
      </c>
    </row>
    <row r="144" spans="1:8">
      <c r="A144" s="1" t="s">
        <v>479</v>
      </c>
      <c r="B144" s="1" t="s">
        <v>480</v>
      </c>
      <c r="C144" s="1">
        <v>37</v>
      </c>
      <c r="D144" s="1" t="s">
        <v>9</v>
      </c>
      <c r="E144" s="1" t="s">
        <v>481</v>
      </c>
      <c r="F144" s="1" t="s">
        <v>66</v>
      </c>
      <c r="G144" s="1" t="s">
        <v>12</v>
      </c>
      <c r="H144" s="1" t="s">
        <v>25</v>
      </c>
    </row>
    <row r="145" spans="1:8">
      <c r="A145" s="1" t="s">
        <v>482</v>
      </c>
      <c r="B145" s="1" t="s">
        <v>483</v>
      </c>
      <c r="C145" s="1">
        <v>46</v>
      </c>
      <c r="D145" s="1" t="s">
        <v>9</v>
      </c>
      <c r="E145" s="1" t="s">
        <v>484</v>
      </c>
      <c r="F145" s="1" t="s">
        <v>21</v>
      </c>
      <c r="G145" s="1" t="s">
        <v>12</v>
      </c>
      <c r="H145" s="1" t="s">
        <v>25</v>
      </c>
    </row>
    <row r="146" spans="1:8">
      <c r="A146" s="1" t="s">
        <v>485</v>
      </c>
      <c r="B146" s="1" t="s">
        <v>486</v>
      </c>
      <c r="C146" s="1">
        <v>62</v>
      </c>
      <c r="D146" s="1" t="s">
        <v>15</v>
      </c>
      <c r="E146" s="1" t="s">
        <v>487</v>
      </c>
      <c r="F146" s="1" t="s">
        <v>181</v>
      </c>
      <c r="G146" s="1" t="s">
        <v>12</v>
      </c>
      <c r="H146" s="1" t="s">
        <v>25</v>
      </c>
    </row>
    <row r="147" spans="1:8">
      <c r="A147" s="1" t="s">
        <v>488</v>
      </c>
      <c r="B147" s="1" t="s">
        <v>489</v>
      </c>
      <c r="C147" s="1">
        <v>46</v>
      </c>
      <c r="D147" s="1" t="s">
        <v>9</v>
      </c>
      <c r="E147" s="1" t="s">
        <v>490</v>
      </c>
      <c r="F147" s="1" t="s">
        <v>251</v>
      </c>
      <c r="G147" s="1" t="s">
        <v>12</v>
      </c>
      <c r="H147" s="1" t="s">
        <v>18</v>
      </c>
    </row>
    <row r="148" spans="1:8">
      <c r="A148" s="1" t="s">
        <v>491</v>
      </c>
      <c r="B148" s="1" t="s">
        <v>492</v>
      </c>
      <c r="C148" s="1">
        <v>32</v>
      </c>
      <c r="D148" s="1" t="s">
        <v>15</v>
      </c>
      <c r="E148" s="1" t="s">
        <v>493</v>
      </c>
      <c r="F148" s="1" t="s">
        <v>312</v>
      </c>
      <c r="G148" s="1" t="s">
        <v>12</v>
      </c>
      <c r="H148" s="1" t="s">
        <v>47</v>
      </c>
    </row>
    <row r="149" spans="1:8">
      <c r="A149" s="1" t="s">
        <v>494</v>
      </c>
      <c r="B149" s="1" t="s">
        <v>495</v>
      </c>
      <c r="C149" s="1">
        <v>49</v>
      </c>
      <c r="D149" s="1" t="s">
        <v>15</v>
      </c>
      <c r="E149" s="1" t="s">
        <v>496</v>
      </c>
      <c r="F149" s="1" t="s">
        <v>162</v>
      </c>
      <c r="G149" s="1" t="s">
        <v>12</v>
      </c>
      <c r="H149" s="1" t="s">
        <v>18</v>
      </c>
    </row>
    <row r="150" spans="1:8">
      <c r="A150" s="1" t="s">
        <v>497</v>
      </c>
      <c r="B150" s="1" t="s">
        <v>498</v>
      </c>
      <c r="C150" s="1">
        <v>42</v>
      </c>
      <c r="D150" s="1" t="s">
        <v>15</v>
      </c>
      <c r="E150" s="1" t="s">
        <v>499</v>
      </c>
      <c r="F150" s="1" t="s">
        <v>319</v>
      </c>
      <c r="G150" s="1" t="s">
        <v>12</v>
      </c>
      <c r="H150" s="1" t="s">
        <v>25</v>
      </c>
    </row>
    <row r="151" spans="1:8">
      <c r="A151" s="1" t="s">
        <v>500</v>
      </c>
      <c r="B151" s="1" t="s">
        <v>501</v>
      </c>
      <c r="C151" s="1">
        <v>33</v>
      </c>
      <c r="D151" s="1" t="s">
        <v>9</v>
      </c>
      <c r="E151" s="1" t="s">
        <v>502</v>
      </c>
      <c r="F151" s="1" t="s">
        <v>247</v>
      </c>
      <c r="G151" s="1" t="s">
        <v>12</v>
      </c>
      <c r="H151" s="1" t="s">
        <v>18</v>
      </c>
    </row>
    <row r="152" spans="1:8">
      <c r="A152" s="1" t="s">
        <v>503</v>
      </c>
      <c r="B152" s="1" t="s">
        <v>504</v>
      </c>
      <c r="C152" s="1">
        <v>24</v>
      </c>
      <c r="D152" s="1" t="s">
        <v>9</v>
      </c>
      <c r="E152" s="1" t="s">
        <v>505</v>
      </c>
      <c r="F152" s="1" t="s">
        <v>309</v>
      </c>
      <c r="G152" s="1" t="s">
        <v>12</v>
      </c>
      <c r="H152" s="1" t="s">
        <v>47</v>
      </c>
    </row>
    <row r="153" spans="1:8">
      <c r="A153" s="1" t="s">
        <v>506</v>
      </c>
      <c r="B153" s="1" t="s">
        <v>507</v>
      </c>
      <c r="C153" s="1">
        <v>25</v>
      </c>
      <c r="D153" s="1" t="s">
        <v>15</v>
      </c>
      <c r="E153" s="1" t="s">
        <v>508</v>
      </c>
      <c r="F153" s="1" t="s">
        <v>34</v>
      </c>
      <c r="G153" s="1" t="s">
        <v>12</v>
      </c>
      <c r="H153" s="1" t="s">
        <v>47</v>
      </c>
    </row>
    <row r="154" spans="1:8">
      <c r="A154" s="1" t="s">
        <v>509</v>
      </c>
      <c r="B154" s="1" t="s">
        <v>510</v>
      </c>
      <c r="C154" s="1">
        <v>41</v>
      </c>
      <c r="D154" s="1" t="s">
        <v>15</v>
      </c>
      <c r="E154" s="1" t="s">
        <v>511</v>
      </c>
      <c r="F154" s="1" t="s">
        <v>113</v>
      </c>
      <c r="G154" s="1" t="s">
        <v>12</v>
      </c>
      <c r="H154" s="1" t="s">
        <v>18</v>
      </c>
    </row>
    <row r="155" spans="1:8">
      <c r="A155" s="1" t="s">
        <v>512</v>
      </c>
      <c r="B155" s="1" t="s">
        <v>513</v>
      </c>
      <c r="C155" s="1">
        <v>31</v>
      </c>
      <c r="D155" s="1" t="s">
        <v>9</v>
      </c>
      <c r="E155" s="1" t="s">
        <v>514</v>
      </c>
      <c r="F155" s="1" t="s">
        <v>17</v>
      </c>
      <c r="G155" s="1" t="s">
        <v>12</v>
      </c>
      <c r="H155" s="1" t="s">
        <v>25</v>
      </c>
    </row>
    <row r="156" spans="1:8">
      <c r="A156" s="1" t="s">
        <v>515</v>
      </c>
      <c r="B156" s="1" t="s">
        <v>516</v>
      </c>
      <c r="C156" s="1">
        <v>35</v>
      </c>
      <c r="D156" s="1" t="s">
        <v>15</v>
      </c>
      <c r="E156" s="1" t="s">
        <v>517</v>
      </c>
      <c r="F156" s="1" t="s">
        <v>170</v>
      </c>
      <c r="G156" s="1" t="s">
        <v>12</v>
      </c>
      <c r="H156" s="1" t="s">
        <v>47</v>
      </c>
    </row>
    <row r="157" spans="1:8">
      <c r="A157" s="1" t="s">
        <v>518</v>
      </c>
      <c r="B157" s="1" t="s">
        <v>519</v>
      </c>
      <c r="C157" s="1">
        <v>60</v>
      </c>
      <c r="D157" s="1" t="s">
        <v>15</v>
      </c>
      <c r="E157" s="1" t="s">
        <v>520</v>
      </c>
      <c r="F157" s="1" t="s">
        <v>264</v>
      </c>
      <c r="G157" s="1" t="s">
        <v>12</v>
      </c>
      <c r="H157" s="1" t="s">
        <v>47</v>
      </c>
    </row>
    <row r="158" spans="1:8">
      <c r="A158" s="1" t="s">
        <v>521</v>
      </c>
      <c r="B158" s="1" t="s">
        <v>522</v>
      </c>
      <c r="C158" s="1">
        <v>46</v>
      </c>
      <c r="D158" s="1" t="s">
        <v>9</v>
      </c>
      <c r="E158" s="1" t="s">
        <v>523</v>
      </c>
      <c r="F158" s="1" t="s">
        <v>17</v>
      </c>
      <c r="G158" s="1" t="s">
        <v>12</v>
      </c>
      <c r="H158" s="1" t="s">
        <v>25</v>
      </c>
    </row>
    <row r="159" spans="1:8">
      <c r="A159" s="1" t="s">
        <v>524</v>
      </c>
      <c r="B159" s="1" t="s">
        <v>525</v>
      </c>
      <c r="C159" s="1">
        <v>59</v>
      </c>
      <c r="D159" s="1" t="s">
        <v>9</v>
      </c>
      <c r="E159" s="1" t="s">
        <v>526</v>
      </c>
      <c r="F159" s="1" t="s">
        <v>17</v>
      </c>
      <c r="G159" s="1" t="s">
        <v>12</v>
      </c>
      <c r="H159" s="1" t="s">
        <v>18</v>
      </c>
    </row>
    <row r="160" spans="1:8">
      <c r="A160" s="1" t="s">
        <v>527</v>
      </c>
      <c r="B160" s="1" t="s">
        <v>528</v>
      </c>
      <c r="C160" s="1">
        <v>43</v>
      </c>
      <c r="D160" s="1" t="s">
        <v>9</v>
      </c>
      <c r="E160" s="1" t="s">
        <v>529</v>
      </c>
      <c r="F160" s="1" t="s">
        <v>170</v>
      </c>
      <c r="G160" s="1" t="s">
        <v>12</v>
      </c>
      <c r="H160" s="1" t="s">
        <v>25</v>
      </c>
    </row>
    <row r="161" spans="1:8">
      <c r="A161" s="1" t="s">
        <v>530</v>
      </c>
      <c r="B161" s="1" t="s">
        <v>531</v>
      </c>
      <c r="C161" s="1">
        <v>46</v>
      </c>
      <c r="D161" s="1" t="s">
        <v>15</v>
      </c>
      <c r="E161" s="1" t="s">
        <v>532</v>
      </c>
      <c r="F161" s="1" t="s">
        <v>88</v>
      </c>
      <c r="G161" s="1" t="s">
        <v>12</v>
      </c>
      <c r="H161" s="1" t="s">
        <v>47</v>
      </c>
    </row>
    <row r="162" spans="1:8">
      <c r="A162" s="1" t="s">
        <v>533</v>
      </c>
      <c r="B162" s="1" t="s">
        <v>534</v>
      </c>
      <c r="C162" s="1">
        <v>41</v>
      </c>
      <c r="D162" s="1" t="s">
        <v>15</v>
      </c>
      <c r="E162" s="1" t="s">
        <v>535</v>
      </c>
      <c r="F162" s="1" t="s">
        <v>11</v>
      </c>
      <c r="G162" s="1" t="s">
        <v>12</v>
      </c>
      <c r="H162" s="1" t="s">
        <v>18</v>
      </c>
    </row>
    <row r="163" spans="1:8">
      <c r="A163" s="1" t="s">
        <v>536</v>
      </c>
      <c r="B163" s="1" t="s">
        <v>537</v>
      </c>
      <c r="C163" s="1">
        <v>18</v>
      </c>
      <c r="D163" s="1" t="s">
        <v>15</v>
      </c>
      <c r="E163" s="1" t="s">
        <v>538</v>
      </c>
      <c r="F163" s="1" t="s">
        <v>133</v>
      </c>
      <c r="G163" s="1" t="s">
        <v>12</v>
      </c>
      <c r="H163" s="1" t="s">
        <v>30</v>
      </c>
    </row>
    <row r="164" spans="1:8">
      <c r="A164" s="1" t="s">
        <v>539</v>
      </c>
      <c r="B164" s="1" t="s">
        <v>540</v>
      </c>
      <c r="C164" s="1">
        <v>37</v>
      </c>
      <c r="D164" s="1" t="s">
        <v>9</v>
      </c>
      <c r="E164" s="1" t="s">
        <v>541</v>
      </c>
      <c r="F164" s="1" t="s">
        <v>234</v>
      </c>
      <c r="G164" s="1" t="s">
        <v>446</v>
      </c>
      <c r="H164" s="1" t="s">
        <v>30</v>
      </c>
    </row>
    <row r="165" spans="1:8">
      <c r="A165" s="1" t="s">
        <v>542</v>
      </c>
      <c r="B165" s="1" t="s">
        <v>543</v>
      </c>
      <c r="C165" s="1">
        <v>21</v>
      </c>
      <c r="D165" s="1" t="s">
        <v>9</v>
      </c>
      <c r="E165" s="1" t="s">
        <v>544</v>
      </c>
      <c r="F165" s="1" t="s">
        <v>191</v>
      </c>
      <c r="G165" s="1" t="s">
        <v>12</v>
      </c>
      <c r="H165" s="1" t="s">
        <v>25</v>
      </c>
    </row>
    <row r="166" spans="1:8">
      <c r="A166" s="1" t="s">
        <v>545</v>
      </c>
      <c r="B166" s="1" t="s">
        <v>546</v>
      </c>
      <c r="C166" s="1">
        <v>39</v>
      </c>
      <c r="D166" s="1" t="s">
        <v>15</v>
      </c>
      <c r="E166" s="1" t="s">
        <v>547</v>
      </c>
      <c r="F166" s="1" t="s">
        <v>81</v>
      </c>
      <c r="G166" s="1" t="s">
        <v>12</v>
      </c>
      <c r="H166" s="1" t="s">
        <v>30</v>
      </c>
    </row>
    <row r="167" spans="1:8">
      <c r="A167" s="1" t="s">
        <v>548</v>
      </c>
      <c r="B167" s="1" t="s">
        <v>549</v>
      </c>
      <c r="C167" s="1">
        <v>47</v>
      </c>
      <c r="D167" s="1" t="s">
        <v>15</v>
      </c>
      <c r="E167" s="1" t="s">
        <v>550</v>
      </c>
      <c r="F167" s="1" t="s">
        <v>191</v>
      </c>
      <c r="G167" s="1" t="s">
        <v>12</v>
      </c>
      <c r="H167" s="1" t="s">
        <v>18</v>
      </c>
    </row>
    <row r="168" spans="1:8">
      <c r="A168" s="1" t="s">
        <v>551</v>
      </c>
      <c r="B168" s="1" t="s">
        <v>552</v>
      </c>
      <c r="C168" s="1">
        <v>25</v>
      </c>
      <c r="D168" s="1" t="s">
        <v>15</v>
      </c>
      <c r="E168" s="1" t="s">
        <v>553</v>
      </c>
      <c r="F168" s="1" t="s">
        <v>155</v>
      </c>
      <c r="G168" s="1" t="s">
        <v>12</v>
      </c>
      <c r="H168" s="1" t="s">
        <v>30</v>
      </c>
    </row>
    <row r="169" spans="1:8">
      <c r="A169" s="1" t="s">
        <v>554</v>
      </c>
      <c r="B169" s="1" t="s">
        <v>555</v>
      </c>
      <c r="C169" s="1">
        <v>36</v>
      </c>
      <c r="D169" s="1" t="s">
        <v>15</v>
      </c>
      <c r="E169" s="1" t="s">
        <v>556</v>
      </c>
      <c r="F169" s="1" t="s">
        <v>234</v>
      </c>
      <c r="G169" s="1" t="s">
        <v>12</v>
      </c>
      <c r="H169" s="1" t="s">
        <v>47</v>
      </c>
    </row>
    <row r="170" spans="1:8">
      <c r="A170" s="1" t="s">
        <v>557</v>
      </c>
      <c r="B170" s="1" t="s">
        <v>558</v>
      </c>
      <c r="C170" s="1">
        <v>36</v>
      </c>
      <c r="D170" s="1" t="s">
        <v>15</v>
      </c>
      <c r="E170" s="1" t="s">
        <v>559</v>
      </c>
      <c r="F170" s="1" t="s">
        <v>247</v>
      </c>
      <c r="G170" s="1" t="s">
        <v>12</v>
      </c>
      <c r="H170" s="1" t="s">
        <v>18</v>
      </c>
    </row>
    <row r="171" spans="1:8">
      <c r="A171" s="1" t="s">
        <v>560</v>
      </c>
      <c r="B171" s="1" t="s">
        <v>561</v>
      </c>
      <c r="C171" s="1">
        <v>64</v>
      </c>
      <c r="D171" s="1" t="s">
        <v>9</v>
      </c>
      <c r="E171" s="1" t="s">
        <v>562</v>
      </c>
      <c r="F171" s="1" t="s">
        <v>46</v>
      </c>
      <c r="G171" s="1" t="s">
        <v>12</v>
      </c>
      <c r="H171" s="1" t="s">
        <v>25</v>
      </c>
    </row>
    <row r="172" spans="1:8">
      <c r="A172" s="1" t="s">
        <v>563</v>
      </c>
      <c r="B172" s="1" t="s">
        <v>3948</v>
      </c>
      <c r="C172" s="1">
        <v>18</v>
      </c>
      <c r="D172" s="1" t="s">
        <v>9</v>
      </c>
      <c r="E172" s="1" t="s">
        <v>564</v>
      </c>
      <c r="F172" s="1" t="s">
        <v>113</v>
      </c>
      <c r="G172" s="1" t="s">
        <v>12</v>
      </c>
      <c r="H172" s="1" t="s">
        <v>47</v>
      </c>
    </row>
    <row r="173" spans="1:8">
      <c r="A173" s="1" t="s">
        <v>565</v>
      </c>
      <c r="B173" s="1" t="s">
        <v>566</v>
      </c>
      <c r="C173" s="1">
        <v>44</v>
      </c>
      <c r="D173" s="1" t="s">
        <v>15</v>
      </c>
      <c r="E173" s="1" t="s">
        <v>567</v>
      </c>
      <c r="F173" s="1" t="s">
        <v>251</v>
      </c>
      <c r="G173" s="1" t="s">
        <v>12</v>
      </c>
      <c r="H173" s="1" t="s">
        <v>18</v>
      </c>
    </row>
    <row r="174" spans="1:8">
      <c r="A174" s="1" t="s">
        <v>568</v>
      </c>
      <c r="B174" s="1" t="s">
        <v>569</v>
      </c>
      <c r="C174" s="1">
        <v>41</v>
      </c>
      <c r="D174" s="1" t="s">
        <v>15</v>
      </c>
      <c r="E174" s="1" t="s">
        <v>570</v>
      </c>
      <c r="F174" s="1" t="s">
        <v>42</v>
      </c>
      <c r="G174" s="1" t="s">
        <v>12</v>
      </c>
      <c r="H174" s="1" t="s">
        <v>25</v>
      </c>
    </row>
    <row r="175" spans="1:8">
      <c r="A175" s="1" t="s">
        <v>571</v>
      </c>
      <c r="B175" s="1" t="s">
        <v>572</v>
      </c>
      <c r="C175" s="1">
        <v>41</v>
      </c>
      <c r="D175" s="1" t="s">
        <v>15</v>
      </c>
      <c r="E175" s="1" t="s">
        <v>393</v>
      </c>
      <c r="F175" s="1" t="s">
        <v>264</v>
      </c>
      <c r="G175" s="1" t="s">
        <v>573</v>
      </c>
      <c r="H175" s="1" t="s">
        <v>18</v>
      </c>
    </row>
    <row r="176" spans="1:8">
      <c r="A176" s="1" t="s">
        <v>574</v>
      </c>
      <c r="B176" s="1" t="s">
        <v>575</v>
      </c>
      <c r="C176" s="1">
        <v>26</v>
      </c>
      <c r="D176" s="1" t="s">
        <v>15</v>
      </c>
      <c r="E176" s="1" t="s">
        <v>576</v>
      </c>
      <c r="F176" s="1" t="s">
        <v>170</v>
      </c>
      <c r="G176" s="1" t="s">
        <v>12</v>
      </c>
      <c r="H176" s="1" t="s">
        <v>47</v>
      </c>
    </row>
    <row r="177" spans="1:8">
      <c r="A177" s="1" t="s">
        <v>577</v>
      </c>
      <c r="B177" s="1" t="s">
        <v>578</v>
      </c>
      <c r="C177" s="1">
        <v>56</v>
      </c>
      <c r="D177" s="1" t="s">
        <v>9</v>
      </c>
      <c r="E177" s="1" t="s">
        <v>579</v>
      </c>
      <c r="F177" s="1" t="s">
        <v>99</v>
      </c>
      <c r="G177" s="1" t="s">
        <v>12</v>
      </c>
      <c r="H177" s="1" t="s">
        <v>18</v>
      </c>
    </row>
    <row r="178" spans="1:8">
      <c r="A178" s="1" t="s">
        <v>580</v>
      </c>
      <c r="B178" s="1" t="s">
        <v>581</v>
      </c>
      <c r="C178" s="1">
        <v>48</v>
      </c>
      <c r="D178" s="1" t="s">
        <v>9</v>
      </c>
      <c r="E178" s="1" t="s">
        <v>582</v>
      </c>
      <c r="F178" s="1" t="s">
        <v>170</v>
      </c>
      <c r="G178" s="1" t="s">
        <v>12</v>
      </c>
      <c r="H178" s="1" t="s">
        <v>30</v>
      </c>
    </row>
    <row r="179" spans="1:8">
      <c r="A179" s="1" t="s">
        <v>583</v>
      </c>
      <c r="B179" s="1" t="s">
        <v>584</v>
      </c>
      <c r="C179" s="1">
        <v>55</v>
      </c>
      <c r="D179" s="1" t="s">
        <v>9</v>
      </c>
      <c r="E179" s="1" t="s">
        <v>585</v>
      </c>
      <c r="F179" s="1" t="s">
        <v>586</v>
      </c>
      <c r="G179" s="1" t="s">
        <v>12</v>
      </c>
      <c r="H179" s="1" t="s">
        <v>18</v>
      </c>
    </row>
    <row r="180" spans="1:8">
      <c r="A180" s="1" t="s">
        <v>587</v>
      </c>
      <c r="B180" s="1" t="s">
        <v>588</v>
      </c>
      <c r="C180" s="1">
        <v>33</v>
      </c>
      <c r="D180" s="1" t="s">
        <v>15</v>
      </c>
      <c r="E180" s="1" t="s">
        <v>589</v>
      </c>
      <c r="F180" s="1" t="s">
        <v>312</v>
      </c>
      <c r="G180" s="1" t="s">
        <v>12</v>
      </c>
      <c r="H180" s="1" t="s">
        <v>25</v>
      </c>
    </row>
    <row r="181" spans="1:8">
      <c r="A181" s="1" t="s">
        <v>590</v>
      </c>
      <c r="B181" s="1" t="s">
        <v>591</v>
      </c>
      <c r="C181" s="1">
        <v>43</v>
      </c>
      <c r="D181" s="1" t="s">
        <v>15</v>
      </c>
      <c r="E181" s="1" t="s">
        <v>592</v>
      </c>
      <c r="F181" s="1" t="s">
        <v>117</v>
      </c>
      <c r="G181" s="1" t="s">
        <v>12</v>
      </c>
      <c r="H181" s="1" t="s">
        <v>30</v>
      </c>
    </row>
    <row r="182" spans="1:8">
      <c r="A182" s="1" t="s">
        <v>593</v>
      </c>
      <c r="B182" s="1" t="s">
        <v>594</v>
      </c>
      <c r="C182" s="1">
        <v>38</v>
      </c>
      <c r="D182" s="1" t="s">
        <v>9</v>
      </c>
      <c r="E182" s="1" t="s">
        <v>595</v>
      </c>
      <c r="F182" s="1" t="s">
        <v>430</v>
      </c>
      <c r="G182" s="1" t="s">
        <v>12</v>
      </c>
      <c r="H182" s="1" t="s">
        <v>25</v>
      </c>
    </row>
    <row r="183" spans="1:8">
      <c r="A183" s="1" t="s">
        <v>596</v>
      </c>
      <c r="B183" s="1" t="s">
        <v>597</v>
      </c>
      <c r="C183" s="1">
        <v>60</v>
      </c>
      <c r="D183" s="1" t="s">
        <v>9</v>
      </c>
      <c r="E183" s="1" t="s">
        <v>598</v>
      </c>
      <c r="F183" s="1" t="s">
        <v>58</v>
      </c>
      <c r="G183" s="1" t="s">
        <v>12</v>
      </c>
      <c r="H183" s="1" t="s">
        <v>25</v>
      </c>
    </row>
    <row r="184" spans="1:8">
      <c r="A184" s="1" t="s">
        <v>599</v>
      </c>
      <c r="B184" s="1" t="s">
        <v>600</v>
      </c>
      <c r="C184" s="1">
        <v>23</v>
      </c>
      <c r="D184" s="1" t="s">
        <v>15</v>
      </c>
      <c r="E184" s="1" t="s">
        <v>601</v>
      </c>
      <c r="F184" s="1" t="s">
        <v>96</v>
      </c>
      <c r="G184" s="1" t="s">
        <v>12</v>
      </c>
      <c r="H184" s="1" t="s">
        <v>30</v>
      </c>
    </row>
    <row r="185" spans="1:8">
      <c r="A185" s="1" t="s">
        <v>602</v>
      </c>
      <c r="B185" s="1" t="s">
        <v>603</v>
      </c>
      <c r="C185" s="1">
        <v>18</v>
      </c>
      <c r="D185" s="1" t="s">
        <v>9</v>
      </c>
      <c r="E185" s="1" t="s">
        <v>604</v>
      </c>
      <c r="F185" s="1" t="s">
        <v>58</v>
      </c>
      <c r="G185" s="1" t="s">
        <v>12</v>
      </c>
      <c r="H185" s="1" t="s">
        <v>18</v>
      </c>
    </row>
    <row r="186" spans="1:8">
      <c r="A186" s="1" t="s">
        <v>605</v>
      </c>
      <c r="B186" s="1" t="s">
        <v>606</v>
      </c>
      <c r="C186" s="1">
        <v>46</v>
      </c>
      <c r="D186" s="1" t="s">
        <v>15</v>
      </c>
      <c r="E186" s="1" t="s">
        <v>607</v>
      </c>
      <c r="F186" s="1" t="s">
        <v>17</v>
      </c>
      <c r="G186" s="1" t="s">
        <v>12</v>
      </c>
      <c r="H186" s="1" t="s">
        <v>30</v>
      </c>
    </row>
    <row r="187" spans="1:8">
      <c r="A187" s="1" t="s">
        <v>608</v>
      </c>
      <c r="B187" s="1" t="s">
        <v>609</v>
      </c>
      <c r="C187" s="1">
        <v>54</v>
      </c>
      <c r="D187" s="1" t="s">
        <v>15</v>
      </c>
      <c r="E187" s="1" t="s">
        <v>610</v>
      </c>
      <c r="F187" s="1" t="s">
        <v>88</v>
      </c>
      <c r="G187" s="1" t="s">
        <v>12</v>
      </c>
      <c r="H187" s="1" t="s">
        <v>18</v>
      </c>
    </row>
    <row r="188" spans="1:8">
      <c r="A188" s="1" t="s">
        <v>611</v>
      </c>
      <c r="B188" s="1" t="s">
        <v>612</v>
      </c>
      <c r="C188" s="1">
        <v>53</v>
      </c>
      <c r="D188" s="1" t="s">
        <v>9</v>
      </c>
      <c r="E188" s="1" t="s">
        <v>613</v>
      </c>
      <c r="F188" s="1" t="s">
        <v>113</v>
      </c>
      <c r="G188" s="1" t="s">
        <v>12</v>
      </c>
      <c r="H188" s="1" t="s">
        <v>30</v>
      </c>
    </row>
    <row r="189" spans="1:8">
      <c r="A189" s="1" t="s">
        <v>614</v>
      </c>
      <c r="B189" s="1" t="s">
        <v>615</v>
      </c>
      <c r="C189" s="1">
        <v>60</v>
      </c>
      <c r="D189" s="1" t="s">
        <v>15</v>
      </c>
      <c r="E189" s="1" t="s">
        <v>616</v>
      </c>
      <c r="F189" s="1" t="s">
        <v>21</v>
      </c>
      <c r="G189" s="1" t="s">
        <v>12</v>
      </c>
      <c r="H189" s="1" t="s">
        <v>18</v>
      </c>
    </row>
    <row r="190" spans="1:8">
      <c r="A190" s="1" t="s">
        <v>617</v>
      </c>
      <c r="B190" s="1" t="s">
        <v>618</v>
      </c>
      <c r="C190" s="1">
        <v>42</v>
      </c>
      <c r="D190" s="1" t="s">
        <v>9</v>
      </c>
      <c r="E190" s="1" t="s">
        <v>619</v>
      </c>
      <c r="F190" s="1" t="s">
        <v>230</v>
      </c>
      <c r="G190" s="1" t="s">
        <v>12</v>
      </c>
      <c r="H190" s="1" t="s">
        <v>30</v>
      </c>
    </row>
    <row r="191" spans="1:8">
      <c r="A191" s="1" t="s">
        <v>620</v>
      </c>
      <c r="B191" s="1" t="s">
        <v>621</v>
      </c>
      <c r="C191" s="1">
        <v>29</v>
      </c>
      <c r="D191" s="1" t="s">
        <v>9</v>
      </c>
      <c r="E191" s="1" t="s">
        <v>622</v>
      </c>
      <c r="F191" s="1" t="s">
        <v>586</v>
      </c>
      <c r="G191" s="1" t="s">
        <v>12</v>
      </c>
      <c r="H191" s="1" t="s">
        <v>47</v>
      </c>
    </row>
    <row r="192" spans="1:8">
      <c r="A192" s="1" t="s">
        <v>623</v>
      </c>
      <c r="B192" s="1" t="s">
        <v>624</v>
      </c>
      <c r="C192" s="1">
        <v>21</v>
      </c>
      <c r="D192" s="1" t="s">
        <v>9</v>
      </c>
      <c r="E192" s="1" t="s">
        <v>625</v>
      </c>
      <c r="F192" s="1" t="s">
        <v>58</v>
      </c>
      <c r="G192" s="1" t="s">
        <v>12</v>
      </c>
      <c r="H192" s="1" t="s">
        <v>25</v>
      </c>
    </row>
    <row r="193" spans="1:8">
      <c r="A193" s="1" t="s">
        <v>626</v>
      </c>
      <c r="B193" s="1" t="s">
        <v>627</v>
      </c>
      <c r="C193" s="1">
        <v>29</v>
      </c>
      <c r="D193" s="1" t="s">
        <v>15</v>
      </c>
      <c r="E193" s="1" t="s">
        <v>628</v>
      </c>
      <c r="F193" s="1" t="s">
        <v>24</v>
      </c>
      <c r="G193" s="1" t="s">
        <v>12</v>
      </c>
      <c r="H193" s="1" t="s">
        <v>25</v>
      </c>
    </row>
    <row r="194" spans="1:8">
      <c r="A194" s="1" t="s">
        <v>629</v>
      </c>
      <c r="B194" s="1" t="s">
        <v>630</v>
      </c>
      <c r="C194" s="1">
        <v>26</v>
      </c>
      <c r="D194" s="1" t="s">
        <v>9</v>
      </c>
      <c r="E194" s="1" t="s">
        <v>631</v>
      </c>
      <c r="F194" s="1" t="s">
        <v>106</v>
      </c>
      <c r="G194" s="1" t="s">
        <v>12</v>
      </c>
      <c r="H194" s="1" t="s">
        <v>47</v>
      </c>
    </row>
    <row r="195" spans="1:8">
      <c r="A195" s="1" t="s">
        <v>632</v>
      </c>
      <c r="B195" s="1" t="s">
        <v>633</v>
      </c>
      <c r="C195" s="1">
        <v>38</v>
      </c>
      <c r="D195" s="1" t="s">
        <v>9</v>
      </c>
      <c r="E195" s="1" t="s">
        <v>634</v>
      </c>
      <c r="F195" s="1" t="s">
        <v>81</v>
      </c>
      <c r="G195" s="1" t="s">
        <v>12</v>
      </c>
      <c r="H195" s="1" t="s">
        <v>47</v>
      </c>
    </row>
    <row r="196" spans="1:8">
      <c r="A196" s="1" t="s">
        <v>635</v>
      </c>
      <c r="B196" s="1" t="s">
        <v>636</v>
      </c>
      <c r="C196" s="1">
        <v>46</v>
      </c>
      <c r="D196" s="1" t="s">
        <v>9</v>
      </c>
      <c r="E196" s="1" t="s">
        <v>637</v>
      </c>
      <c r="F196" s="1" t="s">
        <v>51</v>
      </c>
      <c r="G196" s="1" t="s">
        <v>12</v>
      </c>
      <c r="H196" s="1" t="s">
        <v>47</v>
      </c>
    </row>
    <row r="197" spans="1:8">
      <c r="A197" s="1" t="s">
        <v>638</v>
      </c>
      <c r="B197" s="1" t="s">
        <v>639</v>
      </c>
      <c r="C197" s="1">
        <v>60</v>
      </c>
      <c r="D197" s="1" t="s">
        <v>9</v>
      </c>
      <c r="E197" s="1" t="s">
        <v>640</v>
      </c>
      <c r="F197" s="1" t="s">
        <v>133</v>
      </c>
      <c r="G197" s="1" t="s">
        <v>12</v>
      </c>
      <c r="H197" s="1" t="s">
        <v>30</v>
      </c>
    </row>
    <row r="198" spans="1:8">
      <c r="A198" s="1" t="s">
        <v>641</v>
      </c>
      <c r="B198" s="1" t="s">
        <v>642</v>
      </c>
      <c r="C198" s="1">
        <v>18</v>
      </c>
      <c r="D198" s="1" t="s">
        <v>15</v>
      </c>
      <c r="E198" s="1" t="s">
        <v>643</v>
      </c>
      <c r="F198" s="1" t="s">
        <v>162</v>
      </c>
      <c r="G198" s="1" t="s">
        <v>12</v>
      </c>
      <c r="H198" s="1" t="s">
        <v>18</v>
      </c>
    </row>
    <row r="199" spans="1:8">
      <c r="A199" s="1" t="s">
        <v>644</v>
      </c>
      <c r="B199" s="1" t="s">
        <v>645</v>
      </c>
      <c r="C199" s="1">
        <v>45</v>
      </c>
      <c r="D199" s="1" t="s">
        <v>15</v>
      </c>
      <c r="E199" s="1" t="s">
        <v>204</v>
      </c>
      <c r="F199" s="1" t="s">
        <v>198</v>
      </c>
      <c r="G199" s="1" t="s">
        <v>12</v>
      </c>
      <c r="H199" s="1" t="s">
        <v>18</v>
      </c>
    </row>
    <row r="200" spans="1:8">
      <c r="A200" s="1" t="s">
        <v>646</v>
      </c>
      <c r="B200" s="1" t="s">
        <v>647</v>
      </c>
      <c r="C200" s="1">
        <v>54</v>
      </c>
      <c r="D200" s="1" t="s">
        <v>9</v>
      </c>
      <c r="E200" s="1" t="s">
        <v>648</v>
      </c>
      <c r="F200" s="1" t="s">
        <v>170</v>
      </c>
      <c r="G200" s="1" t="s">
        <v>12</v>
      </c>
      <c r="H200" s="1" t="s">
        <v>25</v>
      </c>
    </row>
    <row r="201" spans="1:8">
      <c r="A201" s="1" t="s">
        <v>649</v>
      </c>
      <c r="B201" s="1" t="s">
        <v>650</v>
      </c>
      <c r="C201" s="1">
        <v>46</v>
      </c>
      <c r="D201" s="1" t="s">
        <v>9</v>
      </c>
      <c r="E201" s="1" t="s">
        <v>651</v>
      </c>
      <c r="F201" s="1" t="s">
        <v>234</v>
      </c>
      <c r="G201" s="1" t="s">
        <v>12</v>
      </c>
      <c r="H201" s="1" t="s">
        <v>25</v>
      </c>
    </row>
    <row r="202" spans="1:8">
      <c r="A202" s="1" t="s">
        <v>652</v>
      </c>
      <c r="B202" s="1" t="s">
        <v>653</v>
      </c>
      <c r="C202" s="1">
        <v>30</v>
      </c>
      <c r="D202" s="1" t="s">
        <v>9</v>
      </c>
      <c r="E202" s="1" t="s">
        <v>654</v>
      </c>
      <c r="F202" s="1" t="s">
        <v>430</v>
      </c>
      <c r="G202" s="1" t="s">
        <v>12</v>
      </c>
      <c r="H202" s="1" t="s">
        <v>18</v>
      </c>
    </row>
    <row r="203" spans="1:8">
      <c r="A203" s="1" t="s">
        <v>655</v>
      </c>
      <c r="B203" s="1" t="s">
        <v>656</v>
      </c>
      <c r="C203" s="1">
        <v>25</v>
      </c>
      <c r="D203" s="1" t="s">
        <v>15</v>
      </c>
      <c r="E203" s="1" t="s">
        <v>657</v>
      </c>
      <c r="F203" s="1" t="s">
        <v>155</v>
      </c>
      <c r="G203" s="1" t="s">
        <v>12</v>
      </c>
      <c r="H203" s="1" t="s">
        <v>25</v>
      </c>
    </row>
    <row r="204" spans="1:8">
      <c r="A204" s="1" t="s">
        <v>658</v>
      </c>
      <c r="B204" s="1" t="s">
        <v>659</v>
      </c>
      <c r="C204" s="1">
        <v>37</v>
      </c>
      <c r="D204" s="1" t="s">
        <v>15</v>
      </c>
      <c r="E204" s="1" t="s">
        <v>660</v>
      </c>
      <c r="F204" s="1" t="s">
        <v>62</v>
      </c>
      <c r="G204" s="1" t="s">
        <v>12</v>
      </c>
      <c r="H204" s="1" t="s">
        <v>18</v>
      </c>
    </row>
    <row r="205" spans="1:8">
      <c r="A205" s="1" t="s">
        <v>661</v>
      </c>
      <c r="B205" s="1" t="s">
        <v>662</v>
      </c>
      <c r="C205" s="1">
        <v>47</v>
      </c>
      <c r="D205" s="1" t="s">
        <v>9</v>
      </c>
      <c r="E205" s="1" t="s">
        <v>663</v>
      </c>
      <c r="F205" s="1" t="s">
        <v>264</v>
      </c>
      <c r="G205" s="1" t="s">
        <v>12</v>
      </c>
      <c r="H205" s="1" t="s">
        <v>18</v>
      </c>
    </row>
    <row r="206" spans="1:8">
      <c r="A206" s="1" t="s">
        <v>664</v>
      </c>
      <c r="B206" s="1" t="s">
        <v>665</v>
      </c>
      <c r="C206" s="1">
        <v>52</v>
      </c>
      <c r="D206" s="1" t="s">
        <v>9</v>
      </c>
      <c r="E206" s="1" t="s">
        <v>666</v>
      </c>
      <c r="F206" s="1" t="s">
        <v>284</v>
      </c>
      <c r="G206" s="1" t="s">
        <v>12</v>
      </c>
      <c r="H206" s="1" t="s">
        <v>18</v>
      </c>
    </row>
    <row r="207" spans="1:8">
      <c r="A207" s="1" t="s">
        <v>667</v>
      </c>
      <c r="B207" s="1" t="s">
        <v>668</v>
      </c>
      <c r="C207" s="1">
        <v>44</v>
      </c>
      <c r="D207" s="1" t="s">
        <v>15</v>
      </c>
      <c r="E207" s="1" t="s">
        <v>669</v>
      </c>
      <c r="F207" s="1" t="s">
        <v>88</v>
      </c>
      <c r="G207" s="1" t="s">
        <v>12</v>
      </c>
      <c r="H207" s="1" t="s">
        <v>47</v>
      </c>
    </row>
    <row r="208" spans="1:8">
      <c r="A208" s="1" t="s">
        <v>670</v>
      </c>
      <c r="B208" s="1" t="s">
        <v>671</v>
      </c>
      <c r="C208" s="1">
        <v>26</v>
      </c>
      <c r="D208" s="1" t="s">
        <v>15</v>
      </c>
      <c r="E208" s="1" t="s">
        <v>672</v>
      </c>
      <c r="F208" s="1" t="s">
        <v>234</v>
      </c>
      <c r="G208" s="1" t="s">
        <v>12</v>
      </c>
      <c r="H208" s="1" t="s">
        <v>30</v>
      </c>
    </row>
    <row r="209" spans="1:8">
      <c r="A209" s="1" t="s">
        <v>673</v>
      </c>
      <c r="B209" s="1" t="s">
        <v>674</v>
      </c>
      <c r="C209" s="1">
        <v>28</v>
      </c>
      <c r="D209" s="1" t="s">
        <v>15</v>
      </c>
      <c r="E209" s="1" t="s">
        <v>675</v>
      </c>
      <c r="F209" s="1" t="s">
        <v>88</v>
      </c>
      <c r="G209" s="1" t="s">
        <v>12</v>
      </c>
      <c r="H209" s="1" t="s">
        <v>25</v>
      </c>
    </row>
    <row r="210" spans="1:8">
      <c r="A210" s="1" t="s">
        <v>676</v>
      </c>
      <c r="B210" s="1" t="s">
        <v>677</v>
      </c>
      <c r="C210" s="1">
        <v>54</v>
      </c>
      <c r="D210" s="1" t="s">
        <v>9</v>
      </c>
      <c r="E210" s="1" t="s">
        <v>678</v>
      </c>
      <c r="F210" s="1" t="s">
        <v>323</v>
      </c>
      <c r="G210" s="1" t="s">
        <v>12</v>
      </c>
      <c r="H210" s="1" t="s">
        <v>18</v>
      </c>
    </row>
    <row r="211" spans="1:8">
      <c r="A211" s="1" t="s">
        <v>679</v>
      </c>
      <c r="B211" s="1" t="s">
        <v>680</v>
      </c>
      <c r="C211" s="1">
        <v>50</v>
      </c>
      <c r="D211" s="1" t="s">
        <v>15</v>
      </c>
      <c r="E211" s="1" t="s">
        <v>681</v>
      </c>
      <c r="F211" s="1" t="s">
        <v>430</v>
      </c>
      <c r="G211" s="1" t="s">
        <v>12</v>
      </c>
      <c r="H211" s="1" t="s">
        <v>18</v>
      </c>
    </row>
    <row r="212" spans="1:8">
      <c r="A212" s="1" t="s">
        <v>682</v>
      </c>
      <c r="B212" s="1" t="s">
        <v>683</v>
      </c>
      <c r="C212" s="1">
        <v>48</v>
      </c>
      <c r="D212" s="1" t="s">
        <v>9</v>
      </c>
      <c r="E212" s="1" t="s">
        <v>684</v>
      </c>
      <c r="F212" s="1" t="s">
        <v>81</v>
      </c>
      <c r="G212" s="1" t="s">
        <v>12</v>
      </c>
      <c r="H212" s="1" t="s">
        <v>30</v>
      </c>
    </row>
    <row r="213" spans="1:8">
      <c r="A213" s="1" t="s">
        <v>685</v>
      </c>
      <c r="B213" s="1" t="s">
        <v>686</v>
      </c>
      <c r="C213" s="1">
        <v>20</v>
      </c>
      <c r="D213" s="1" t="s">
        <v>15</v>
      </c>
      <c r="E213" s="1" t="s">
        <v>687</v>
      </c>
      <c r="F213" s="1" t="s">
        <v>92</v>
      </c>
      <c r="G213" s="1" t="s">
        <v>12</v>
      </c>
      <c r="H213" s="1" t="s">
        <v>30</v>
      </c>
    </row>
    <row r="214" spans="1:8">
      <c r="A214" s="1" t="s">
        <v>688</v>
      </c>
      <c r="B214" s="1" t="s">
        <v>689</v>
      </c>
      <c r="C214" s="1">
        <v>63</v>
      </c>
      <c r="D214" s="1" t="s">
        <v>15</v>
      </c>
      <c r="E214" s="1" t="s">
        <v>690</v>
      </c>
      <c r="F214" s="1" t="s">
        <v>74</v>
      </c>
      <c r="G214" s="1" t="s">
        <v>12</v>
      </c>
      <c r="H214" s="1" t="s">
        <v>18</v>
      </c>
    </row>
    <row r="215" spans="1:8">
      <c r="A215" s="1" t="s">
        <v>691</v>
      </c>
      <c r="B215" s="1" t="s">
        <v>692</v>
      </c>
      <c r="C215" s="1">
        <v>42</v>
      </c>
      <c r="D215" s="1" t="s">
        <v>15</v>
      </c>
      <c r="E215" s="1" t="s">
        <v>693</v>
      </c>
      <c r="F215" s="1" t="s">
        <v>17</v>
      </c>
      <c r="G215" s="1" t="s">
        <v>12</v>
      </c>
      <c r="H215" s="1" t="s">
        <v>18</v>
      </c>
    </row>
    <row r="216" spans="1:8">
      <c r="A216" s="1" t="s">
        <v>694</v>
      </c>
      <c r="B216" s="1" t="s">
        <v>695</v>
      </c>
      <c r="C216" s="1">
        <v>61</v>
      </c>
      <c r="D216" s="1" t="s">
        <v>9</v>
      </c>
      <c r="E216" s="1" t="s">
        <v>696</v>
      </c>
      <c r="F216" s="1" t="s">
        <v>66</v>
      </c>
      <c r="G216" s="1" t="s">
        <v>12</v>
      </c>
      <c r="H216" s="1" t="s">
        <v>47</v>
      </c>
    </row>
    <row r="217" spans="1:8">
      <c r="A217" s="1" t="s">
        <v>697</v>
      </c>
      <c r="B217" s="1" t="s">
        <v>698</v>
      </c>
      <c r="C217" s="1">
        <v>50</v>
      </c>
      <c r="D217" s="1" t="s">
        <v>15</v>
      </c>
      <c r="E217" s="1" t="s">
        <v>699</v>
      </c>
      <c r="F217" s="1" t="s">
        <v>34</v>
      </c>
      <c r="G217" s="1" t="s">
        <v>12</v>
      </c>
      <c r="H217" s="1" t="s">
        <v>47</v>
      </c>
    </row>
    <row r="218" spans="1:8">
      <c r="A218" s="1" t="s">
        <v>700</v>
      </c>
      <c r="B218" s="1" t="s">
        <v>701</v>
      </c>
      <c r="C218" s="1">
        <v>44</v>
      </c>
      <c r="D218" s="1" t="s">
        <v>9</v>
      </c>
      <c r="E218" s="1" t="s">
        <v>702</v>
      </c>
      <c r="F218" s="1" t="s">
        <v>29</v>
      </c>
      <c r="G218" s="1" t="s">
        <v>12</v>
      </c>
      <c r="H218" s="1" t="s">
        <v>18</v>
      </c>
    </row>
    <row r="219" spans="1:8">
      <c r="A219" s="1" t="s">
        <v>703</v>
      </c>
      <c r="B219" s="1" t="s">
        <v>704</v>
      </c>
      <c r="C219" s="1">
        <v>42</v>
      </c>
      <c r="D219" s="1" t="s">
        <v>9</v>
      </c>
      <c r="E219" s="1" t="s">
        <v>705</v>
      </c>
      <c r="F219" s="1" t="s">
        <v>113</v>
      </c>
      <c r="G219" s="1" t="s">
        <v>12</v>
      </c>
      <c r="H219" s="1" t="s">
        <v>30</v>
      </c>
    </row>
    <row r="220" spans="1:8">
      <c r="A220" s="1" t="s">
        <v>706</v>
      </c>
      <c r="B220" s="1" t="s">
        <v>707</v>
      </c>
      <c r="C220" s="1">
        <v>46</v>
      </c>
      <c r="D220" s="1" t="s">
        <v>9</v>
      </c>
      <c r="E220" s="1" t="s">
        <v>708</v>
      </c>
      <c r="F220" s="1" t="s">
        <v>29</v>
      </c>
      <c r="G220" s="1" t="s">
        <v>12</v>
      </c>
      <c r="H220" s="1" t="s">
        <v>18</v>
      </c>
    </row>
    <row r="221" spans="1:8">
      <c r="A221" s="1" t="s">
        <v>709</v>
      </c>
      <c r="B221" s="1" t="s">
        <v>710</v>
      </c>
      <c r="C221" s="1">
        <v>47</v>
      </c>
      <c r="D221" s="1" t="s">
        <v>15</v>
      </c>
      <c r="E221" s="1" t="s">
        <v>711</v>
      </c>
      <c r="F221" s="1" t="s">
        <v>88</v>
      </c>
      <c r="G221" s="1" t="s">
        <v>12</v>
      </c>
      <c r="H221" s="1" t="s">
        <v>47</v>
      </c>
    </row>
    <row r="222" spans="1:8">
      <c r="A222" s="1" t="s">
        <v>712</v>
      </c>
      <c r="B222" s="1" t="s">
        <v>713</v>
      </c>
      <c r="C222" s="1">
        <v>50</v>
      </c>
      <c r="D222" s="1" t="s">
        <v>15</v>
      </c>
      <c r="E222" s="1" t="s">
        <v>714</v>
      </c>
      <c r="F222" s="1" t="s">
        <v>715</v>
      </c>
      <c r="G222" s="1" t="s">
        <v>573</v>
      </c>
      <c r="H222" s="1" t="s">
        <v>25</v>
      </c>
    </row>
    <row r="223" spans="1:8">
      <c r="A223" s="1" t="s">
        <v>716</v>
      </c>
      <c r="B223" s="1" t="s">
        <v>717</v>
      </c>
      <c r="C223" s="1">
        <v>38</v>
      </c>
      <c r="D223" s="1" t="s">
        <v>9</v>
      </c>
      <c r="E223" s="1" t="s">
        <v>718</v>
      </c>
      <c r="F223" s="1" t="s">
        <v>81</v>
      </c>
      <c r="G223" s="1" t="s">
        <v>12</v>
      </c>
      <c r="H223" s="1" t="s">
        <v>18</v>
      </c>
    </row>
    <row r="224" spans="1:8">
      <c r="A224" s="1" t="s">
        <v>719</v>
      </c>
      <c r="B224" s="1" t="s">
        <v>720</v>
      </c>
      <c r="C224" s="1">
        <v>35</v>
      </c>
      <c r="D224" s="1" t="s">
        <v>9</v>
      </c>
      <c r="E224" s="1" t="s">
        <v>721</v>
      </c>
      <c r="F224" s="1" t="s">
        <v>230</v>
      </c>
      <c r="G224" s="1" t="s">
        <v>12</v>
      </c>
      <c r="H224" s="1" t="s">
        <v>18</v>
      </c>
    </row>
    <row r="225" spans="1:8">
      <c r="A225" s="1" t="s">
        <v>722</v>
      </c>
      <c r="B225" s="1" t="s">
        <v>723</v>
      </c>
      <c r="C225" s="1">
        <v>50</v>
      </c>
      <c r="D225" s="1" t="s">
        <v>9</v>
      </c>
      <c r="E225" s="1" t="s">
        <v>724</v>
      </c>
      <c r="F225" s="1" t="s">
        <v>264</v>
      </c>
      <c r="G225" s="1" t="s">
        <v>12</v>
      </c>
      <c r="H225" s="1" t="s">
        <v>18</v>
      </c>
    </row>
    <row r="226" spans="1:8">
      <c r="A226" s="1" t="s">
        <v>725</v>
      </c>
      <c r="B226" s="1" t="s">
        <v>726</v>
      </c>
      <c r="C226" s="1">
        <v>29</v>
      </c>
      <c r="D226" s="1" t="s">
        <v>9</v>
      </c>
      <c r="E226" s="1" t="s">
        <v>727</v>
      </c>
      <c r="F226" s="1" t="s">
        <v>113</v>
      </c>
      <c r="G226" s="1" t="s">
        <v>12</v>
      </c>
      <c r="H226" s="1" t="s">
        <v>30</v>
      </c>
    </row>
    <row r="227" spans="1:8">
      <c r="A227" s="1" t="s">
        <v>728</v>
      </c>
      <c r="B227" s="1" t="s">
        <v>729</v>
      </c>
      <c r="C227" s="1">
        <v>46</v>
      </c>
      <c r="D227" s="1" t="s">
        <v>15</v>
      </c>
      <c r="E227" s="1" t="s">
        <v>730</v>
      </c>
      <c r="F227" s="1" t="s">
        <v>117</v>
      </c>
      <c r="G227" s="1" t="s">
        <v>12</v>
      </c>
      <c r="H227" s="1" t="s">
        <v>18</v>
      </c>
    </row>
    <row r="228" spans="1:8">
      <c r="A228" s="1" t="s">
        <v>731</v>
      </c>
      <c r="B228" s="1" t="s">
        <v>732</v>
      </c>
      <c r="C228" s="1">
        <v>54</v>
      </c>
      <c r="D228" s="1" t="s">
        <v>9</v>
      </c>
      <c r="E228" s="1" t="s">
        <v>213</v>
      </c>
      <c r="F228" s="1" t="s">
        <v>162</v>
      </c>
      <c r="G228" s="1" t="s">
        <v>12</v>
      </c>
      <c r="H228" s="1" t="s">
        <v>47</v>
      </c>
    </row>
    <row r="229" spans="1:8">
      <c r="A229" s="1" t="s">
        <v>733</v>
      </c>
      <c r="B229" s="1" t="s">
        <v>734</v>
      </c>
      <c r="C229" s="1">
        <v>63</v>
      </c>
      <c r="D229" s="1" t="s">
        <v>15</v>
      </c>
      <c r="E229" s="1" t="s">
        <v>735</v>
      </c>
      <c r="F229" s="1" t="s">
        <v>62</v>
      </c>
      <c r="G229" s="1" t="s">
        <v>12</v>
      </c>
      <c r="H229" s="1" t="s">
        <v>47</v>
      </c>
    </row>
    <row r="230" spans="1:8">
      <c r="A230" s="1" t="s">
        <v>736</v>
      </c>
      <c r="B230" s="1" t="s">
        <v>737</v>
      </c>
      <c r="C230" s="1">
        <v>52</v>
      </c>
      <c r="D230" s="1" t="s">
        <v>15</v>
      </c>
      <c r="E230" s="1" t="s">
        <v>390</v>
      </c>
      <c r="F230" s="1" t="s">
        <v>117</v>
      </c>
      <c r="G230" s="1" t="s">
        <v>12</v>
      </c>
      <c r="H230" s="1" t="s">
        <v>47</v>
      </c>
    </row>
    <row r="231" spans="1:8">
      <c r="A231" s="1" t="s">
        <v>738</v>
      </c>
      <c r="B231" s="1" t="s">
        <v>739</v>
      </c>
      <c r="C231" s="1">
        <v>32</v>
      </c>
      <c r="D231" s="1" t="s">
        <v>15</v>
      </c>
      <c r="E231" s="1" t="s">
        <v>740</v>
      </c>
      <c r="F231" s="1" t="s">
        <v>139</v>
      </c>
      <c r="G231" s="1" t="s">
        <v>12</v>
      </c>
      <c r="H231" s="1" t="s">
        <v>25</v>
      </c>
    </row>
    <row r="232" spans="1:8">
      <c r="A232" s="1" t="s">
        <v>741</v>
      </c>
      <c r="B232" s="1" t="s">
        <v>742</v>
      </c>
      <c r="C232" s="1">
        <v>29</v>
      </c>
      <c r="D232" s="1" t="s">
        <v>9</v>
      </c>
      <c r="E232" s="1" t="s">
        <v>743</v>
      </c>
      <c r="F232" s="1" t="s">
        <v>247</v>
      </c>
      <c r="G232" s="1" t="s">
        <v>12</v>
      </c>
      <c r="H232" s="1" t="s">
        <v>25</v>
      </c>
    </row>
    <row r="233" spans="1:8">
      <c r="A233" s="1" t="s">
        <v>744</v>
      </c>
      <c r="B233" s="1" t="s">
        <v>745</v>
      </c>
      <c r="C233" s="1">
        <v>22</v>
      </c>
      <c r="D233" s="1" t="s">
        <v>15</v>
      </c>
      <c r="E233" s="1" t="s">
        <v>746</v>
      </c>
      <c r="F233" s="1" t="s">
        <v>312</v>
      </c>
      <c r="G233" s="1" t="s">
        <v>12</v>
      </c>
      <c r="H233" s="1" t="s">
        <v>25</v>
      </c>
    </row>
    <row r="234" spans="1:8">
      <c r="A234" s="1" t="s">
        <v>747</v>
      </c>
      <c r="B234" s="1" t="s">
        <v>748</v>
      </c>
      <c r="C234" s="1">
        <v>27</v>
      </c>
      <c r="D234" s="1" t="s">
        <v>15</v>
      </c>
      <c r="E234" s="1" t="s">
        <v>749</v>
      </c>
      <c r="F234" s="1" t="s">
        <v>88</v>
      </c>
      <c r="G234" s="1" t="s">
        <v>12</v>
      </c>
      <c r="H234" s="1" t="s">
        <v>18</v>
      </c>
    </row>
    <row r="235" spans="1:8">
      <c r="A235" s="1" t="s">
        <v>750</v>
      </c>
      <c r="B235" s="1" t="s">
        <v>751</v>
      </c>
      <c r="C235" s="1">
        <v>59</v>
      </c>
      <c r="D235" s="1" t="s">
        <v>9</v>
      </c>
      <c r="E235" s="1" t="s">
        <v>752</v>
      </c>
      <c r="F235" s="1" t="s">
        <v>42</v>
      </c>
      <c r="G235" s="1" t="s">
        <v>12</v>
      </c>
      <c r="H235" s="1" t="s">
        <v>30</v>
      </c>
    </row>
    <row r="236" spans="1:8">
      <c r="A236" s="1" t="s">
        <v>753</v>
      </c>
      <c r="B236" s="1" t="s">
        <v>754</v>
      </c>
      <c r="C236" s="1">
        <v>43</v>
      </c>
      <c r="D236" s="1" t="s">
        <v>15</v>
      </c>
      <c r="E236" s="1" t="s">
        <v>755</v>
      </c>
      <c r="F236" s="1" t="s">
        <v>62</v>
      </c>
      <c r="G236" s="1" t="s">
        <v>12</v>
      </c>
      <c r="H236" s="1" t="s">
        <v>47</v>
      </c>
    </row>
    <row r="237" spans="1:8">
      <c r="A237" s="1" t="s">
        <v>756</v>
      </c>
      <c r="B237" s="1" t="s">
        <v>757</v>
      </c>
      <c r="C237" s="1">
        <v>28</v>
      </c>
      <c r="D237" s="1" t="s">
        <v>15</v>
      </c>
      <c r="E237" s="1" t="s">
        <v>758</v>
      </c>
      <c r="F237" s="1" t="s">
        <v>92</v>
      </c>
      <c r="G237" s="1" t="s">
        <v>12</v>
      </c>
      <c r="H237" s="1" t="s">
        <v>25</v>
      </c>
    </row>
    <row r="238" spans="1:8">
      <c r="A238" s="1" t="s">
        <v>759</v>
      </c>
      <c r="B238" s="1" t="s">
        <v>760</v>
      </c>
      <c r="C238" s="1">
        <v>42</v>
      </c>
      <c r="D238" s="1" t="s">
        <v>15</v>
      </c>
      <c r="E238" s="1" t="s">
        <v>761</v>
      </c>
      <c r="F238" s="1" t="s">
        <v>284</v>
      </c>
      <c r="G238" s="1" t="s">
        <v>12</v>
      </c>
      <c r="H238" s="1" t="s">
        <v>25</v>
      </c>
    </row>
    <row r="239" spans="1:8">
      <c r="A239" s="1" t="s">
        <v>762</v>
      </c>
      <c r="B239" s="1" t="s">
        <v>763</v>
      </c>
      <c r="C239" s="1">
        <v>41</v>
      </c>
      <c r="D239" s="1" t="s">
        <v>15</v>
      </c>
      <c r="E239" s="1" t="s">
        <v>764</v>
      </c>
      <c r="F239" s="1" t="s">
        <v>66</v>
      </c>
      <c r="G239" s="1" t="s">
        <v>12</v>
      </c>
      <c r="H239" s="1" t="s">
        <v>47</v>
      </c>
    </row>
    <row r="240" spans="1:8">
      <c r="A240" s="1" t="s">
        <v>765</v>
      </c>
      <c r="B240" s="1" t="s">
        <v>766</v>
      </c>
      <c r="C240" s="1">
        <v>40</v>
      </c>
      <c r="D240" s="1" t="s">
        <v>9</v>
      </c>
      <c r="E240" s="1" t="s">
        <v>767</v>
      </c>
      <c r="F240" s="1" t="s">
        <v>42</v>
      </c>
      <c r="G240" s="1" t="s">
        <v>12</v>
      </c>
      <c r="H240" s="1" t="s">
        <v>18</v>
      </c>
    </row>
    <row r="241" spans="1:8">
      <c r="A241" s="1" t="s">
        <v>768</v>
      </c>
      <c r="B241" s="1" t="s">
        <v>769</v>
      </c>
      <c r="C241" s="1">
        <v>58</v>
      </c>
      <c r="D241" s="1" t="s">
        <v>15</v>
      </c>
      <c r="E241" s="1" t="s">
        <v>770</v>
      </c>
      <c r="F241" s="1" t="s">
        <v>181</v>
      </c>
      <c r="G241" s="1" t="s">
        <v>12</v>
      </c>
      <c r="H241" s="1" t="s">
        <v>18</v>
      </c>
    </row>
    <row r="242" spans="1:8">
      <c r="A242" s="1" t="s">
        <v>771</v>
      </c>
      <c r="B242" s="1" t="s">
        <v>772</v>
      </c>
      <c r="C242" s="1">
        <v>59</v>
      </c>
      <c r="D242" s="1" t="s">
        <v>15</v>
      </c>
      <c r="E242" s="1" t="s">
        <v>773</v>
      </c>
      <c r="F242" s="1" t="s">
        <v>155</v>
      </c>
      <c r="G242" s="1" t="s">
        <v>12</v>
      </c>
      <c r="H242" s="1" t="s">
        <v>18</v>
      </c>
    </row>
    <row r="243" spans="1:8">
      <c r="A243" s="1" t="s">
        <v>774</v>
      </c>
      <c r="B243" s="1" t="s">
        <v>775</v>
      </c>
      <c r="C243" s="1">
        <v>31</v>
      </c>
      <c r="D243" s="1" t="s">
        <v>9</v>
      </c>
      <c r="E243" s="1" t="s">
        <v>776</v>
      </c>
      <c r="F243" s="1" t="s">
        <v>284</v>
      </c>
      <c r="G243" s="1" t="s">
        <v>12</v>
      </c>
      <c r="H243" s="1" t="s">
        <v>18</v>
      </c>
    </row>
    <row r="244" spans="1:8">
      <c r="A244" s="1" t="s">
        <v>777</v>
      </c>
      <c r="B244" s="1" t="s">
        <v>778</v>
      </c>
      <c r="C244" s="1">
        <v>58</v>
      </c>
      <c r="D244" s="1" t="s">
        <v>15</v>
      </c>
      <c r="E244" s="1" t="s">
        <v>779</v>
      </c>
      <c r="F244" s="1" t="s">
        <v>166</v>
      </c>
      <c r="G244" s="1" t="s">
        <v>12</v>
      </c>
      <c r="H244" s="1" t="s">
        <v>30</v>
      </c>
    </row>
    <row r="245" spans="1:8">
      <c r="A245" s="1" t="s">
        <v>780</v>
      </c>
      <c r="B245" s="1" t="s">
        <v>781</v>
      </c>
      <c r="C245" s="1">
        <v>56</v>
      </c>
      <c r="D245" s="1" t="s">
        <v>15</v>
      </c>
      <c r="E245" s="1" t="s">
        <v>782</v>
      </c>
      <c r="F245" s="1" t="s">
        <v>354</v>
      </c>
      <c r="G245" s="1" t="s">
        <v>12</v>
      </c>
      <c r="H245" s="1" t="s">
        <v>47</v>
      </c>
    </row>
    <row r="246" spans="1:8">
      <c r="A246" s="1" t="s">
        <v>783</v>
      </c>
      <c r="B246" s="1" t="s">
        <v>784</v>
      </c>
      <c r="C246" s="1">
        <v>19</v>
      </c>
      <c r="D246" s="1" t="s">
        <v>9</v>
      </c>
      <c r="E246" s="1" t="s">
        <v>785</v>
      </c>
      <c r="F246" s="1" t="s">
        <v>117</v>
      </c>
      <c r="G246" s="1" t="s">
        <v>12</v>
      </c>
      <c r="H246" s="1" t="s">
        <v>25</v>
      </c>
    </row>
    <row r="247" spans="1:8">
      <c r="A247" s="1" t="s">
        <v>786</v>
      </c>
      <c r="B247" s="1" t="s">
        <v>787</v>
      </c>
      <c r="C247" s="1">
        <v>57</v>
      </c>
      <c r="D247" s="1" t="s">
        <v>15</v>
      </c>
      <c r="E247" s="1" t="s">
        <v>788</v>
      </c>
      <c r="F247" s="1" t="s">
        <v>155</v>
      </c>
      <c r="G247" s="1" t="s">
        <v>12</v>
      </c>
      <c r="H247" s="1" t="s">
        <v>18</v>
      </c>
    </row>
    <row r="248" spans="1:8">
      <c r="A248" s="1" t="s">
        <v>789</v>
      </c>
      <c r="B248" s="1" t="s">
        <v>790</v>
      </c>
      <c r="C248" s="1">
        <v>58</v>
      </c>
      <c r="D248" s="1" t="s">
        <v>9</v>
      </c>
      <c r="E248" s="1" t="s">
        <v>791</v>
      </c>
      <c r="F248" s="1" t="s">
        <v>288</v>
      </c>
      <c r="G248" s="1" t="s">
        <v>12</v>
      </c>
      <c r="H248" s="1" t="s">
        <v>25</v>
      </c>
    </row>
    <row r="249" spans="1:8">
      <c r="A249" s="1" t="s">
        <v>792</v>
      </c>
      <c r="B249" s="1" t="s">
        <v>793</v>
      </c>
      <c r="C249" s="1">
        <v>32</v>
      </c>
      <c r="D249" s="1" t="s">
        <v>9</v>
      </c>
      <c r="E249" s="1" t="s">
        <v>794</v>
      </c>
      <c r="F249" s="1" t="s">
        <v>46</v>
      </c>
      <c r="G249" s="1" t="s">
        <v>12</v>
      </c>
      <c r="H249" s="1" t="s">
        <v>18</v>
      </c>
    </row>
    <row r="250" spans="1:8">
      <c r="A250" s="1" t="s">
        <v>795</v>
      </c>
      <c r="B250" s="1" t="s">
        <v>796</v>
      </c>
      <c r="C250" s="1">
        <v>19</v>
      </c>
      <c r="D250" s="1" t="s">
        <v>9</v>
      </c>
      <c r="E250" s="1" t="s">
        <v>797</v>
      </c>
      <c r="F250" s="1" t="s">
        <v>181</v>
      </c>
      <c r="G250" s="1" t="s">
        <v>12</v>
      </c>
      <c r="H250" s="1" t="s">
        <v>47</v>
      </c>
    </row>
    <row r="251" spans="1:8">
      <c r="A251" s="1" t="s">
        <v>798</v>
      </c>
      <c r="B251" s="1" t="s">
        <v>799</v>
      </c>
      <c r="C251" s="1">
        <v>41</v>
      </c>
      <c r="D251" s="1" t="s">
        <v>15</v>
      </c>
      <c r="E251" s="1" t="s">
        <v>800</v>
      </c>
      <c r="F251" s="1" t="s">
        <v>58</v>
      </c>
      <c r="G251" s="1" t="s">
        <v>12</v>
      </c>
      <c r="H251" s="1" t="s">
        <v>47</v>
      </c>
    </row>
    <row r="252" spans="1:8">
      <c r="A252" s="1" t="s">
        <v>801</v>
      </c>
      <c r="B252" s="1" t="s">
        <v>802</v>
      </c>
      <c r="C252" s="1">
        <v>48</v>
      </c>
      <c r="D252" s="1" t="s">
        <v>9</v>
      </c>
      <c r="E252" s="1" t="s">
        <v>803</v>
      </c>
      <c r="F252" s="1" t="s">
        <v>92</v>
      </c>
      <c r="G252" s="1" t="s">
        <v>12</v>
      </c>
      <c r="H252" s="1" t="s">
        <v>18</v>
      </c>
    </row>
    <row r="253" spans="1:8">
      <c r="A253" s="1" t="s">
        <v>804</v>
      </c>
      <c r="B253" s="1" t="s">
        <v>805</v>
      </c>
      <c r="C253" s="1">
        <v>64</v>
      </c>
      <c r="D253" s="1" t="s">
        <v>9</v>
      </c>
      <c r="E253" s="1" t="s">
        <v>806</v>
      </c>
      <c r="F253" s="1" t="s">
        <v>21</v>
      </c>
      <c r="G253" s="1" t="s">
        <v>12</v>
      </c>
      <c r="H253" s="1" t="s">
        <v>30</v>
      </c>
    </row>
    <row r="254" spans="1:8">
      <c r="A254" s="1" t="s">
        <v>807</v>
      </c>
      <c r="B254" s="1" t="s">
        <v>808</v>
      </c>
      <c r="C254" s="1">
        <v>26</v>
      </c>
      <c r="D254" s="1" t="s">
        <v>9</v>
      </c>
      <c r="E254" s="1" t="s">
        <v>809</v>
      </c>
      <c r="F254" s="1" t="s">
        <v>38</v>
      </c>
      <c r="G254" s="1" t="s">
        <v>12</v>
      </c>
      <c r="H254" s="1" t="s">
        <v>30</v>
      </c>
    </row>
    <row r="255" spans="1:8">
      <c r="A255" s="1" t="s">
        <v>810</v>
      </c>
      <c r="B255" s="1" t="s">
        <v>3949</v>
      </c>
      <c r="C255" s="1">
        <v>32</v>
      </c>
      <c r="D255" s="1" t="s">
        <v>9</v>
      </c>
      <c r="E255" s="1" t="s">
        <v>811</v>
      </c>
      <c r="F255" s="1" t="s">
        <v>319</v>
      </c>
      <c r="G255" s="1" t="s">
        <v>12</v>
      </c>
      <c r="H255" s="1" t="s">
        <v>25</v>
      </c>
    </row>
    <row r="256" spans="1:8">
      <c r="A256" s="1" t="s">
        <v>812</v>
      </c>
      <c r="B256" s="1" t="s">
        <v>813</v>
      </c>
      <c r="C256" s="1">
        <v>34</v>
      </c>
      <c r="D256" s="1" t="s">
        <v>9</v>
      </c>
      <c r="E256" s="1" t="s">
        <v>814</v>
      </c>
      <c r="F256" s="1" t="s">
        <v>162</v>
      </c>
      <c r="G256" s="1" t="s">
        <v>12</v>
      </c>
      <c r="H256" s="1" t="s">
        <v>30</v>
      </c>
    </row>
    <row r="257" spans="1:8">
      <c r="A257" s="1" t="s">
        <v>815</v>
      </c>
      <c r="B257" s="1" t="s">
        <v>816</v>
      </c>
      <c r="C257" s="1">
        <v>21</v>
      </c>
      <c r="D257" s="1" t="s">
        <v>9</v>
      </c>
      <c r="E257" s="1" t="s">
        <v>817</v>
      </c>
      <c r="F257" s="1" t="s">
        <v>24</v>
      </c>
      <c r="G257" s="1" t="s">
        <v>12</v>
      </c>
      <c r="H257" s="1" t="s">
        <v>47</v>
      </c>
    </row>
    <row r="258" spans="1:8">
      <c r="A258" s="1" t="s">
        <v>818</v>
      </c>
      <c r="B258" s="1" t="s">
        <v>819</v>
      </c>
      <c r="C258" s="1">
        <v>57</v>
      </c>
      <c r="D258" s="1" t="s">
        <v>9</v>
      </c>
      <c r="E258" s="1" t="s">
        <v>820</v>
      </c>
      <c r="F258" s="1" t="s">
        <v>288</v>
      </c>
      <c r="G258" s="1" t="s">
        <v>12</v>
      </c>
      <c r="H258" s="1" t="s">
        <v>18</v>
      </c>
    </row>
    <row r="259" spans="1:8">
      <c r="A259" s="1" t="s">
        <v>821</v>
      </c>
      <c r="B259" s="1" t="s">
        <v>822</v>
      </c>
      <c r="C259" s="1">
        <v>42</v>
      </c>
      <c r="D259" s="1" t="s">
        <v>9</v>
      </c>
      <c r="E259" s="1" t="s">
        <v>823</v>
      </c>
      <c r="F259" s="1" t="s">
        <v>715</v>
      </c>
      <c r="G259" s="1" t="s">
        <v>12</v>
      </c>
      <c r="H259" s="1" t="s">
        <v>30</v>
      </c>
    </row>
    <row r="260" spans="1:8">
      <c r="A260" s="1" t="s">
        <v>824</v>
      </c>
      <c r="B260" s="1" t="s">
        <v>825</v>
      </c>
      <c r="C260" s="1">
        <v>24</v>
      </c>
      <c r="D260" s="1" t="s">
        <v>15</v>
      </c>
      <c r="E260" s="1" t="s">
        <v>826</v>
      </c>
      <c r="F260" s="1" t="s">
        <v>354</v>
      </c>
      <c r="G260" s="1" t="s">
        <v>12</v>
      </c>
      <c r="H260" s="1" t="s">
        <v>18</v>
      </c>
    </row>
    <row r="261" spans="1:8">
      <c r="A261" s="1" t="s">
        <v>827</v>
      </c>
      <c r="B261" s="1" t="s">
        <v>828</v>
      </c>
      <c r="C261" s="1">
        <v>32</v>
      </c>
      <c r="D261" s="1" t="s">
        <v>15</v>
      </c>
      <c r="E261" s="1" t="s">
        <v>829</v>
      </c>
      <c r="F261" s="1" t="s">
        <v>96</v>
      </c>
      <c r="G261" s="1" t="s">
        <v>12</v>
      </c>
      <c r="H261" s="1" t="s">
        <v>30</v>
      </c>
    </row>
    <row r="262" spans="1:8">
      <c r="A262" s="1" t="s">
        <v>830</v>
      </c>
      <c r="B262" s="1" t="s">
        <v>831</v>
      </c>
      <c r="C262" s="1">
        <v>63</v>
      </c>
      <c r="D262" s="1" t="s">
        <v>15</v>
      </c>
      <c r="E262" s="1" t="s">
        <v>832</v>
      </c>
      <c r="F262" s="1" t="s">
        <v>133</v>
      </c>
      <c r="G262" s="1" t="s">
        <v>12</v>
      </c>
      <c r="H262" s="1" t="s">
        <v>18</v>
      </c>
    </row>
    <row r="263" spans="1:8">
      <c r="A263" s="1" t="s">
        <v>833</v>
      </c>
      <c r="B263" s="1" t="s">
        <v>834</v>
      </c>
      <c r="C263" s="1">
        <v>27</v>
      </c>
      <c r="D263" s="1" t="s">
        <v>15</v>
      </c>
      <c r="E263" s="1" t="s">
        <v>835</v>
      </c>
      <c r="F263" s="1" t="s">
        <v>34</v>
      </c>
      <c r="G263" s="1" t="s">
        <v>12</v>
      </c>
      <c r="H263" s="1" t="s">
        <v>30</v>
      </c>
    </row>
    <row r="264" spans="1:8">
      <c r="A264" s="1" t="s">
        <v>836</v>
      </c>
      <c r="B264" s="1" t="s">
        <v>837</v>
      </c>
      <c r="C264" s="1">
        <v>60</v>
      </c>
      <c r="D264" s="1" t="s">
        <v>15</v>
      </c>
      <c r="E264" s="1" t="s">
        <v>838</v>
      </c>
      <c r="F264" s="1" t="s">
        <v>66</v>
      </c>
      <c r="G264" s="1" t="s">
        <v>12</v>
      </c>
      <c r="H264" s="1" t="s">
        <v>30</v>
      </c>
    </row>
    <row r="265" spans="1:8">
      <c r="A265" s="1" t="s">
        <v>839</v>
      </c>
      <c r="B265" s="1" t="s">
        <v>840</v>
      </c>
      <c r="C265" s="1">
        <v>50</v>
      </c>
      <c r="D265" s="1" t="s">
        <v>9</v>
      </c>
      <c r="E265" s="1" t="s">
        <v>841</v>
      </c>
      <c r="F265" s="1" t="s">
        <v>323</v>
      </c>
      <c r="G265" s="1" t="s">
        <v>12</v>
      </c>
      <c r="H265" s="1" t="s">
        <v>25</v>
      </c>
    </row>
    <row r="266" spans="1:8">
      <c r="A266" s="1" t="s">
        <v>842</v>
      </c>
      <c r="B266" s="1" t="s">
        <v>843</v>
      </c>
      <c r="C266" s="1">
        <v>25</v>
      </c>
      <c r="D266" s="1" t="s">
        <v>9</v>
      </c>
      <c r="E266" s="1" t="s">
        <v>844</v>
      </c>
      <c r="F266" s="1" t="s">
        <v>845</v>
      </c>
      <c r="G266" s="1" t="s">
        <v>12</v>
      </c>
      <c r="H266" s="1" t="s">
        <v>47</v>
      </c>
    </row>
    <row r="267" spans="1:8">
      <c r="A267" s="1" t="s">
        <v>846</v>
      </c>
      <c r="B267" s="1" t="s">
        <v>847</v>
      </c>
      <c r="C267" s="1">
        <v>38</v>
      </c>
      <c r="D267" s="1" t="s">
        <v>9</v>
      </c>
      <c r="E267" s="1" t="s">
        <v>848</v>
      </c>
      <c r="F267" s="1" t="s">
        <v>234</v>
      </c>
      <c r="G267" s="1" t="s">
        <v>12</v>
      </c>
      <c r="H267" s="1" t="s">
        <v>30</v>
      </c>
    </row>
    <row r="268" spans="1:8">
      <c r="A268" s="1" t="s">
        <v>849</v>
      </c>
      <c r="B268" s="1" t="s">
        <v>850</v>
      </c>
      <c r="C268" s="1">
        <v>32</v>
      </c>
      <c r="D268" s="1" t="s">
        <v>15</v>
      </c>
      <c r="E268" s="1" t="s">
        <v>851</v>
      </c>
      <c r="F268" s="1" t="s">
        <v>586</v>
      </c>
      <c r="G268" s="1" t="s">
        <v>12</v>
      </c>
      <c r="H268" s="1" t="s">
        <v>25</v>
      </c>
    </row>
    <row r="269" spans="1:8">
      <c r="A269" s="1" t="s">
        <v>852</v>
      </c>
      <c r="B269" s="1" t="s">
        <v>853</v>
      </c>
      <c r="C269" s="1">
        <v>18</v>
      </c>
      <c r="D269" s="1" t="s">
        <v>9</v>
      </c>
      <c r="E269" s="1" t="s">
        <v>782</v>
      </c>
      <c r="F269" s="1" t="s">
        <v>66</v>
      </c>
      <c r="G269" s="1" t="s">
        <v>12</v>
      </c>
      <c r="H269" s="1" t="s">
        <v>25</v>
      </c>
    </row>
    <row r="270" spans="1:8">
      <c r="A270" s="1" t="s">
        <v>854</v>
      </c>
      <c r="B270" s="1" t="s">
        <v>855</v>
      </c>
      <c r="C270" s="1">
        <v>53</v>
      </c>
      <c r="D270" s="1" t="s">
        <v>15</v>
      </c>
      <c r="E270" s="1" t="s">
        <v>856</v>
      </c>
      <c r="F270" s="1" t="s">
        <v>198</v>
      </c>
      <c r="G270" s="1" t="s">
        <v>12</v>
      </c>
      <c r="H270" s="1" t="s">
        <v>25</v>
      </c>
    </row>
    <row r="271" spans="1:8">
      <c r="A271" s="1" t="s">
        <v>857</v>
      </c>
      <c r="B271" s="1" t="s">
        <v>858</v>
      </c>
      <c r="C271" s="1">
        <v>45</v>
      </c>
      <c r="D271" s="1" t="s">
        <v>15</v>
      </c>
      <c r="E271" s="1" t="s">
        <v>859</v>
      </c>
      <c r="F271" s="1" t="s">
        <v>29</v>
      </c>
      <c r="G271" s="1" t="s">
        <v>12</v>
      </c>
      <c r="H271" s="1" t="s">
        <v>30</v>
      </c>
    </row>
    <row r="272" spans="1:8">
      <c r="A272" s="1" t="s">
        <v>860</v>
      </c>
      <c r="B272" s="1" t="s">
        <v>861</v>
      </c>
      <c r="C272" s="1">
        <v>31</v>
      </c>
      <c r="D272" s="1" t="s">
        <v>15</v>
      </c>
      <c r="E272" s="1" t="s">
        <v>862</v>
      </c>
      <c r="F272" s="1" t="s">
        <v>323</v>
      </c>
      <c r="G272" s="1" t="s">
        <v>12</v>
      </c>
      <c r="H272" s="1" t="s">
        <v>47</v>
      </c>
    </row>
    <row r="273" spans="1:8">
      <c r="A273" s="1" t="s">
        <v>863</v>
      </c>
      <c r="B273" s="1" t="s">
        <v>3950</v>
      </c>
      <c r="C273" s="1">
        <v>64</v>
      </c>
      <c r="D273" s="1" t="s">
        <v>9</v>
      </c>
      <c r="E273" s="1" t="s">
        <v>864</v>
      </c>
      <c r="F273" s="1" t="s">
        <v>70</v>
      </c>
      <c r="G273" s="1" t="s">
        <v>12</v>
      </c>
      <c r="H273" s="1" t="s">
        <v>18</v>
      </c>
    </row>
    <row r="274" spans="1:8">
      <c r="A274" s="1" t="s">
        <v>865</v>
      </c>
      <c r="B274" s="1" t="s">
        <v>866</v>
      </c>
      <c r="C274" s="1">
        <v>48</v>
      </c>
      <c r="D274" s="1" t="s">
        <v>15</v>
      </c>
      <c r="E274" s="1" t="s">
        <v>867</v>
      </c>
      <c r="F274" s="1" t="s">
        <v>29</v>
      </c>
      <c r="G274" s="1" t="s">
        <v>12</v>
      </c>
      <c r="H274" s="1" t="s">
        <v>47</v>
      </c>
    </row>
    <row r="275" spans="1:8">
      <c r="A275" s="1" t="s">
        <v>868</v>
      </c>
      <c r="B275" s="1" t="s">
        <v>869</v>
      </c>
      <c r="C275" s="1">
        <v>23</v>
      </c>
      <c r="D275" s="1" t="s">
        <v>9</v>
      </c>
      <c r="E275" s="1" t="s">
        <v>870</v>
      </c>
      <c r="F275" s="1" t="s">
        <v>309</v>
      </c>
      <c r="G275" s="1" t="s">
        <v>12</v>
      </c>
      <c r="H275" s="1" t="s">
        <v>25</v>
      </c>
    </row>
    <row r="276" spans="1:8">
      <c r="A276" s="1" t="s">
        <v>871</v>
      </c>
      <c r="B276" s="1" t="s">
        <v>872</v>
      </c>
      <c r="C276" s="1">
        <v>38</v>
      </c>
      <c r="D276" s="1" t="s">
        <v>9</v>
      </c>
      <c r="E276" s="1" t="s">
        <v>873</v>
      </c>
      <c r="F276" s="1" t="s">
        <v>170</v>
      </c>
      <c r="G276" s="1" t="s">
        <v>12</v>
      </c>
      <c r="H276" s="1" t="s">
        <v>30</v>
      </c>
    </row>
    <row r="277" spans="1:8">
      <c r="A277" s="1" t="s">
        <v>874</v>
      </c>
      <c r="B277" s="1" t="s">
        <v>875</v>
      </c>
      <c r="C277" s="1">
        <v>22</v>
      </c>
      <c r="D277" s="1" t="s">
        <v>9</v>
      </c>
      <c r="E277" s="1" t="s">
        <v>876</v>
      </c>
      <c r="F277" s="1" t="s">
        <v>586</v>
      </c>
      <c r="G277" s="1" t="s">
        <v>12</v>
      </c>
      <c r="H277" s="1" t="s">
        <v>47</v>
      </c>
    </row>
    <row r="278" spans="1:8">
      <c r="A278" s="1" t="s">
        <v>877</v>
      </c>
      <c r="B278" s="1" t="s">
        <v>878</v>
      </c>
      <c r="C278" s="1">
        <v>38</v>
      </c>
      <c r="D278" s="1" t="s">
        <v>9</v>
      </c>
      <c r="E278" s="1" t="s">
        <v>879</v>
      </c>
      <c r="F278" s="1" t="s">
        <v>181</v>
      </c>
      <c r="G278" s="1" t="s">
        <v>12</v>
      </c>
      <c r="H278" s="1" t="s">
        <v>47</v>
      </c>
    </row>
    <row r="279" spans="1:8">
      <c r="A279" s="1" t="s">
        <v>880</v>
      </c>
      <c r="B279" s="1" t="s">
        <v>881</v>
      </c>
      <c r="C279" s="1">
        <v>22</v>
      </c>
      <c r="D279" s="1" t="s">
        <v>15</v>
      </c>
      <c r="E279" s="1" t="s">
        <v>882</v>
      </c>
      <c r="F279" s="1" t="s">
        <v>271</v>
      </c>
      <c r="G279" s="1" t="s">
        <v>12</v>
      </c>
      <c r="H279" s="1" t="s">
        <v>18</v>
      </c>
    </row>
    <row r="280" spans="1:8">
      <c r="A280" s="1" t="s">
        <v>883</v>
      </c>
      <c r="B280" s="1" t="s">
        <v>884</v>
      </c>
      <c r="C280" s="1">
        <v>42</v>
      </c>
      <c r="D280" s="1" t="s">
        <v>15</v>
      </c>
      <c r="E280" s="1" t="s">
        <v>885</v>
      </c>
      <c r="F280" s="1" t="s">
        <v>214</v>
      </c>
      <c r="G280" s="1" t="s">
        <v>12</v>
      </c>
      <c r="H280" s="1" t="s">
        <v>18</v>
      </c>
    </row>
    <row r="281" spans="1:8">
      <c r="A281" s="1" t="s">
        <v>886</v>
      </c>
      <c r="B281" s="1" t="s">
        <v>887</v>
      </c>
      <c r="C281" s="1">
        <v>21</v>
      </c>
      <c r="D281" s="1" t="s">
        <v>15</v>
      </c>
      <c r="E281" s="1" t="s">
        <v>888</v>
      </c>
      <c r="F281" s="1" t="s">
        <v>24</v>
      </c>
      <c r="G281" s="1" t="s">
        <v>12</v>
      </c>
      <c r="H281" s="1" t="s">
        <v>25</v>
      </c>
    </row>
    <row r="282" spans="1:8">
      <c r="A282" s="1" t="s">
        <v>889</v>
      </c>
      <c r="B282" s="1" t="s">
        <v>890</v>
      </c>
      <c r="C282" s="1">
        <v>48</v>
      </c>
      <c r="D282" s="1" t="s">
        <v>9</v>
      </c>
      <c r="E282" s="1" t="s">
        <v>891</v>
      </c>
      <c r="F282" s="1" t="s">
        <v>99</v>
      </c>
      <c r="G282" s="1" t="s">
        <v>12</v>
      </c>
      <c r="H282" s="1" t="s">
        <v>25</v>
      </c>
    </row>
    <row r="283" spans="1:8">
      <c r="A283" s="1" t="s">
        <v>892</v>
      </c>
      <c r="B283" s="1" t="s">
        <v>893</v>
      </c>
      <c r="C283" s="1">
        <v>59</v>
      </c>
      <c r="D283" s="1" t="s">
        <v>9</v>
      </c>
      <c r="E283" s="1" t="s">
        <v>894</v>
      </c>
      <c r="F283" s="1" t="s">
        <v>166</v>
      </c>
      <c r="G283" s="1" t="s">
        <v>12</v>
      </c>
      <c r="H283" s="1" t="s">
        <v>18</v>
      </c>
    </row>
    <row r="284" spans="1:8">
      <c r="A284" s="1" t="s">
        <v>895</v>
      </c>
      <c r="B284" s="1" t="s">
        <v>896</v>
      </c>
      <c r="C284" s="1">
        <v>46</v>
      </c>
      <c r="D284" s="1" t="s">
        <v>15</v>
      </c>
      <c r="E284" s="1" t="s">
        <v>897</v>
      </c>
      <c r="F284" s="1" t="s">
        <v>88</v>
      </c>
      <c r="G284" s="1" t="s">
        <v>12</v>
      </c>
      <c r="H284" s="1" t="s">
        <v>47</v>
      </c>
    </row>
    <row r="285" spans="1:8">
      <c r="A285" s="1" t="s">
        <v>898</v>
      </c>
      <c r="B285" s="1" t="s">
        <v>899</v>
      </c>
      <c r="C285" s="1">
        <v>54</v>
      </c>
      <c r="D285" s="1" t="s">
        <v>15</v>
      </c>
      <c r="E285" s="1" t="s">
        <v>900</v>
      </c>
      <c r="F285" s="1" t="s">
        <v>845</v>
      </c>
      <c r="G285" s="1" t="s">
        <v>12</v>
      </c>
      <c r="H285" s="1" t="s">
        <v>30</v>
      </c>
    </row>
    <row r="286" spans="1:8">
      <c r="A286" s="1" t="s">
        <v>901</v>
      </c>
      <c r="B286" s="1" t="s">
        <v>902</v>
      </c>
      <c r="C286" s="1">
        <v>54</v>
      </c>
      <c r="D286" s="1" t="s">
        <v>9</v>
      </c>
      <c r="E286" s="1" t="s">
        <v>903</v>
      </c>
      <c r="F286" s="1" t="s">
        <v>166</v>
      </c>
      <c r="G286" s="1" t="s">
        <v>12</v>
      </c>
      <c r="H286" s="1" t="s">
        <v>47</v>
      </c>
    </row>
    <row r="287" spans="1:8">
      <c r="A287" s="1" t="s">
        <v>904</v>
      </c>
      <c r="B287" s="1" t="s">
        <v>905</v>
      </c>
      <c r="C287" s="1">
        <v>46</v>
      </c>
      <c r="D287" s="1" t="s">
        <v>15</v>
      </c>
      <c r="E287" s="1" t="s">
        <v>906</v>
      </c>
      <c r="F287" s="1" t="s">
        <v>715</v>
      </c>
      <c r="G287" s="1" t="s">
        <v>12</v>
      </c>
      <c r="H287" s="1" t="s">
        <v>30</v>
      </c>
    </row>
    <row r="288" spans="1:8">
      <c r="A288" s="1" t="s">
        <v>907</v>
      </c>
      <c r="B288" s="1" t="s">
        <v>908</v>
      </c>
      <c r="C288" s="1">
        <v>22</v>
      </c>
      <c r="D288" s="1" t="s">
        <v>9</v>
      </c>
      <c r="E288" s="1" t="s">
        <v>909</v>
      </c>
      <c r="F288" s="1" t="s">
        <v>38</v>
      </c>
      <c r="G288" s="1" t="s">
        <v>12</v>
      </c>
      <c r="H288" s="1" t="s">
        <v>30</v>
      </c>
    </row>
    <row r="289" spans="1:8">
      <c r="A289" s="1" t="s">
        <v>910</v>
      </c>
      <c r="B289" s="1" t="s">
        <v>911</v>
      </c>
      <c r="C289" s="1">
        <v>22</v>
      </c>
      <c r="D289" s="1" t="s">
        <v>15</v>
      </c>
      <c r="E289" s="1" t="s">
        <v>912</v>
      </c>
      <c r="F289" s="1" t="s">
        <v>170</v>
      </c>
      <c r="G289" s="1" t="s">
        <v>12</v>
      </c>
      <c r="H289" s="1" t="s">
        <v>47</v>
      </c>
    </row>
    <row r="290" spans="1:8">
      <c r="A290" s="1" t="s">
        <v>913</v>
      </c>
      <c r="B290" s="1" t="s">
        <v>914</v>
      </c>
      <c r="C290" s="1">
        <v>58</v>
      </c>
      <c r="D290" s="1" t="s">
        <v>9</v>
      </c>
      <c r="E290" s="1" t="s">
        <v>915</v>
      </c>
      <c r="F290" s="1" t="s">
        <v>166</v>
      </c>
      <c r="G290" s="1" t="s">
        <v>12</v>
      </c>
      <c r="H290" s="1" t="s">
        <v>47</v>
      </c>
    </row>
    <row r="291" spans="1:8">
      <c r="A291" s="1" t="s">
        <v>916</v>
      </c>
      <c r="B291" s="1" t="s">
        <v>917</v>
      </c>
      <c r="C291" s="1">
        <v>45</v>
      </c>
      <c r="D291" s="1" t="s">
        <v>9</v>
      </c>
      <c r="E291" s="1" t="s">
        <v>918</v>
      </c>
      <c r="F291" s="1" t="s">
        <v>24</v>
      </c>
      <c r="G291" s="1" t="s">
        <v>12</v>
      </c>
      <c r="H291" s="1" t="s">
        <v>25</v>
      </c>
    </row>
    <row r="292" spans="1:8">
      <c r="A292" s="1" t="s">
        <v>919</v>
      </c>
      <c r="B292" s="1" t="s">
        <v>3951</v>
      </c>
      <c r="C292" s="1">
        <v>52</v>
      </c>
      <c r="D292" s="1" t="s">
        <v>15</v>
      </c>
      <c r="E292" s="1" t="s">
        <v>920</v>
      </c>
      <c r="F292" s="1" t="s">
        <v>284</v>
      </c>
      <c r="G292" s="1" t="s">
        <v>12</v>
      </c>
      <c r="H292" s="1" t="s">
        <v>30</v>
      </c>
    </row>
    <row r="293" spans="1:8">
      <c r="A293" s="1" t="s">
        <v>921</v>
      </c>
      <c r="B293" s="1" t="s">
        <v>922</v>
      </c>
      <c r="C293" s="1">
        <v>40</v>
      </c>
      <c r="D293" s="1" t="s">
        <v>15</v>
      </c>
      <c r="E293" s="1" t="s">
        <v>923</v>
      </c>
      <c r="F293" s="1" t="s">
        <v>113</v>
      </c>
      <c r="G293" s="1" t="s">
        <v>12</v>
      </c>
      <c r="H293" s="1" t="s">
        <v>25</v>
      </c>
    </row>
    <row r="294" spans="1:8">
      <c r="A294" s="1" t="s">
        <v>924</v>
      </c>
      <c r="B294" s="1" t="s">
        <v>925</v>
      </c>
      <c r="C294" s="1">
        <v>30</v>
      </c>
      <c r="D294" s="1" t="s">
        <v>9</v>
      </c>
      <c r="E294" s="1" t="s">
        <v>926</v>
      </c>
      <c r="F294" s="1" t="s">
        <v>198</v>
      </c>
      <c r="G294" s="1" t="s">
        <v>12</v>
      </c>
      <c r="H294" s="1" t="s">
        <v>30</v>
      </c>
    </row>
    <row r="295" spans="1:8">
      <c r="A295" s="1" t="s">
        <v>927</v>
      </c>
      <c r="B295" s="1" t="s">
        <v>928</v>
      </c>
      <c r="C295" s="1">
        <v>56</v>
      </c>
      <c r="D295" s="1" t="s">
        <v>15</v>
      </c>
      <c r="E295" s="1" t="s">
        <v>929</v>
      </c>
      <c r="F295" s="1" t="s">
        <v>323</v>
      </c>
      <c r="G295" s="1" t="s">
        <v>12</v>
      </c>
      <c r="H295" s="1" t="s">
        <v>18</v>
      </c>
    </row>
    <row r="296" spans="1:8">
      <c r="A296" s="1" t="s">
        <v>930</v>
      </c>
      <c r="B296" s="1" t="s">
        <v>931</v>
      </c>
      <c r="C296" s="1">
        <v>29</v>
      </c>
      <c r="D296" s="1" t="s">
        <v>9</v>
      </c>
      <c r="E296" s="1" t="s">
        <v>570</v>
      </c>
      <c r="F296" s="1" t="s">
        <v>66</v>
      </c>
      <c r="G296" s="1" t="s">
        <v>12</v>
      </c>
      <c r="H296" s="1" t="s">
        <v>18</v>
      </c>
    </row>
    <row r="297" spans="1:8">
      <c r="A297" s="1" t="s">
        <v>932</v>
      </c>
      <c r="B297" s="1" t="s">
        <v>933</v>
      </c>
      <c r="C297" s="1">
        <v>19</v>
      </c>
      <c r="D297" s="1" t="s">
        <v>15</v>
      </c>
      <c r="E297" s="1" t="s">
        <v>934</v>
      </c>
      <c r="F297" s="1" t="s">
        <v>62</v>
      </c>
      <c r="G297" s="1" t="s">
        <v>12</v>
      </c>
      <c r="H297" s="1" t="s">
        <v>25</v>
      </c>
    </row>
    <row r="298" spans="1:8">
      <c r="A298" s="1" t="s">
        <v>935</v>
      </c>
      <c r="B298" s="1" t="s">
        <v>936</v>
      </c>
      <c r="C298" s="1">
        <v>28</v>
      </c>
      <c r="D298" s="1" t="s">
        <v>15</v>
      </c>
      <c r="E298" s="1" t="s">
        <v>294</v>
      </c>
      <c r="F298" s="1" t="s">
        <v>42</v>
      </c>
      <c r="G298" s="1" t="s">
        <v>12</v>
      </c>
      <c r="H298" s="1" t="s">
        <v>25</v>
      </c>
    </row>
    <row r="299" spans="1:8">
      <c r="A299" s="1" t="s">
        <v>937</v>
      </c>
      <c r="B299" s="1" t="s">
        <v>938</v>
      </c>
      <c r="C299" s="1">
        <v>47</v>
      </c>
      <c r="D299" s="1" t="s">
        <v>15</v>
      </c>
      <c r="E299" s="1" t="s">
        <v>939</v>
      </c>
      <c r="F299" s="1" t="s">
        <v>113</v>
      </c>
      <c r="G299" s="1" t="s">
        <v>12</v>
      </c>
      <c r="H299" s="1" t="s">
        <v>30</v>
      </c>
    </row>
    <row r="300" spans="1:8">
      <c r="A300" s="1" t="s">
        <v>940</v>
      </c>
      <c r="B300" s="1" t="s">
        <v>941</v>
      </c>
      <c r="C300" s="1">
        <v>64</v>
      </c>
      <c r="D300" s="1" t="s">
        <v>9</v>
      </c>
      <c r="E300" s="1" t="s">
        <v>942</v>
      </c>
      <c r="F300" s="1" t="s">
        <v>430</v>
      </c>
      <c r="G300" s="1" t="s">
        <v>12</v>
      </c>
      <c r="H300" s="1" t="s">
        <v>18</v>
      </c>
    </row>
    <row r="301" spans="1:8">
      <c r="A301" s="1" t="s">
        <v>943</v>
      </c>
      <c r="B301" s="1" t="s">
        <v>944</v>
      </c>
      <c r="C301" s="1">
        <v>48</v>
      </c>
      <c r="D301" s="1" t="s">
        <v>15</v>
      </c>
      <c r="E301" s="1" t="s">
        <v>945</v>
      </c>
      <c r="F301" s="1" t="s">
        <v>323</v>
      </c>
      <c r="G301" s="1" t="s">
        <v>12</v>
      </c>
      <c r="H301" s="1" t="s">
        <v>18</v>
      </c>
    </row>
    <row r="302" spans="1:8">
      <c r="A302" s="1" t="s">
        <v>946</v>
      </c>
      <c r="B302" s="1" t="s">
        <v>947</v>
      </c>
      <c r="C302" s="1">
        <v>29</v>
      </c>
      <c r="D302" s="1" t="s">
        <v>9</v>
      </c>
      <c r="E302" s="1" t="s">
        <v>948</v>
      </c>
      <c r="F302" s="1" t="s">
        <v>34</v>
      </c>
      <c r="G302" s="1" t="s">
        <v>12</v>
      </c>
      <c r="H302" s="1" t="s">
        <v>30</v>
      </c>
    </row>
    <row r="303" spans="1:8">
      <c r="A303" s="1" t="s">
        <v>949</v>
      </c>
      <c r="B303" s="1" t="s">
        <v>950</v>
      </c>
      <c r="C303" s="1">
        <v>50</v>
      </c>
      <c r="D303" s="1" t="s">
        <v>9</v>
      </c>
      <c r="E303" s="1" t="s">
        <v>951</v>
      </c>
      <c r="F303" s="1" t="s">
        <v>284</v>
      </c>
      <c r="G303" s="1" t="s">
        <v>12</v>
      </c>
      <c r="H303" s="1" t="s">
        <v>47</v>
      </c>
    </row>
    <row r="304" spans="1:8">
      <c r="A304" s="1" t="s">
        <v>952</v>
      </c>
      <c r="B304" s="1" t="s">
        <v>953</v>
      </c>
      <c r="C304" s="1">
        <v>36</v>
      </c>
      <c r="D304" s="1" t="s">
        <v>9</v>
      </c>
      <c r="E304" s="1" t="s">
        <v>954</v>
      </c>
      <c r="F304" s="1" t="s">
        <v>133</v>
      </c>
      <c r="G304" s="1" t="s">
        <v>12</v>
      </c>
      <c r="H304" s="1" t="s">
        <v>47</v>
      </c>
    </row>
    <row r="305" spans="1:8">
      <c r="A305" s="1" t="s">
        <v>955</v>
      </c>
      <c r="B305" s="1" t="s">
        <v>956</v>
      </c>
      <c r="C305" s="1">
        <v>23</v>
      </c>
      <c r="D305" s="1" t="s">
        <v>15</v>
      </c>
      <c r="E305" s="1" t="s">
        <v>957</v>
      </c>
      <c r="F305" s="1" t="s">
        <v>92</v>
      </c>
      <c r="G305" s="1" t="s">
        <v>12</v>
      </c>
      <c r="H305" s="1" t="s">
        <v>18</v>
      </c>
    </row>
    <row r="306" spans="1:8">
      <c r="A306" s="1" t="s">
        <v>958</v>
      </c>
      <c r="B306" s="1" t="s">
        <v>3952</v>
      </c>
      <c r="C306" s="1">
        <v>41</v>
      </c>
      <c r="D306" s="1" t="s">
        <v>9</v>
      </c>
      <c r="E306" s="1" t="s">
        <v>959</v>
      </c>
      <c r="F306" s="1" t="s">
        <v>62</v>
      </c>
      <c r="G306" s="1" t="s">
        <v>12</v>
      </c>
      <c r="H306" s="1" t="s">
        <v>30</v>
      </c>
    </row>
    <row r="307" spans="1:8">
      <c r="A307" s="1" t="s">
        <v>960</v>
      </c>
      <c r="B307" s="1" t="s">
        <v>961</v>
      </c>
      <c r="C307" s="1">
        <v>64</v>
      </c>
      <c r="D307" s="1" t="s">
        <v>9</v>
      </c>
      <c r="E307" s="1" t="s">
        <v>962</v>
      </c>
      <c r="F307" s="1" t="s">
        <v>74</v>
      </c>
      <c r="G307" s="1" t="s">
        <v>12</v>
      </c>
      <c r="H307" s="1" t="s">
        <v>18</v>
      </c>
    </row>
    <row r="308" spans="1:8">
      <c r="A308" s="1" t="s">
        <v>963</v>
      </c>
      <c r="B308" s="1" t="s">
        <v>964</v>
      </c>
      <c r="C308" s="1">
        <v>44</v>
      </c>
      <c r="D308" s="1" t="s">
        <v>9</v>
      </c>
      <c r="E308" s="1" t="s">
        <v>965</v>
      </c>
      <c r="F308" s="1" t="s">
        <v>234</v>
      </c>
      <c r="G308" s="1" t="s">
        <v>12</v>
      </c>
      <c r="H308" s="1" t="s">
        <v>18</v>
      </c>
    </row>
    <row r="309" spans="1:8">
      <c r="A309" s="1" t="s">
        <v>966</v>
      </c>
      <c r="B309" s="1" t="s">
        <v>967</v>
      </c>
      <c r="C309" s="1">
        <v>56</v>
      </c>
      <c r="D309" s="1" t="s">
        <v>15</v>
      </c>
      <c r="E309" s="1" t="s">
        <v>968</v>
      </c>
      <c r="F309" s="1" t="s">
        <v>21</v>
      </c>
      <c r="G309" s="1" t="s">
        <v>12</v>
      </c>
      <c r="H309" s="1" t="s">
        <v>25</v>
      </c>
    </row>
    <row r="310" spans="1:8">
      <c r="A310" s="1" t="s">
        <v>969</v>
      </c>
      <c r="B310" s="1" t="s">
        <v>970</v>
      </c>
      <c r="C310" s="1">
        <v>60</v>
      </c>
      <c r="D310" s="1" t="s">
        <v>15</v>
      </c>
      <c r="E310" s="1" t="s">
        <v>971</v>
      </c>
      <c r="F310" s="1" t="s">
        <v>264</v>
      </c>
      <c r="G310" s="1" t="s">
        <v>12</v>
      </c>
      <c r="H310" s="1" t="s">
        <v>47</v>
      </c>
    </row>
    <row r="311" spans="1:8">
      <c r="A311" s="1" t="s">
        <v>972</v>
      </c>
      <c r="B311" s="1" t="s">
        <v>973</v>
      </c>
      <c r="C311" s="1">
        <v>41</v>
      </c>
      <c r="D311" s="1" t="s">
        <v>15</v>
      </c>
      <c r="E311" s="1" t="s">
        <v>974</v>
      </c>
      <c r="F311" s="1" t="s">
        <v>29</v>
      </c>
      <c r="G311" s="1" t="s">
        <v>12</v>
      </c>
      <c r="H311" s="1" t="s">
        <v>25</v>
      </c>
    </row>
    <row r="312" spans="1:8">
      <c r="A312" s="1" t="s">
        <v>975</v>
      </c>
      <c r="B312" s="1" t="s">
        <v>976</v>
      </c>
      <c r="C312" s="1">
        <v>20</v>
      </c>
      <c r="D312" s="1" t="s">
        <v>9</v>
      </c>
      <c r="E312" s="1" t="s">
        <v>977</v>
      </c>
      <c r="F312" s="1" t="s">
        <v>170</v>
      </c>
      <c r="G312" s="1" t="s">
        <v>12</v>
      </c>
      <c r="H312" s="1" t="s">
        <v>30</v>
      </c>
    </row>
    <row r="313" spans="1:8">
      <c r="A313" s="1" t="s">
        <v>978</v>
      </c>
      <c r="B313" s="1" t="s">
        <v>979</v>
      </c>
      <c r="C313" s="1">
        <v>35</v>
      </c>
      <c r="D313" s="1" t="s">
        <v>9</v>
      </c>
      <c r="E313" s="1" t="s">
        <v>980</v>
      </c>
      <c r="F313" s="1" t="s">
        <v>34</v>
      </c>
      <c r="G313" s="1" t="s">
        <v>12</v>
      </c>
      <c r="H313" s="1" t="s">
        <v>18</v>
      </c>
    </row>
    <row r="314" spans="1:8">
      <c r="A314" s="1" t="s">
        <v>981</v>
      </c>
      <c r="B314" s="1" t="s">
        <v>982</v>
      </c>
      <c r="C314" s="1">
        <v>47</v>
      </c>
      <c r="D314" s="1" t="s">
        <v>15</v>
      </c>
      <c r="E314" s="1" t="s">
        <v>983</v>
      </c>
      <c r="F314" s="1" t="s">
        <v>92</v>
      </c>
      <c r="G314" s="1" t="s">
        <v>12</v>
      </c>
      <c r="H314" s="1" t="s">
        <v>30</v>
      </c>
    </row>
    <row r="315" spans="1:8">
      <c r="A315" s="1" t="s">
        <v>984</v>
      </c>
      <c r="B315" s="1" t="s">
        <v>985</v>
      </c>
      <c r="C315" s="1">
        <v>62</v>
      </c>
      <c r="D315" s="1" t="s">
        <v>9</v>
      </c>
      <c r="E315" s="1" t="s">
        <v>986</v>
      </c>
      <c r="F315" s="1" t="s">
        <v>139</v>
      </c>
      <c r="G315" s="1" t="s">
        <v>12</v>
      </c>
      <c r="H315" s="1" t="s">
        <v>18</v>
      </c>
    </row>
    <row r="316" spans="1:8">
      <c r="A316" s="1" t="s">
        <v>987</v>
      </c>
      <c r="B316" s="1" t="s">
        <v>988</v>
      </c>
      <c r="C316" s="1">
        <v>53</v>
      </c>
      <c r="D316" s="1" t="s">
        <v>15</v>
      </c>
      <c r="E316" s="1" t="s">
        <v>989</v>
      </c>
      <c r="F316" s="1" t="s">
        <v>74</v>
      </c>
      <c r="G316" s="1" t="s">
        <v>12</v>
      </c>
      <c r="H316" s="1" t="s">
        <v>30</v>
      </c>
    </row>
    <row r="317" spans="1:8">
      <c r="A317" s="1" t="s">
        <v>990</v>
      </c>
      <c r="B317" s="1" t="s">
        <v>991</v>
      </c>
      <c r="C317" s="1">
        <v>49</v>
      </c>
      <c r="D317" s="1" t="s">
        <v>9</v>
      </c>
      <c r="E317" s="1" t="s">
        <v>992</v>
      </c>
      <c r="F317" s="1" t="s">
        <v>715</v>
      </c>
      <c r="G317" s="1" t="s">
        <v>12</v>
      </c>
      <c r="H317" s="1" t="s">
        <v>30</v>
      </c>
    </row>
    <row r="318" spans="1:8">
      <c r="A318" s="1" t="s">
        <v>993</v>
      </c>
      <c r="B318" s="1" t="s">
        <v>994</v>
      </c>
      <c r="C318" s="1">
        <v>34</v>
      </c>
      <c r="D318" s="1" t="s">
        <v>9</v>
      </c>
      <c r="E318" s="1" t="s">
        <v>995</v>
      </c>
      <c r="F318" s="1" t="s">
        <v>139</v>
      </c>
      <c r="G318" s="1" t="s">
        <v>12</v>
      </c>
      <c r="H318" s="1" t="s">
        <v>47</v>
      </c>
    </row>
    <row r="319" spans="1:8">
      <c r="A319" s="1" t="s">
        <v>996</v>
      </c>
      <c r="B319" s="1" t="s">
        <v>997</v>
      </c>
      <c r="C319" s="1">
        <v>64</v>
      </c>
      <c r="D319" s="1" t="s">
        <v>15</v>
      </c>
      <c r="E319" s="1" t="s">
        <v>998</v>
      </c>
      <c r="F319" s="1" t="s">
        <v>46</v>
      </c>
      <c r="G319" s="1" t="s">
        <v>12</v>
      </c>
      <c r="H319" s="1" t="s">
        <v>47</v>
      </c>
    </row>
    <row r="320" spans="1:8">
      <c r="A320" s="1" t="s">
        <v>999</v>
      </c>
      <c r="B320" s="1" t="s">
        <v>1000</v>
      </c>
      <c r="C320" s="1">
        <v>25</v>
      </c>
      <c r="D320" s="1" t="s">
        <v>9</v>
      </c>
      <c r="E320" s="1" t="s">
        <v>1001</v>
      </c>
      <c r="F320" s="1" t="s">
        <v>62</v>
      </c>
      <c r="G320" s="1" t="s">
        <v>12</v>
      </c>
      <c r="H320" s="1" t="s">
        <v>18</v>
      </c>
    </row>
    <row r="321" spans="1:8">
      <c r="A321" s="1" t="s">
        <v>1002</v>
      </c>
      <c r="B321" s="1" t="s">
        <v>1003</v>
      </c>
      <c r="C321" s="1">
        <v>54</v>
      </c>
      <c r="D321" s="1" t="s">
        <v>9</v>
      </c>
      <c r="E321" s="1" t="s">
        <v>1004</v>
      </c>
      <c r="F321" s="1" t="s">
        <v>309</v>
      </c>
      <c r="G321" s="1" t="s">
        <v>12</v>
      </c>
      <c r="H321" s="1" t="s">
        <v>18</v>
      </c>
    </row>
    <row r="322" spans="1:8">
      <c r="A322" s="1" t="s">
        <v>1005</v>
      </c>
      <c r="B322" s="1" t="s">
        <v>1006</v>
      </c>
      <c r="C322" s="1">
        <v>34</v>
      </c>
      <c r="D322" s="1" t="s">
        <v>15</v>
      </c>
      <c r="E322" s="1" t="s">
        <v>1007</v>
      </c>
      <c r="F322" s="1" t="s">
        <v>264</v>
      </c>
      <c r="G322" s="1" t="s">
        <v>12</v>
      </c>
      <c r="H322" s="1" t="s">
        <v>25</v>
      </c>
    </row>
    <row r="323" spans="1:8">
      <c r="A323" s="1" t="s">
        <v>1008</v>
      </c>
      <c r="B323" s="1" t="s">
        <v>1009</v>
      </c>
      <c r="C323" s="1">
        <v>21</v>
      </c>
      <c r="D323" s="1" t="s">
        <v>15</v>
      </c>
      <c r="E323" s="1" t="s">
        <v>1010</v>
      </c>
      <c r="F323" s="1" t="s">
        <v>234</v>
      </c>
      <c r="G323" s="1" t="s">
        <v>12</v>
      </c>
      <c r="H323" s="1" t="s">
        <v>25</v>
      </c>
    </row>
    <row r="324" spans="1:8">
      <c r="A324" s="1" t="s">
        <v>1011</v>
      </c>
      <c r="B324" s="1" t="s">
        <v>1012</v>
      </c>
      <c r="C324" s="1">
        <v>54</v>
      </c>
      <c r="D324" s="1" t="s">
        <v>9</v>
      </c>
      <c r="E324" s="1" t="s">
        <v>1013</v>
      </c>
      <c r="F324" s="1" t="s">
        <v>845</v>
      </c>
      <c r="G324" s="1" t="s">
        <v>12</v>
      </c>
      <c r="H324" s="1" t="s">
        <v>25</v>
      </c>
    </row>
    <row r="325" spans="1:8">
      <c r="A325" s="1" t="s">
        <v>1014</v>
      </c>
      <c r="B325" s="1" t="s">
        <v>1015</v>
      </c>
      <c r="C325" s="1">
        <v>64</v>
      </c>
      <c r="D325" s="1" t="s">
        <v>15</v>
      </c>
      <c r="E325" s="1" t="s">
        <v>1016</v>
      </c>
      <c r="F325" s="1" t="s">
        <v>11</v>
      </c>
      <c r="G325" s="1" t="s">
        <v>12</v>
      </c>
      <c r="H325" s="1" t="s">
        <v>18</v>
      </c>
    </row>
    <row r="326" spans="1:8">
      <c r="A326" s="1" t="s">
        <v>1017</v>
      </c>
      <c r="B326" s="1" t="s">
        <v>3953</v>
      </c>
      <c r="C326" s="1">
        <v>58</v>
      </c>
      <c r="D326" s="1" t="s">
        <v>9</v>
      </c>
      <c r="E326" s="1" t="s">
        <v>1018</v>
      </c>
      <c r="F326" s="1" t="s">
        <v>96</v>
      </c>
      <c r="G326" s="1" t="s">
        <v>12</v>
      </c>
      <c r="H326" s="1" t="s">
        <v>25</v>
      </c>
    </row>
    <row r="327" spans="1:8">
      <c r="A327" s="1" t="s">
        <v>1019</v>
      </c>
      <c r="B327" s="1" t="s">
        <v>1020</v>
      </c>
      <c r="C327" s="1">
        <v>60</v>
      </c>
      <c r="D327" s="1" t="s">
        <v>9</v>
      </c>
      <c r="E327" s="1" t="s">
        <v>1021</v>
      </c>
      <c r="F327" s="1" t="s">
        <v>319</v>
      </c>
      <c r="G327" s="1" t="s">
        <v>12</v>
      </c>
      <c r="H327" s="1" t="s">
        <v>25</v>
      </c>
    </row>
    <row r="328" spans="1:8">
      <c r="A328" s="1" t="s">
        <v>1022</v>
      </c>
      <c r="B328" s="1" t="s">
        <v>1023</v>
      </c>
      <c r="C328" s="1">
        <v>58</v>
      </c>
      <c r="D328" s="1" t="s">
        <v>15</v>
      </c>
      <c r="E328" s="1" t="s">
        <v>1024</v>
      </c>
      <c r="F328" s="1" t="s">
        <v>214</v>
      </c>
      <c r="G328" s="1" t="s">
        <v>12</v>
      </c>
      <c r="H328" s="1" t="s">
        <v>47</v>
      </c>
    </row>
    <row r="329" spans="1:8">
      <c r="A329" s="1" t="s">
        <v>1025</v>
      </c>
      <c r="B329" s="1" t="s">
        <v>1026</v>
      </c>
      <c r="C329" s="1">
        <v>62</v>
      </c>
      <c r="D329" s="1" t="s">
        <v>15</v>
      </c>
      <c r="E329" s="1" t="s">
        <v>1027</v>
      </c>
      <c r="F329" s="1" t="s">
        <v>58</v>
      </c>
      <c r="G329" s="1" t="s">
        <v>12</v>
      </c>
      <c r="H329" s="1" t="s">
        <v>25</v>
      </c>
    </row>
    <row r="330" spans="1:8">
      <c r="A330" s="1" t="s">
        <v>1028</v>
      </c>
      <c r="B330" s="1" t="s">
        <v>1029</v>
      </c>
      <c r="C330" s="1">
        <v>46</v>
      </c>
      <c r="D330" s="1" t="s">
        <v>9</v>
      </c>
      <c r="E330" s="1" t="s">
        <v>1030</v>
      </c>
      <c r="F330" s="1" t="s">
        <v>198</v>
      </c>
      <c r="G330" s="1" t="s">
        <v>12</v>
      </c>
      <c r="H330" s="1" t="s">
        <v>18</v>
      </c>
    </row>
    <row r="331" spans="1:8">
      <c r="A331" s="1" t="s">
        <v>1031</v>
      </c>
      <c r="B331" s="1" t="s">
        <v>1032</v>
      </c>
      <c r="C331" s="1">
        <v>62</v>
      </c>
      <c r="D331" s="1" t="s">
        <v>15</v>
      </c>
      <c r="E331" s="1" t="s">
        <v>1033</v>
      </c>
      <c r="F331" s="1" t="s">
        <v>198</v>
      </c>
      <c r="G331" s="1" t="s">
        <v>12</v>
      </c>
      <c r="H331" s="1" t="s">
        <v>25</v>
      </c>
    </row>
    <row r="332" spans="1:8">
      <c r="A332" s="1" t="s">
        <v>1034</v>
      </c>
      <c r="B332" s="1" t="s">
        <v>1035</v>
      </c>
      <c r="C332" s="1">
        <v>54</v>
      </c>
      <c r="D332" s="1" t="s">
        <v>9</v>
      </c>
      <c r="E332" s="1" t="s">
        <v>1036</v>
      </c>
      <c r="F332" s="1" t="s">
        <v>191</v>
      </c>
      <c r="G332" s="1" t="s">
        <v>12</v>
      </c>
      <c r="H332" s="1" t="s">
        <v>18</v>
      </c>
    </row>
    <row r="333" spans="1:8">
      <c r="A333" s="1" t="s">
        <v>1037</v>
      </c>
      <c r="B333" s="1" t="s">
        <v>1038</v>
      </c>
      <c r="C333" s="1">
        <v>38</v>
      </c>
      <c r="D333" s="1" t="s">
        <v>15</v>
      </c>
      <c r="E333" s="1" t="s">
        <v>1039</v>
      </c>
      <c r="F333" s="1" t="s">
        <v>66</v>
      </c>
      <c r="G333" s="1" t="s">
        <v>12</v>
      </c>
      <c r="H333" s="1" t="s">
        <v>25</v>
      </c>
    </row>
    <row r="334" spans="1:8">
      <c r="A334" s="1" t="s">
        <v>1040</v>
      </c>
      <c r="B334" s="1" t="s">
        <v>1041</v>
      </c>
      <c r="C334" s="1">
        <v>34</v>
      </c>
      <c r="D334" s="1" t="s">
        <v>15</v>
      </c>
      <c r="E334" s="1" t="s">
        <v>1042</v>
      </c>
      <c r="F334" s="1" t="s">
        <v>99</v>
      </c>
      <c r="G334" s="1" t="s">
        <v>12</v>
      </c>
      <c r="H334" s="1" t="s">
        <v>25</v>
      </c>
    </row>
    <row r="335" spans="1:8">
      <c r="A335" s="1" t="s">
        <v>1043</v>
      </c>
      <c r="B335" s="1" t="s">
        <v>1044</v>
      </c>
      <c r="C335" s="1">
        <v>64</v>
      </c>
      <c r="D335" s="1" t="s">
        <v>15</v>
      </c>
      <c r="E335" s="1" t="s">
        <v>1045</v>
      </c>
      <c r="F335" s="1" t="s">
        <v>81</v>
      </c>
      <c r="G335" s="1" t="s">
        <v>12</v>
      </c>
      <c r="H335" s="1" t="s">
        <v>47</v>
      </c>
    </row>
    <row r="336" spans="1:8">
      <c r="A336" s="1" t="s">
        <v>1046</v>
      </c>
      <c r="B336" s="1" t="s">
        <v>1047</v>
      </c>
      <c r="C336" s="1">
        <v>50</v>
      </c>
      <c r="D336" s="1" t="s">
        <v>15</v>
      </c>
      <c r="E336" s="1" t="s">
        <v>1048</v>
      </c>
      <c r="F336" s="1" t="s">
        <v>166</v>
      </c>
      <c r="G336" s="1" t="s">
        <v>12</v>
      </c>
      <c r="H336" s="1" t="s">
        <v>30</v>
      </c>
    </row>
    <row r="337" spans="1:8">
      <c r="A337" s="1" t="s">
        <v>1049</v>
      </c>
      <c r="B337" s="1" t="s">
        <v>1050</v>
      </c>
      <c r="C337" s="1">
        <v>37</v>
      </c>
      <c r="D337" s="1" t="s">
        <v>9</v>
      </c>
      <c r="E337" s="1" t="s">
        <v>1051</v>
      </c>
      <c r="F337" s="1" t="s">
        <v>11</v>
      </c>
      <c r="G337" s="1" t="s">
        <v>12</v>
      </c>
      <c r="H337" s="1" t="s">
        <v>18</v>
      </c>
    </row>
    <row r="338" spans="1:8">
      <c r="A338" s="1" t="s">
        <v>1052</v>
      </c>
      <c r="B338" s="1" t="s">
        <v>1053</v>
      </c>
      <c r="C338" s="1">
        <v>58</v>
      </c>
      <c r="D338" s="1" t="s">
        <v>15</v>
      </c>
      <c r="E338" s="1" t="s">
        <v>1054</v>
      </c>
      <c r="F338" s="1" t="s">
        <v>34</v>
      </c>
      <c r="G338" s="1" t="s">
        <v>12</v>
      </c>
      <c r="H338" s="1" t="s">
        <v>30</v>
      </c>
    </row>
    <row r="339" spans="1:8">
      <c r="A339" s="1" t="s">
        <v>1055</v>
      </c>
      <c r="B339" s="1" t="s">
        <v>1056</v>
      </c>
      <c r="C339" s="1">
        <v>40</v>
      </c>
      <c r="D339" s="1" t="s">
        <v>15</v>
      </c>
      <c r="E339" s="1" t="s">
        <v>1057</v>
      </c>
      <c r="F339" s="1" t="s">
        <v>11</v>
      </c>
      <c r="G339" s="1" t="s">
        <v>12</v>
      </c>
      <c r="H339" s="1" t="s">
        <v>25</v>
      </c>
    </row>
    <row r="340" spans="1:8">
      <c r="A340" s="1" t="s">
        <v>1058</v>
      </c>
      <c r="B340" s="1" t="s">
        <v>1059</v>
      </c>
      <c r="C340" s="1">
        <v>46</v>
      </c>
      <c r="D340" s="1" t="s">
        <v>15</v>
      </c>
      <c r="E340" s="1" t="s">
        <v>1060</v>
      </c>
      <c r="F340" s="1" t="s">
        <v>166</v>
      </c>
      <c r="G340" s="1" t="s">
        <v>12</v>
      </c>
      <c r="H340" s="1" t="s">
        <v>30</v>
      </c>
    </row>
    <row r="341" spans="1:8">
      <c r="A341" s="1" t="s">
        <v>1061</v>
      </c>
      <c r="B341" s="1" t="s">
        <v>1062</v>
      </c>
      <c r="C341" s="1">
        <v>52</v>
      </c>
      <c r="D341" s="1" t="s">
        <v>15</v>
      </c>
      <c r="E341" s="1" t="s">
        <v>1063</v>
      </c>
      <c r="F341" s="1" t="s">
        <v>133</v>
      </c>
      <c r="G341" s="1" t="s">
        <v>12</v>
      </c>
      <c r="H341" s="1" t="s">
        <v>18</v>
      </c>
    </row>
    <row r="342" spans="1:8">
      <c r="A342" s="1" t="s">
        <v>1064</v>
      </c>
      <c r="B342" s="1" t="s">
        <v>1065</v>
      </c>
      <c r="C342" s="1">
        <v>27</v>
      </c>
      <c r="D342" s="1" t="s">
        <v>9</v>
      </c>
      <c r="E342" s="1" t="s">
        <v>1066</v>
      </c>
      <c r="F342" s="1" t="s">
        <v>271</v>
      </c>
      <c r="G342" s="1" t="s">
        <v>12</v>
      </c>
      <c r="H342" s="1" t="s">
        <v>25</v>
      </c>
    </row>
    <row r="343" spans="1:8">
      <c r="A343" s="1" t="s">
        <v>1067</v>
      </c>
      <c r="B343" s="1" t="s">
        <v>1068</v>
      </c>
      <c r="C343" s="1">
        <v>56</v>
      </c>
      <c r="D343" s="1" t="s">
        <v>15</v>
      </c>
      <c r="E343" s="1" t="s">
        <v>1069</v>
      </c>
      <c r="F343" s="1" t="s">
        <v>191</v>
      </c>
      <c r="G343" s="1" t="s">
        <v>12</v>
      </c>
      <c r="H343" s="1" t="s">
        <v>25</v>
      </c>
    </row>
    <row r="344" spans="1:8">
      <c r="A344" s="1" t="s">
        <v>1070</v>
      </c>
      <c r="B344" s="1" t="s">
        <v>1071</v>
      </c>
      <c r="C344" s="1">
        <v>30</v>
      </c>
      <c r="D344" s="1" t="s">
        <v>15</v>
      </c>
      <c r="E344" s="1" t="s">
        <v>1072</v>
      </c>
      <c r="F344" s="1" t="s">
        <v>166</v>
      </c>
      <c r="G344" s="1" t="s">
        <v>12</v>
      </c>
      <c r="H344" s="1" t="s">
        <v>25</v>
      </c>
    </row>
    <row r="345" spans="1:8">
      <c r="A345" s="1" t="s">
        <v>1073</v>
      </c>
      <c r="B345" s="1" t="s">
        <v>1074</v>
      </c>
      <c r="C345" s="1">
        <v>38</v>
      </c>
      <c r="D345" s="1" t="s">
        <v>9</v>
      </c>
      <c r="E345" s="1" t="s">
        <v>1075</v>
      </c>
      <c r="F345" s="1" t="s">
        <v>284</v>
      </c>
      <c r="G345" s="1" t="s">
        <v>12</v>
      </c>
      <c r="H345" s="1" t="s">
        <v>25</v>
      </c>
    </row>
    <row r="346" spans="1:8">
      <c r="A346" s="1" t="s">
        <v>1076</v>
      </c>
      <c r="B346" s="1" t="s">
        <v>1077</v>
      </c>
      <c r="C346" s="1">
        <v>39</v>
      </c>
      <c r="D346" s="1" t="s">
        <v>9</v>
      </c>
      <c r="E346" s="1" t="s">
        <v>1078</v>
      </c>
      <c r="F346" s="1" t="s">
        <v>230</v>
      </c>
      <c r="G346" s="1" t="s">
        <v>12</v>
      </c>
      <c r="H346" s="1" t="s">
        <v>47</v>
      </c>
    </row>
    <row r="347" spans="1:8">
      <c r="A347" s="1" t="s">
        <v>1079</v>
      </c>
      <c r="B347" s="1" t="s">
        <v>1080</v>
      </c>
      <c r="C347" s="1">
        <v>33</v>
      </c>
      <c r="D347" s="1" t="s">
        <v>9</v>
      </c>
      <c r="E347" s="1" t="s">
        <v>1081</v>
      </c>
      <c r="F347" s="1" t="s">
        <v>96</v>
      </c>
      <c r="G347" s="1" t="s">
        <v>12</v>
      </c>
      <c r="H347" s="1" t="s">
        <v>25</v>
      </c>
    </row>
    <row r="348" spans="1:8">
      <c r="A348" s="1" t="s">
        <v>1082</v>
      </c>
      <c r="B348" s="1" t="s">
        <v>1083</v>
      </c>
      <c r="C348" s="1">
        <v>58</v>
      </c>
      <c r="D348" s="1" t="s">
        <v>15</v>
      </c>
      <c r="E348" s="1" t="s">
        <v>1084</v>
      </c>
      <c r="F348" s="1" t="s">
        <v>234</v>
      </c>
      <c r="G348" s="1" t="s">
        <v>12</v>
      </c>
      <c r="H348" s="1" t="s">
        <v>18</v>
      </c>
    </row>
    <row r="349" spans="1:8">
      <c r="A349" s="1" t="s">
        <v>1085</v>
      </c>
      <c r="B349" s="1" t="s">
        <v>3954</v>
      </c>
      <c r="C349" s="1">
        <v>39</v>
      </c>
      <c r="D349" s="1" t="s">
        <v>15</v>
      </c>
      <c r="E349" s="1" t="s">
        <v>1086</v>
      </c>
      <c r="F349" s="1" t="s">
        <v>166</v>
      </c>
      <c r="G349" s="1" t="s">
        <v>12</v>
      </c>
      <c r="H349" s="1" t="s">
        <v>47</v>
      </c>
    </row>
    <row r="350" spans="1:8">
      <c r="A350" s="1" t="s">
        <v>1087</v>
      </c>
      <c r="B350" s="1" t="s">
        <v>1088</v>
      </c>
      <c r="C350" s="1">
        <v>55</v>
      </c>
      <c r="D350" s="1" t="s">
        <v>9</v>
      </c>
      <c r="E350" s="1" t="s">
        <v>1089</v>
      </c>
      <c r="F350" s="1" t="s">
        <v>51</v>
      </c>
      <c r="G350" s="1" t="s">
        <v>12</v>
      </c>
      <c r="H350" s="1" t="s">
        <v>30</v>
      </c>
    </row>
    <row r="351" spans="1:8">
      <c r="A351" s="1" t="s">
        <v>1090</v>
      </c>
      <c r="B351" s="1" t="s">
        <v>1091</v>
      </c>
      <c r="C351" s="1">
        <v>31</v>
      </c>
      <c r="D351" s="1" t="s">
        <v>9</v>
      </c>
      <c r="E351" s="1" t="s">
        <v>1092</v>
      </c>
      <c r="F351" s="1" t="s">
        <v>162</v>
      </c>
      <c r="G351" s="1" t="s">
        <v>12</v>
      </c>
      <c r="H351" s="1" t="s">
        <v>25</v>
      </c>
    </row>
    <row r="352" spans="1:8">
      <c r="A352" s="1" t="s">
        <v>1093</v>
      </c>
      <c r="B352" s="1" t="s">
        <v>1094</v>
      </c>
      <c r="C352" s="1">
        <v>26</v>
      </c>
      <c r="D352" s="1" t="s">
        <v>9</v>
      </c>
      <c r="E352" s="1" t="s">
        <v>1095</v>
      </c>
      <c r="F352" s="1" t="s">
        <v>264</v>
      </c>
      <c r="G352" s="1" t="s">
        <v>12</v>
      </c>
      <c r="H352" s="1" t="s">
        <v>30</v>
      </c>
    </row>
    <row r="353" spans="1:8">
      <c r="A353" s="1" t="s">
        <v>1096</v>
      </c>
      <c r="B353" s="1" t="s">
        <v>1097</v>
      </c>
      <c r="C353" s="1">
        <v>25</v>
      </c>
      <c r="D353" s="1" t="s">
        <v>15</v>
      </c>
      <c r="E353" s="1" t="s">
        <v>1098</v>
      </c>
      <c r="F353" s="1" t="s">
        <v>70</v>
      </c>
      <c r="G353" s="1" t="s">
        <v>12</v>
      </c>
      <c r="H353" s="1" t="s">
        <v>25</v>
      </c>
    </row>
    <row r="354" spans="1:8">
      <c r="A354" s="1" t="s">
        <v>1099</v>
      </c>
      <c r="B354" s="1" t="s">
        <v>1100</v>
      </c>
      <c r="C354" s="1">
        <v>52</v>
      </c>
      <c r="D354" s="1" t="s">
        <v>15</v>
      </c>
      <c r="E354" s="1" t="s">
        <v>1101</v>
      </c>
      <c r="F354" s="1" t="s">
        <v>319</v>
      </c>
      <c r="G354" s="1" t="s">
        <v>12</v>
      </c>
      <c r="H354" s="1" t="s">
        <v>30</v>
      </c>
    </row>
    <row r="355" spans="1:8">
      <c r="A355" s="1" t="s">
        <v>1102</v>
      </c>
      <c r="B355" s="1" t="s">
        <v>3955</v>
      </c>
      <c r="C355" s="1">
        <v>56</v>
      </c>
      <c r="D355" s="1" t="s">
        <v>15</v>
      </c>
      <c r="E355" s="1" t="s">
        <v>1103</v>
      </c>
      <c r="F355" s="1" t="s">
        <v>34</v>
      </c>
      <c r="G355" s="1" t="s">
        <v>12</v>
      </c>
      <c r="H355" s="1" t="s">
        <v>18</v>
      </c>
    </row>
    <row r="356" spans="1:8">
      <c r="A356" s="1" t="s">
        <v>1104</v>
      </c>
      <c r="B356" s="1" t="s">
        <v>1105</v>
      </c>
      <c r="C356" s="1">
        <v>38</v>
      </c>
      <c r="D356" s="1" t="s">
        <v>9</v>
      </c>
      <c r="E356" s="1" t="s">
        <v>1106</v>
      </c>
      <c r="F356" s="1" t="s">
        <v>166</v>
      </c>
      <c r="G356" s="1" t="s">
        <v>12</v>
      </c>
      <c r="H356" s="1" t="s">
        <v>30</v>
      </c>
    </row>
    <row r="357" spans="1:8">
      <c r="A357" s="1" t="s">
        <v>1107</v>
      </c>
      <c r="B357" s="1" t="s">
        <v>1108</v>
      </c>
      <c r="C357" s="1">
        <v>20</v>
      </c>
      <c r="D357" s="1" t="s">
        <v>9</v>
      </c>
      <c r="E357" s="1" t="s">
        <v>1109</v>
      </c>
      <c r="F357" s="1" t="s">
        <v>74</v>
      </c>
      <c r="G357" s="1" t="s">
        <v>12</v>
      </c>
      <c r="H357" s="1" t="s">
        <v>47</v>
      </c>
    </row>
    <row r="358" spans="1:8">
      <c r="A358" s="1" t="s">
        <v>1110</v>
      </c>
      <c r="B358" s="1" t="s">
        <v>1111</v>
      </c>
      <c r="C358" s="1">
        <v>54</v>
      </c>
      <c r="D358" s="1" t="s">
        <v>9</v>
      </c>
      <c r="E358" s="1" t="s">
        <v>1112</v>
      </c>
      <c r="F358" s="1" t="s">
        <v>284</v>
      </c>
      <c r="G358" s="1" t="s">
        <v>12</v>
      </c>
      <c r="H358" s="1" t="s">
        <v>25</v>
      </c>
    </row>
    <row r="359" spans="1:8">
      <c r="A359" s="1" t="s">
        <v>1113</v>
      </c>
      <c r="B359" s="1" t="s">
        <v>1114</v>
      </c>
      <c r="C359" s="1">
        <v>41</v>
      </c>
      <c r="D359" s="1" t="s">
        <v>9</v>
      </c>
      <c r="E359" s="1" t="s">
        <v>1115</v>
      </c>
      <c r="F359" s="1" t="s">
        <v>234</v>
      </c>
      <c r="G359" s="1" t="s">
        <v>12</v>
      </c>
      <c r="H359" s="1" t="s">
        <v>47</v>
      </c>
    </row>
    <row r="360" spans="1:8">
      <c r="A360" s="1" t="s">
        <v>1116</v>
      </c>
      <c r="B360" s="1" t="s">
        <v>1117</v>
      </c>
      <c r="C360" s="1">
        <v>60</v>
      </c>
      <c r="D360" s="1" t="s">
        <v>15</v>
      </c>
      <c r="E360" s="1" t="s">
        <v>1118</v>
      </c>
      <c r="F360" s="1" t="s">
        <v>309</v>
      </c>
      <c r="G360" s="1" t="s">
        <v>12</v>
      </c>
      <c r="H360" s="1" t="s">
        <v>47</v>
      </c>
    </row>
    <row r="361" spans="1:8">
      <c r="A361" s="1" t="s">
        <v>1119</v>
      </c>
      <c r="B361" s="1" t="s">
        <v>1120</v>
      </c>
      <c r="C361" s="1">
        <v>32</v>
      </c>
      <c r="D361" s="1" t="s">
        <v>9</v>
      </c>
      <c r="E361" s="1" t="s">
        <v>1121</v>
      </c>
      <c r="F361" s="1" t="s">
        <v>62</v>
      </c>
      <c r="G361" s="1" t="s">
        <v>12</v>
      </c>
      <c r="H361" s="1" t="s">
        <v>30</v>
      </c>
    </row>
    <row r="362" spans="1:8">
      <c r="A362" s="1" t="s">
        <v>1122</v>
      </c>
      <c r="B362" s="1" t="s">
        <v>1123</v>
      </c>
      <c r="C362" s="1">
        <v>34</v>
      </c>
      <c r="D362" s="1" t="s">
        <v>9</v>
      </c>
      <c r="E362" s="1" t="s">
        <v>1124</v>
      </c>
      <c r="F362" s="1" t="s">
        <v>288</v>
      </c>
      <c r="G362" s="1" t="s">
        <v>12</v>
      </c>
      <c r="H362" s="1" t="s">
        <v>18</v>
      </c>
    </row>
    <row r="363" spans="1:8">
      <c r="A363" s="1" t="s">
        <v>1125</v>
      </c>
      <c r="B363" s="1" t="s">
        <v>1126</v>
      </c>
      <c r="C363" s="1">
        <v>64</v>
      </c>
      <c r="D363" s="1" t="s">
        <v>9</v>
      </c>
      <c r="E363" s="1" t="s">
        <v>1127</v>
      </c>
      <c r="F363" s="1" t="s">
        <v>251</v>
      </c>
      <c r="G363" s="1" t="s">
        <v>12</v>
      </c>
      <c r="H363" s="1" t="s">
        <v>18</v>
      </c>
    </row>
    <row r="364" spans="1:8">
      <c r="A364" s="1" t="s">
        <v>1128</v>
      </c>
      <c r="B364" s="1" t="s">
        <v>3956</v>
      </c>
      <c r="C364" s="1">
        <v>60</v>
      </c>
      <c r="D364" s="1" t="s">
        <v>9</v>
      </c>
      <c r="E364" s="1" t="s">
        <v>1129</v>
      </c>
      <c r="F364" s="1" t="s">
        <v>162</v>
      </c>
      <c r="G364" s="1" t="s">
        <v>12</v>
      </c>
      <c r="H364" s="1" t="s">
        <v>47</v>
      </c>
    </row>
    <row r="365" spans="1:8">
      <c r="A365" s="1" t="s">
        <v>1130</v>
      </c>
      <c r="B365" s="1" t="s">
        <v>1131</v>
      </c>
      <c r="C365" s="1">
        <v>23</v>
      </c>
      <c r="D365" s="1" t="s">
        <v>9</v>
      </c>
      <c r="E365" s="1" t="s">
        <v>1132</v>
      </c>
      <c r="F365" s="1" t="s">
        <v>24</v>
      </c>
      <c r="G365" s="1" t="s">
        <v>12</v>
      </c>
      <c r="H365" s="1" t="s">
        <v>25</v>
      </c>
    </row>
    <row r="366" spans="1:8">
      <c r="A366" s="1" t="s">
        <v>1133</v>
      </c>
      <c r="B366" s="1" t="s">
        <v>1134</v>
      </c>
      <c r="C366" s="1">
        <v>58</v>
      </c>
      <c r="D366" s="1" t="s">
        <v>9</v>
      </c>
      <c r="E366" s="1" t="s">
        <v>1135</v>
      </c>
      <c r="F366" s="1" t="s">
        <v>133</v>
      </c>
      <c r="G366" s="1" t="s">
        <v>12</v>
      </c>
      <c r="H366" s="1" t="s">
        <v>25</v>
      </c>
    </row>
    <row r="367" spans="1:8">
      <c r="A367" s="1" t="s">
        <v>1136</v>
      </c>
      <c r="B367" s="1" t="s">
        <v>1137</v>
      </c>
      <c r="C367" s="1">
        <v>63</v>
      </c>
      <c r="D367" s="1" t="s">
        <v>15</v>
      </c>
      <c r="E367" s="1" t="s">
        <v>1138</v>
      </c>
      <c r="F367" s="1" t="s">
        <v>162</v>
      </c>
      <c r="G367" s="1" t="s">
        <v>12</v>
      </c>
      <c r="H367" s="1" t="s">
        <v>18</v>
      </c>
    </row>
    <row r="368" spans="1:8">
      <c r="A368" s="1" t="s">
        <v>1139</v>
      </c>
      <c r="B368" s="1" t="s">
        <v>1140</v>
      </c>
      <c r="C368" s="1">
        <v>40</v>
      </c>
      <c r="D368" s="1" t="s">
        <v>15</v>
      </c>
      <c r="E368" s="1" t="s">
        <v>1141</v>
      </c>
      <c r="F368" s="1" t="s">
        <v>21</v>
      </c>
      <c r="G368" s="1" t="s">
        <v>12</v>
      </c>
      <c r="H368" s="1" t="s">
        <v>18</v>
      </c>
    </row>
    <row r="369" spans="1:8">
      <c r="A369" s="1" t="s">
        <v>1142</v>
      </c>
      <c r="B369" s="1" t="s">
        <v>1143</v>
      </c>
      <c r="C369" s="1">
        <v>51</v>
      </c>
      <c r="D369" s="1" t="s">
        <v>9</v>
      </c>
      <c r="E369" s="1" t="s">
        <v>1144</v>
      </c>
      <c r="F369" s="1" t="s">
        <v>24</v>
      </c>
      <c r="G369" s="1" t="s">
        <v>12</v>
      </c>
      <c r="H369" s="1" t="s">
        <v>25</v>
      </c>
    </row>
    <row r="370" spans="1:8">
      <c r="A370" s="1" t="s">
        <v>1145</v>
      </c>
      <c r="B370" s="1" t="s">
        <v>1146</v>
      </c>
      <c r="C370" s="1">
        <v>34</v>
      </c>
      <c r="D370" s="1" t="s">
        <v>15</v>
      </c>
      <c r="E370" s="1" t="s">
        <v>1147</v>
      </c>
      <c r="F370" s="1" t="s">
        <v>58</v>
      </c>
      <c r="G370" s="1" t="s">
        <v>12</v>
      </c>
      <c r="H370" s="1" t="s">
        <v>18</v>
      </c>
    </row>
    <row r="371" spans="1:8">
      <c r="A371" s="1" t="s">
        <v>1148</v>
      </c>
      <c r="B371" s="1" t="s">
        <v>1149</v>
      </c>
      <c r="C371" s="1">
        <v>20</v>
      </c>
      <c r="D371" s="1" t="s">
        <v>15</v>
      </c>
      <c r="E371" s="1" t="s">
        <v>1150</v>
      </c>
      <c r="F371" s="1" t="s">
        <v>170</v>
      </c>
      <c r="G371" s="1" t="s">
        <v>12</v>
      </c>
      <c r="H371" s="1" t="s">
        <v>18</v>
      </c>
    </row>
    <row r="372" spans="1:8">
      <c r="A372" s="1" t="s">
        <v>1151</v>
      </c>
      <c r="B372" s="1" t="s">
        <v>1152</v>
      </c>
      <c r="C372" s="1">
        <v>45</v>
      </c>
      <c r="D372" s="1" t="s">
        <v>9</v>
      </c>
      <c r="E372" s="1" t="s">
        <v>1153</v>
      </c>
      <c r="F372" s="1" t="s">
        <v>251</v>
      </c>
      <c r="G372" s="1" t="s">
        <v>12</v>
      </c>
      <c r="H372" s="1" t="s">
        <v>30</v>
      </c>
    </row>
    <row r="373" spans="1:8">
      <c r="A373" s="1" t="s">
        <v>1154</v>
      </c>
      <c r="B373" s="1" t="s">
        <v>1155</v>
      </c>
      <c r="C373" s="1">
        <v>21</v>
      </c>
      <c r="D373" s="1" t="s">
        <v>15</v>
      </c>
      <c r="E373" s="1" t="s">
        <v>1156</v>
      </c>
      <c r="F373" s="1" t="s">
        <v>46</v>
      </c>
      <c r="G373" s="1" t="s">
        <v>12</v>
      </c>
      <c r="H373" s="1" t="s">
        <v>18</v>
      </c>
    </row>
    <row r="374" spans="1:8">
      <c r="A374" s="1" t="s">
        <v>1157</v>
      </c>
      <c r="B374" s="1" t="s">
        <v>1158</v>
      </c>
      <c r="C374" s="1">
        <v>28</v>
      </c>
      <c r="D374" s="1" t="s">
        <v>9</v>
      </c>
      <c r="E374" s="1" t="s">
        <v>1159</v>
      </c>
      <c r="F374" s="1" t="s">
        <v>24</v>
      </c>
      <c r="G374" s="1" t="s">
        <v>12</v>
      </c>
      <c r="H374" s="1" t="s">
        <v>25</v>
      </c>
    </row>
    <row r="375" spans="1:8">
      <c r="A375" s="1" t="s">
        <v>1160</v>
      </c>
      <c r="B375" s="1" t="s">
        <v>1161</v>
      </c>
      <c r="C375" s="1">
        <v>37</v>
      </c>
      <c r="D375" s="1" t="s">
        <v>15</v>
      </c>
      <c r="E375" s="1" t="s">
        <v>1162</v>
      </c>
      <c r="F375" s="1" t="s">
        <v>430</v>
      </c>
      <c r="G375" s="1" t="s">
        <v>12</v>
      </c>
      <c r="H375" s="1" t="s">
        <v>47</v>
      </c>
    </row>
    <row r="376" spans="1:8">
      <c r="A376" s="1" t="s">
        <v>1163</v>
      </c>
      <c r="B376" s="1" t="s">
        <v>1164</v>
      </c>
      <c r="C376" s="1">
        <v>60</v>
      </c>
      <c r="D376" s="1" t="s">
        <v>9</v>
      </c>
      <c r="E376" s="1" t="s">
        <v>1165</v>
      </c>
      <c r="F376" s="1" t="s">
        <v>99</v>
      </c>
      <c r="G376" s="1" t="s">
        <v>12</v>
      </c>
      <c r="H376" s="1" t="s">
        <v>18</v>
      </c>
    </row>
    <row r="377" spans="1:8">
      <c r="A377" s="1" t="s">
        <v>1166</v>
      </c>
      <c r="B377" s="1" t="s">
        <v>1167</v>
      </c>
      <c r="C377" s="1">
        <v>26</v>
      </c>
      <c r="D377" s="1" t="s">
        <v>9</v>
      </c>
      <c r="E377" s="1" t="s">
        <v>1168</v>
      </c>
      <c r="F377" s="1" t="s">
        <v>198</v>
      </c>
      <c r="G377" s="1" t="s">
        <v>12</v>
      </c>
      <c r="H377" s="1" t="s">
        <v>18</v>
      </c>
    </row>
    <row r="378" spans="1:8">
      <c r="A378" s="1" t="s">
        <v>1169</v>
      </c>
      <c r="B378" s="1" t="s">
        <v>1170</v>
      </c>
      <c r="C378" s="1">
        <v>30</v>
      </c>
      <c r="D378" s="1" t="s">
        <v>9</v>
      </c>
      <c r="E378" s="1" t="s">
        <v>1171</v>
      </c>
      <c r="F378" s="1" t="s">
        <v>166</v>
      </c>
      <c r="G378" s="1" t="s">
        <v>12</v>
      </c>
      <c r="H378" s="1" t="s">
        <v>25</v>
      </c>
    </row>
    <row r="379" spans="1:8">
      <c r="A379" s="1" t="s">
        <v>1172</v>
      </c>
      <c r="B379" s="1" t="s">
        <v>1173</v>
      </c>
      <c r="C379" s="1">
        <v>39</v>
      </c>
      <c r="D379" s="1" t="s">
        <v>15</v>
      </c>
      <c r="E379" s="1" t="s">
        <v>1174</v>
      </c>
      <c r="F379" s="1" t="s">
        <v>430</v>
      </c>
      <c r="G379" s="1" t="s">
        <v>12</v>
      </c>
      <c r="H379" s="1" t="s">
        <v>47</v>
      </c>
    </row>
    <row r="380" spans="1:8">
      <c r="A380" s="1" t="s">
        <v>1175</v>
      </c>
      <c r="B380" s="1" t="s">
        <v>1176</v>
      </c>
      <c r="C380" s="1">
        <v>44</v>
      </c>
      <c r="D380" s="1" t="s">
        <v>15</v>
      </c>
      <c r="E380" s="1" t="s">
        <v>1177</v>
      </c>
      <c r="F380" s="1" t="s">
        <v>92</v>
      </c>
      <c r="G380" s="1" t="s">
        <v>12</v>
      </c>
      <c r="H380" s="1" t="s">
        <v>25</v>
      </c>
    </row>
    <row r="381" spans="1:8">
      <c r="A381" s="1" t="s">
        <v>1178</v>
      </c>
      <c r="B381" s="1" t="s">
        <v>1179</v>
      </c>
      <c r="C381" s="1">
        <v>34</v>
      </c>
      <c r="D381" s="1" t="s">
        <v>15</v>
      </c>
      <c r="E381" s="1" t="s">
        <v>1180</v>
      </c>
      <c r="F381" s="1" t="s">
        <v>264</v>
      </c>
      <c r="G381" s="1" t="s">
        <v>12</v>
      </c>
      <c r="H381" s="1" t="s">
        <v>47</v>
      </c>
    </row>
    <row r="382" spans="1:8">
      <c r="A382" s="1" t="s">
        <v>1181</v>
      </c>
      <c r="B382" s="1" t="s">
        <v>1182</v>
      </c>
      <c r="C382" s="1">
        <v>23</v>
      </c>
      <c r="D382" s="1" t="s">
        <v>9</v>
      </c>
      <c r="E382" s="1" t="s">
        <v>1183</v>
      </c>
      <c r="F382" s="1" t="s">
        <v>214</v>
      </c>
      <c r="G382" s="1" t="s">
        <v>12</v>
      </c>
      <c r="H382" s="1" t="s">
        <v>47</v>
      </c>
    </row>
    <row r="383" spans="1:8">
      <c r="A383" s="1" t="s">
        <v>1184</v>
      </c>
      <c r="B383" s="1" t="s">
        <v>1185</v>
      </c>
      <c r="C383" s="1">
        <v>50</v>
      </c>
      <c r="D383" s="1" t="s">
        <v>9</v>
      </c>
      <c r="E383" s="1" t="s">
        <v>1186</v>
      </c>
      <c r="F383" s="1" t="s">
        <v>21</v>
      </c>
      <c r="G383" s="1" t="s">
        <v>12</v>
      </c>
      <c r="H383" s="1" t="s">
        <v>30</v>
      </c>
    </row>
    <row r="384" spans="1:8">
      <c r="A384" s="1" t="s">
        <v>1187</v>
      </c>
      <c r="B384" s="1" t="s">
        <v>1188</v>
      </c>
      <c r="C384" s="1">
        <v>20</v>
      </c>
      <c r="D384" s="1" t="s">
        <v>15</v>
      </c>
      <c r="E384" s="1" t="s">
        <v>1189</v>
      </c>
      <c r="F384" s="1" t="s">
        <v>29</v>
      </c>
      <c r="G384" s="1" t="s">
        <v>12</v>
      </c>
      <c r="H384" s="1" t="s">
        <v>47</v>
      </c>
    </row>
    <row r="385" spans="1:8">
      <c r="A385" s="1" t="s">
        <v>1190</v>
      </c>
      <c r="B385" s="1" t="s">
        <v>1191</v>
      </c>
      <c r="C385" s="1">
        <v>27</v>
      </c>
      <c r="D385" s="1" t="s">
        <v>15</v>
      </c>
      <c r="E385" s="1" t="s">
        <v>1192</v>
      </c>
      <c r="F385" s="1" t="s">
        <v>312</v>
      </c>
      <c r="G385" s="1" t="s">
        <v>12</v>
      </c>
      <c r="H385" s="1" t="s">
        <v>30</v>
      </c>
    </row>
    <row r="386" spans="1:8">
      <c r="A386" s="1" t="s">
        <v>1193</v>
      </c>
      <c r="B386" s="1" t="s">
        <v>1194</v>
      </c>
      <c r="C386" s="1">
        <v>52</v>
      </c>
      <c r="D386" s="1" t="s">
        <v>15</v>
      </c>
      <c r="E386" s="1" t="s">
        <v>1195</v>
      </c>
      <c r="F386" s="1" t="s">
        <v>264</v>
      </c>
      <c r="G386" s="1" t="s">
        <v>12</v>
      </c>
      <c r="H386" s="1" t="s">
        <v>25</v>
      </c>
    </row>
    <row r="387" spans="1:8">
      <c r="A387" s="1" t="s">
        <v>1196</v>
      </c>
      <c r="B387" s="1" t="s">
        <v>1197</v>
      </c>
      <c r="C387" s="1">
        <v>60</v>
      </c>
      <c r="D387" s="1" t="s">
        <v>9</v>
      </c>
      <c r="E387" s="1" t="s">
        <v>1198</v>
      </c>
      <c r="F387" s="1" t="s">
        <v>312</v>
      </c>
      <c r="G387" s="1" t="s">
        <v>12</v>
      </c>
      <c r="H387" s="1" t="s">
        <v>47</v>
      </c>
    </row>
    <row r="388" spans="1:8">
      <c r="A388" s="1" t="s">
        <v>1199</v>
      </c>
      <c r="B388" s="1" t="s">
        <v>1200</v>
      </c>
      <c r="C388" s="1">
        <v>18</v>
      </c>
      <c r="D388" s="1" t="s">
        <v>15</v>
      </c>
      <c r="E388" s="1" t="s">
        <v>1201</v>
      </c>
      <c r="F388" s="1" t="s">
        <v>139</v>
      </c>
      <c r="G388" s="1" t="s">
        <v>12</v>
      </c>
      <c r="H388" s="1" t="s">
        <v>25</v>
      </c>
    </row>
    <row r="389" spans="1:8">
      <c r="A389" s="1" t="s">
        <v>1202</v>
      </c>
      <c r="B389" s="1" t="s">
        <v>1203</v>
      </c>
      <c r="C389" s="1">
        <v>28</v>
      </c>
      <c r="D389" s="1" t="s">
        <v>15</v>
      </c>
      <c r="E389" s="1" t="s">
        <v>1204</v>
      </c>
      <c r="F389" s="1" t="s">
        <v>88</v>
      </c>
      <c r="G389" s="1" t="s">
        <v>12</v>
      </c>
      <c r="H389" s="1" t="s">
        <v>30</v>
      </c>
    </row>
    <row r="390" spans="1:8">
      <c r="A390" s="1" t="s">
        <v>1205</v>
      </c>
      <c r="B390" s="1" t="s">
        <v>1206</v>
      </c>
      <c r="C390" s="1">
        <v>53</v>
      </c>
      <c r="D390" s="1" t="s">
        <v>9</v>
      </c>
      <c r="E390" s="1" t="s">
        <v>1207</v>
      </c>
      <c r="F390" s="1" t="s">
        <v>113</v>
      </c>
      <c r="G390" s="1" t="s">
        <v>12</v>
      </c>
      <c r="H390" s="1" t="s">
        <v>18</v>
      </c>
    </row>
    <row r="391" spans="1:8">
      <c r="A391" s="1" t="s">
        <v>1208</v>
      </c>
      <c r="B391" s="1" t="s">
        <v>1209</v>
      </c>
      <c r="C391" s="1">
        <v>50</v>
      </c>
      <c r="D391" s="1" t="s">
        <v>9</v>
      </c>
      <c r="E391" s="1" t="s">
        <v>1210</v>
      </c>
      <c r="F391" s="1" t="s">
        <v>70</v>
      </c>
      <c r="G391" s="1" t="s">
        <v>12</v>
      </c>
      <c r="H391" s="1" t="s">
        <v>18</v>
      </c>
    </row>
    <row r="392" spans="1:8">
      <c r="A392" s="1" t="s">
        <v>1211</v>
      </c>
      <c r="B392" s="1" t="s">
        <v>1212</v>
      </c>
      <c r="C392" s="1">
        <v>56</v>
      </c>
      <c r="D392" s="1" t="s">
        <v>9</v>
      </c>
      <c r="E392" s="1" t="s">
        <v>1213</v>
      </c>
      <c r="F392" s="1" t="s">
        <v>288</v>
      </c>
      <c r="G392" s="1" t="s">
        <v>12</v>
      </c>
      <c r="H392" s="1" t="s">
        <v>30</v>
      </c>
    </row>
    <row r="393" spans="1:8">
      <c r="A393" s="1" t="s">
        <v>1214</v>
      </c>
      <c r="B393" s="1" t="s">
        <v>1215</v>
      </c>
      <c r="C393" s="1">
        <v>40</v>
      </c>
      <c r="D393" s="1" t="s">
        <v>15</v>
      </c>
      <c r="E393" s="1" t="s">
        <v>1216</v>
      </c>
      <c r="F393" s="1" t="s">
        <v>34</v>
      </c>
      <c r="G393" s="1" t="s">
        <v>12</v>
      </c>
      <c r="H393" s="1" t="s">
        <v>25</v>
      </c>
    </row>
    <row r="394" spans="1:8">
      <c r="A394" s="1" t="s">
        <v>1217</v>
      </c>
      <c r="B394" s="1" t="s">
        <v>1218</v>
      </c>
      <c r="C394" s="1">
        <v>46</v>
      </c>
      <c r="D394" s="1" t="s">
        <v>9</v>
      </c>
      <c r="E394" s="1" t="s">
        <v>1219</v>
      </c>
      <c r="F394" s="1" t="s">
        <v>113</v>
      </c>
      <c r="G394" s="1" t="s">
        <v>12</v>
      </c>
      <c r="H394" s="1" t="s">
        <v>47</v>
      </c>
    </row>
    <row r="395" spans="1:8">
      <c r="A395" s="1" t="s">
        <v>1220</v>
      </c>
      <c r="B395" s="1" t="s">
        <v>1221</v>
      </c>
      <c r="C395" s="1">
        <v>46</v>
      </c>
      <c r="D395" s="1" t="s">
        <v>9</v>
      </c>
      <c r="E395" s="1" t="s">
        <v>1222</v>
      </c>
      <c r="F395" s="1" t="s">
        <v>117</v>
      </c>
      <c r="G395" s="1" t="s">
        <v>12</v>
      </c>
      <c r="H395" s="1" t="s">
        <v>25</v>
      </c>
    </row>
    <row r="396" spans="1:8">
      <c r="A396" s="1" t="s">
        <v>1223</v>
      </c>
      <c r="B396" s="1" t="s">
        <v>1224</v>
      </c>
      <c r="C396" s="1">
        <v>43</v>
      </c>
      <c r="D396" s="1" t="s">
        <v>15</v>
      </c>
      <c r="E396" s="1" t="s">
        <v>1225</v>
      </c>
      <c r="F396" s="1" t="s">
        <v>166</v>
      </c>
      <c r="G396" s="1" t="s">
        <v>12</v>
      </c>
      <c r="H396" s="1" t="s">
        <v>25</v>
      </c>
    </row>
    <row r="397" spans="1:8">
      <c r="A397" s="1" t="s">
        <v>1226</v>
      </c>
      <c r="B397" s="1" t="s">
        <v>1227</v>
      </c>
      <c r="C397" s="1">
        <v>50</v>
      </c>
      <c r="D397" s="1" t="s">
        <v>9</v>
      </c>
      <c r="E397" s="1" t="s">
        <v>1228</v>
      </c>
      <c r="F397" s="1" t="s">
        <v>62</v>
      </c>
      <c r="G397" s="1" t="s">
        <v>12</v>
      </c>
      <c r="H397" s="1" t="s">
        <v>47</v>
      </c>
    </row>
    <row r="398" spans="1:8">
      <c r="A398" s="1" t="s">
        <v>1229</v>
      </c>
      <c r="B398" s="1" t="s">
        <v>1230</v>
      </c>
      <c r="C398" s="1">
        <v>25</v>
      </c>
      <c r="D398" s="1" t="s">
        <v>15</v>
      </c>
      <c r="E398" s="1" t="s">
        <v>1231</v>
      </c>
      <c r="F398" s="1" t="s">
        <v>58</v>
      </c>
      <c r="G398" s="1" t="s">
        <v>12</v>
      </c>
      <c r="H398" s="1" t="s">
        <v>30</v>
      </c>
    </row>
    <row r="399" spans="1:8">
      <c r="A399" s="1" t="s">
        <v>1232</v>
      </c>
      <c r="B399" s="1" t="s">
        <v>3957</v>
      </c>
      <c r="C399" s="1">
        <v>62</v>
      </c>
      <c r="D399" s="1" t="s">
        <v>15</v>
      </c>
      <c r="E399" s="1" t="s">
        <v>123</v>
      </c>
      <c r="F399" s="1" t="s">
        <v>62</v>
      </c>
      <c r="G399" s="1" t="s">
        <v>12</v>
      </c>
      <c r="H399" s="1" t="s">
        <v>18</v>
      </c>
    </row>
    <row r="400" spans="1:8">
      <c r="A400" s="1" t="s">
        <v>1233</v>
      </c>
      <c r="B400" s="1" t="s">
        <v>1234</v>
      </c>
      <c r="C400" s="1">
        <v>54</v>
      </c>
      <c r="D400" s="1" t="s">
        <v>9</v>
      </c>
      <c r="E400" s="1" t="s">
        <v>1235</v>
      </c>
      <c r="F400" s="1" t="s">
        <v>46</v>
      </c>
      <c r="G400" s="1" t="s">
        <v>12</v>
      </c>
      <c r="H400" s="1" t="s">
        <v>25</v>
      </c>
    </row>
    <row r="401" spans="1:8">
      <c r="A401" s="1" t="s">
        <v>1236</v>
      </c>
      <c r="B401" s="1" t="s">
        <v>1237</v>
      </c>
      <c r="C401" s="1">
        <v>27</v>
      </c>
      <c r="D401" s="1" t="s">
        <v>9</v>
      </c>
      <c r="E401" s="1" t="s">
        <v>1238</v>
      </c>
      <c r="F401" s="1" t="s">
        <v>430</v>
      </c>
      <c r="G401" s="1" t="s">
        <v>12</v>
      </c>
      <c r="H401" s="1" t="s">
        <v>25</v>
      </c>
    </row>
    <row r="402" spans="1:8">
      <c r="A402" s="1" t="s">
        <v>1239</v>
      </c>
      <c r="B402" s="1" t="s">
        <v>1240</v>
      </c>
      <c r="C402" s="1">
        <v>57</v>
      </c>
      <c r="D402" s="1" t="s">
        <v>15</v>
      </c>
      <c r="E402" s="1" t="s">
        <v>1241</v>
      </c>
      <c r="F402" s="1" t="s">
        <v>96</v>
      </c>
      <c r="G402" s="1" t="s">
        <v>12</v>
      </c>
      <c r="H402" s="1" t="s">
        <v>18</v>
      </c>
    </row>
    <row r="403" spans="1:8">
      <c r="A403" s="1" t="s">
        <v>1242</v>
      </c>
      <c r="B403" s="1" t="s">
        <v>1243</v>
      </c>
      <c r="C403" s="1">
        <v>51</v>
      </c>
      <c r="D403" s="1" t="s">
        <v>15</v>
      </c>
      <c r="E403" s="1" t="s">
        <v>1244</v>
      </c>
      <c r="F403" s="1" t="s">
        <v>181</v>
      </c>
      <c r="G403" s="1" t="s">
        <v>12</v>
      </c>
      <c r="H403" s="1" t="s">
        <v>18</v>
      </c>
    </row>
    <row r="404" spans="1:8">
      <c r="A404" s="1" t="s">
        <v>1245</v>
      </c>
      <c r="B404" s="1" t="s">
        <v>1246</v>
      </c>
      <c r="C404" s="1">
        <v>31</v>
      </c>
      <c r="D404" s="1" t="s">
        <v>9</v>
      </c>
      <c r="E404" s="1" t="s">
        <v>80</v>
      </c>
      <c r="F404" s="1" t="s">
        <v>309</v>
      </c>
      <c r="G404" s="1" t="s">
        <v>12</v>
      </c>
      <c r="H404" s="1" t="s">
        <v>25</v>
      </c>
    </row>
    <row r="405" spans="1:8">
      <c r="A405" s="1" t="s">
        <v>1247</v>
      </c>
      <c r="B405" s="1" t="s">
        <v>1248</v>
      </c>
      <c r="C405" s="1">
        <v>34</v>
      </c>
      <c r="D405" s="1" t="s">
        <v>9</v>
      </c>
      <c r="E405" s="1" t="s">
        <v>1249</v>
      </c>
      <c r="F405" s="1" t="s">
        <v>323</v>
      </c>
      <c r="G405" s="1" t="s">
        <v>12</v>
      </c>
      <c r="H405" s="1" t="s">
        <v>25</v>
      </c>
    </row>
    <row r="406" spans="1:8">
      <c r="A406" s="1" t="s">
        <v>1250</v>
      </c>
      <c r="B406" s="1" t="s">
        <v>1251</v>
      </c>
      <c r="C406" s="1">
        <v>22</v>
      </c>
      <c r="D406" s="1" t="s">
        <v>15</v>
      </c>
      <c r="E406" s="1" t="s">
        <v>1252</v>
      </c>
      <c r="F406" s="1" t="s">
        <v>288</v>
      </c>
      <c r="G406" s="1" t="s">
        <v>12</v>
      </c>
      <c r="H406" s="1" t="s">
        <v>30</v>
      </c>
    </row>
    <row r="407" spans="1:8">
      <c r="A407" s="1" t="s">
        <v>1253</v>
      </c>
      <c r="B407" s="1" t="s">
        <v>1254</v>
      </c>
      <c r="C407" s="1">
        <v>18</v>
      </c>
      <c r="D407" s="1" t="s">
        <v>15</v>
      </c>
      <c r="E407" s="1" t="s">
        <v>1255</v>
      </c>
      <c r="F407" s="1" t="s">
        <v>323</v>
      </c>
      <c r="G407" s="1" t="s">
        <v>12</v>
      </c>
      <c r="H407" s="1" t="s">
        <v>47</v>
      </c>
    </row>
    <row r="408" spans="1:8">
      <c r="A408" s="1" t="s">
        <v>1256</v>
      </c>
      <c r="B408" s="1" t="s">
        <v>1257</v>
      </c>
      <c r="C408" s="1">
        <v>23</v>
      </c>
      <c r="D408" s="1" t="s">
        <v>15</v>
      </c>
      <c r="E408" s="1" t="s">
        <v>1258</v>
      </c>
      <c r="F408" s="1" t="s">
        <v>319</v>
      </c>
      <c r="G408" s="1" t="s">
        <v>12</v>
      </c>
      <c r="H408" s="1" t="s">
        <v>47</v>
      </c>
    </row>
    <row r="409" spans="1:8">
      <c r="A409" s="1" t="s">
        <v>1259</v>
      </c>
      <c r="B409" s="1" t="s">
        <v>1260</v>
      </c>
      <c r="C409" s="1">
        <v>33</v>
      </c>
      <c r="D409" s="1" t="s">
        <v>9</v>
      </c>
      <c r="E409" s="1" t="s">
        <v>1261</v>
      </c>
      <c r="F409" s="1" t="s">
        <v>139</v>
      </c>
      <c r="G409" s="1" t="s">
        <v>12</v>
      </c>
      <c r="H409" s="1" t="s">
        <v>47</v>
      </c>
    </row>
    <row r="410" spans="1:8">
      <c r="A410" s="1" t="s">
        <v>1262</v>
      </c>
      <c r="B410" s="1" t="s">
        <v>1263</v>
      </c>
      <c r="C410" s="1">
        <v>36</v>
      </c>
      <c r="D410" s="1" t="s">
        <v>9</v>
      </c>
      <c r="E410" s="1" t="s">
        <v>1264</v>
      </c>
      <c r="F410" s="1" t="s">
        <v>88</v>
      </c>
      <c r="G410" s="1" t="s">
        <v>12</v>
      </c>
      <c r="H410" s="1" t="s">
        <v>47</v>
      </c>
    </row>
    <row r="411" spans="1:8">
      <c r="A411" s="1" t="s">
        <v>1265</v>
      </c>
      <c r="B411" s="1" t="s">
        <v>1266</v>
      </c>
      <c r="C411" s="1">
        <v>55</v>
      </c>
      <c r="D411" s="1" t="s">
        <v>9</v>
      </c>
      <c r="E411" s="1" t="s">
        <v>1267</v>
      </c>
      <c r="F411" s="1" t="s">
        <v>845</v>
      </c>
      <c r="G411" s="1" t="s">
        <v>12</v>
      </c>
      <c r="H411" s="1" t="s">
        <v>47</v>
      </c>
    </row>
    <row r="412" spans="1:8">
      <c r="A412" s="1" t="s">
        <v>1268</v>
      </c>
      <c r="B412" s="1" t="s">
        <v>1269</v>
      </c>
      <c r="C412" s="1">
        <v>48</v>
      </c>
      <c r="D412" s="1" t="s">
        <v>15</v>
      </c>
      <c r="E412" s="1" t="s">
        <v>1270</v>
      </c>
      <c r="F412" s="1" t="s">
        <v>88</v>
      </c>
      <c r="G412" s="1" t="s">
        <v>12</v>
      </c>
      <c r="H412" s="1" t="s">
        <v>25</v>
      </c>
    </row>
    <row r="413" spans="1:8">
      <c r="A413" s="1" t="s">
        <v>1271</v>
      </c>
      <c r="B413" s="1" t="s">
        <v>1272</v>
      </c>
      <c r="C413" s="1">
        <v>63</v>
      </c>
      <c r="D413" s="1" t="s">
        <v>9</v>
      </c>
      <c r="E413" s="1" t="s">
        <v>1273</v>
      </c>
      <c r="F413" s="1" t="s">
        <v>24</v>
      </c>
      <c r="G413" s="1" t="s">
        <v>12</v>
      </c>
      <c r="H413" s="1" t="s">
        <v>30</v>
      </c>
    </row>
    <row r="414" spans="1:8">
      <c r="A414" s="1" t="s">
        <v>1274</v>
      </c>
      <c r="B414" s="1" t="s">
        <v>1275</v>
      </c>
      <c r="C414" s="1">
        <v>23</v>
      </c>
      <c r="D414" s="1" t="s">
        <v>15</v>
      </c>
      <c r="E414" s="1" t="s">
        <v>201</v>
      </c>
      <c r="F414" s="1" t="s">
        <v>155</v>
      </c>
      <c r="G414" s="1" t="s">
        <v>12</v>
      </c>
      <c r="H414" s="1" t="s">
        <v>47</v>
      </c>
    </row>
    <row r="415" spans="1:8">
      <c r="A415" s="1" t="s">
        <v>1276</v>
      </c>
      <c r="B415" s="1" t="s">
        <v>1277</v>
      </c>
      <c r="C415" s="1">
        <v>59</v>
      </c>
      <c r="D415" s="1" t="s">
        <v>15</v>
      </c>
      <c r="E415" s="1" t="s">
        <v>1278</v>
      </c>
      <c r="F415" s="1" t="s">
        <v>106</v>
      </c>
      <c r="G415" s="1" t="s">
        <v>12</v>
      </c>
      <c r="H415" s="1" t="s">
        <v>25</v>
      </c>
    </row>
    <row r="416" spans="1:8">
      <c r="A416" s="1" t="s">
        <v>1279</v>
      </c>
      <c r="B416" s="1" t="s">
        <v>1280</v>
      </c>
      <c r="C416" s="1">
        <v>35</v>
      </c>
      <c r="D416" s="1" t="s">
        <v>15</v>
      </c>
      <c r="E416" s="1" t="s">
        <v>1281</v>
      </c>
      <c r="F416" s="1" t="s">
        <v>113</v>
      </c>
      <c r="G416" s="1" t="s">
        <v>12</v>
      </c>
      <c r="H416" s="1" t="s">
        <v>47</v>
      </c>
    </row>
    <row r="417" spans="1:8">
      <c r="A417" s="1" t="s">
        <v>1282</v>
      </c>
      <c r="B417" s="1" t="s">
        <v>1283</v>
      </c>
      <c r="C417" s="1">
        <v>26</v>
      </c>
      <c r="D417" s="1" t="s">
        <v>15</v>
      </c>
      <c r="E417" s="1" t="s">
        <v>1284</v>
      </c>
      <c r="F417" s="1" t="s">
        <v>162</v>
      </c>
      <c r="G417" s="1" t="s">
        <v>12</v>
      </c>
      <c r="H417" s="1" t="s">
        <v>30</v>
      </c>
    </row>
    <row r="418" spans="1:8">
      <c r="A418" s="1" t="s">
        <v>1285</v>
      </c>
      <c r="B418" s="1" t="s">
        <v>1286</v>
      </c>
      <c r="C418" s="1">
        <v>46</v>
      </c>
      <c r="D418" s="1" t="s">
        <v>9</v>
      </c>
      <c r="E418" s="1" t="s">
        <v>1287</v>
      </c>
      <c r="F418" s="1" t="s">
        <v>319</v>
      </c>
      <c r="G418" s="1" t="s">
        <v>12</v>
      </c>
      <c r="H418" s="1" t="s">
        <v>18</v>
      </c>
    </row>
    <row r="419" spans="1:8">
      <c r="A419" s="1" t="s">
        <v>1288</v>
      </c>
      <c r="B419" s="1" t="s">
        <v>1289</v>
      </c>
      <c r="C419" s="1">
        <v>64</v>
      </c>
      <c r="D419" s="1" t="s">
        <v>15</v>
      </c>
      <c r="E419" s="1" t="s">
        <v>1290</v>
      </c>
      <c r="F419" s="1" t="s">
        <v>11</v>
      </c>
      <c r="G419" s="1" t="s">
        <v>12</v>
      </c>
      <c r="H419" s="1" t="s">
        <v>25</v>
      </c>
    </row>
    <row r="420" spans="1:8">
      <c r="A420" s="1" t="s">
        <v>1291</v>
      </c>
      <c r="B420" s="1" t="s">
        <v>1292</v>
      </c>
      <c r="C420" s="1">
        <v>60</v>
      </c>
      <c r="D420" s="1" t="s">
        <v>15</v>
      </c>
      <c r="E420" s="1" t="s">
        <v>1293</v>
      </c>
      <c r="F420" s="1" t="s">
        <v>46</v>
      </c>
      <c r="G420" s="1" t="s">
        <v>12</v>
      </c>
      <c r="H420" s="1" t="s">
        <v>30</v>
      </c>
    </row>
    <row r="421" spans="1:8">
      <c r="A421" s="1" t="s">
        <v>1294</v>
      </c>
      <c r="B421" s="1" t="s">
        <v>1295</v>
      </c>
      <c r="C421" s="1">
        <v>33</v>
      </c>
      <c r="D421" s="1" t="s">
        <v>9</v>
      </c>
      <c r="E421" s="1" t="s">
        <v>1296</v>
      </c>
      <c r="F421" s="1" t="s">
        <v>309</v>
      </c>
      <c r="G421" s="1" t="s">
        <v>12</v>
      </c>
      <c r="H421" s="1" t="s">
        <v>47</v>
      </c>
    </row>
    <row r="422" spans="1:8">
      <c r="A422" s="1" t="s">
        <v>1297</v>
      </c>
      <c r="B422" s="1" t="s">
        <v>3958</v>
      </c>
      <c r="C422" s="1">
        <v>60</v>
      </c>
      <c r="D422" s="1" t="s">
        <v>9</v>
      </c>
      <c r="E422" s="1" t="s">
        <v>1298</v>
      </c>
      <c r="F422" s="1" t="s">
        <v>11</v>
      </c>
      <c r="G422" s="1" t="s">
        <v>12</v>
      </c>
      <c r="H422" s="1" t="s">
        <v>25</v>
      </c>
    </row>
    <row r="423" spans="1:8">
      <c r="A423" s="1" t="s">
        <v>1299</v>
      </c>
      <c r="B423" s="1" t="s">
        <v>1300</v>
      </c>
      <c r="C423" s="1">
        <v>45</v>
      </c>
      <c r="D423" s="1" t="s">
        <v>15</v>
      </c>
      <c r="E423" s="1" t="s">
        <v>1301</v>
      </c>
      <c r="F423" s="1" t="s">
        <v>74</v>
      </c>
      <c r="G423" s="1" t="s">
        <v>12</v>
      </c>
      <c r="H423" s="1" t="s">
        <v>18</v>
      </c>
    </row>
    <row r="424" spans="1:8">
      <c r="A424" s="1" t="s">
        <v>1302</v>
      </c>
      <c r="B424" s="1" t="s">
        <v>3959</v>
      </c>
      <c r="C424" s="1">
        <v>42</v>
      </c>
      <c r="D424" s="1" t="s">
        <v>15</v>
      </c>
      <c r="E424" s="1" t="s">
        <v>1303</v>
      </c>
      <c r="F424" s="1" t="s">
        <v>62</v>
      </c>
      <c r="G424" s="1" t="s">
        <v>12</v>
      </c>
      <c r="H424" s="1" t="s">
        <v>18</v>
      </c>
    </row>
    <row r="425" spans="1:8">
      <c r="A425" s="1" t="s">
        <v>1304</v>
      </c>
      <c r="B425" s="1" t="s">
        <v>1305</v>
      </c>
      <c r="C425" s="1">
        <v>35</v>
      </c>
      <c r="D425" s="1" t="s">
        <v>9</v>
      </c>
      <c r="E425" s="1" t="s">
        <v>1306</v>
      </c>
      <c r="F425" s="1" t="s">
        <v>62</v>
      </c>
      <c r="G425" s="1" t="s">
        <v>12</v>
      </c>
      <c r="H425" s="1" t="s">
        <v>30</v>
      </c>
    </row>
    <row r="426" spans="1:8">
      <c r="A426" s="1" t="s">
        <v>1307</v>
      </c>
      <c r="B426" s="1" t="s">
        <v>1308</v>
      </c>
      <c r="C426" s="1">
        <v>53</v>
      </c>
      <c r="D426" s="1" t="s">
        <v>9</v>
      </c>
      <c r="E426" s="1" t="s">
        <v>1309</v>
      </c>
      <c r="F426" s="1" t="s">
        <v>11</v>
      </c>
      <c r="G426" s="1" t="s">
        <v>12</v>
      </c>
      <c r="H426" s="1" t="s">
        <v>25</v>
      </c>
    </row>
    <row r="427" spans="1:8">
      <c r="A427" s="1" t="s">
        <v>1310</v>
      </c>
      <c r="B427" s="1" t="s">
        <v>1311</v>
      </c>
      <c r="C427" s="1">
        <v>40</v>
      </c>
      <c r="D427" s="1" t="s">
        <v>9</v>
      </c>
      <c r="E427" s="1" t="s">
        <v>1312</v>
      </c>
      <c r="F427" s="1" t="s">
        <v>117</v>
      </c>
      <c r="G427" s="1" t="s">
        <v>12</v>
      </c>
      <c r="H427" s="1" t="s">
        <v>25</v>
      </c>
    </row>
    <row r="428" spans="1:8">
      <c r="A428" s="1" t="s">
        <v>1313</v>
      </c>
      <c r="B428" s="1" t="s">
        <v>1314</v>
      </c>
      <c r="C428" s="1">
        <v>28</v>
      </c>
      <c r="D428" s="1" t="s">
        <v>9</v>
      </c>
      <c r="E428" s="1" t="s">
        <v>1315</v>
      </c>
      <c r="F428" s="1" t="s">
        <v>11</v>
      </c>
      <c r="G428" s="1" t="s">
        <v>12</v>
      </c>
      <c r="H428" s="1" t="s">
        <v>18</v>
      </c>
    </row>
    <row r="429" spans="1:8">
      <c r="A429" s="1" t="s">
        <v>1316</v>
      </c>
      <c r="B429" s="1" t="s">
        <v>1317</v>
      </c>
      <c r="C429" s="1">
        <v>18</v>
      </c>
      <c r="D429" s="1" t="s">
        <v>15</v>
      </c>
      <c r="E429" s="1" t="s">
        <v>1318</v>
      </c>
      <c r="F429" s="1" t="s">
        <v>430</v>
      </c>
      <c r="G429" s="1" t="s">
        <v>12</v>
      </c>
      <c r="H429" s="1" t="s">
        <v>47</v>
      </c>
    </row>
    <row r="430" spans="1:8">
      <c r="A430" s="1" t="s">
        <v>1319</v>
      </c>
      <c r="B430" s="1" t="s">
        <v>1320</v>
      </c>
      <c r="C430" s="1">
        <v>27</v>
      </c>
      <c r="D430" s="1" t="s">
        <v>15</v>
      </c>
      <c r="E430" s="1" t="s">
        <v>1321</v>
      </c>
      <c r="F430" s="1" t="s">
        <v>323</v>
      </c>
      <c r="G430" s="1" t="s">
        <v>12</v>
      </c>
      <c r="H430" s="1" t="s">
        <v>25</v>
      </c>
    </row>
    <row r="431" spans="1:8">
      <c r="A431" s="1" t="s">
        <v>1322</v>
      </c>
      <c r="B431" s="1" t="s">
        <v>1323</v>
      </c>
      <c r="C431" s="1">
        <v>43</v>
      </c>
      <c r="D431" s="1" t="s">
        <v>9</v>
      </c>
      <c r="E431" s="1" t="s">
        <v>1324</v>
      </c>
      <c r="F431" s="1" t="s">
        <v>106</v>
      </c>
      <c r="G431" s="1" t="s">
        <v>12</v>
      </c>
      <c r="H431" s="1" t="s">
        <v>18</v>
      </c>
    </row>
    <row r="432" spans="1:8">
      <c r="A432" s="1" t="s">
        <v>1325</v>
      </c>
      <c r="B432" s="1" t="s">
        <v>1326</v>
      </c>
      <c r="C432" s="1">
        <v>36</v>
      </c>
      <c r="D432" s="1" t="s">
        <v>15</v>
      </c>
      <c r="E432" s="1" t="s">
        <v>1327</v>
      </c>
      <c r="F432" s="1" t="s">
        <v>88</v>
      </c>
      <c r="G432" s="1" t="s">
        <v>12</v>
      </c>
      <c r="H432" s="1" t="s">
        <v>47</v>
      </c>
    </row>
    <row r="433" spans="1:8">
      <c r="A433" s="1" t="s">
        <v>1328</v>
      </c>
      <c r="B433" s="1" t="s">
        <v>1329</v>
      </c>
      <c r="C433" s="1">
        <v>27</v>
      </c>
      <c r="D433" s="1" t="s">
        <v>9</v>
      </c>
      <c r="E433" s="1" t="s">
        <v>1330</v>
      </c>
      <c r="F433" s="1" t="s">
        <v>29</v>
      </c>
      <c r="G433" s="1" t="s">
        <v>12</v>
      </c>
      <c r="H433" s="1" t="s">
        <v>18</v>
      </c>
    </row>
    <row r="434" spans="1:8">
      <c r="A434" s="1" t="s">
        <v>1331</v>
      </c>
      <c r="B434" s="1" t="s">
        <v>1332</v>
      </c>
      <c r="C434" s="1">
        <v>37</v>
      </c>
      <c r="D434" s="1" t="s">
        <v>9</v>
      </c>
      <c r="E434" s="1" t="s">
        <v>1333</v>
      </c>
      <c r="F434" s="1" t="s">
        <v>88</v>
      </c>
      <c r="G434" s="1" t="s">
        <v>12</v>
      </c>
      <c r="H434" s="1" t="s">
        <v>25</v>
      </c>
    </row>
    <row r="435" spans="1:8">
      <c r="A435" s="1" t="s">
        <v>1334</v>
      </c>
      <c r="B435" s="1" t="s">
        <v>1335</v>
      </c>
      <c r="C435" s="1">
        <v>51</v>
      </c>
      <c r="D435" s="1" t="s">
        <v>15</v>
      </c>
      <c r="E435" s="1" t="s">
        <v>1336</v>
      </c>
      <c r="F435" s="1" t="s">
        <v>58</v>
      </c>
      <c r="G435" s="1" t="s">
        <v>12</v>
      </c>
      <c r="H435" s="1" t="s">
        <v>30</v>
      </c>
    </row>
    <row r="436" spans="1:8">
      <c r="A436" s="1" t="s">
        <v>1337</v>
      </c>
      <c r="B436" s="1" t="s">
        <v>1338</v>
      </c>
      <c r="C436" s="1">
        <v>48</v>
      </c>
      <c r="D436" s="1" t="s">
        <v>15</v>
      </c>
      <c r="E436" s="1" t="s">
        <v>1339</v>
      </c>
      <c r="F436" s="1" t="s">
        <v>251</v>
      </c>
      <c r="G436" s="1" t="s">
        <v>12</v>
      </c>
      <c r="H436" s="1" t="s">
        <v>47</v>
      </c>
    </row>
    <row r="437" spans="1:8">
      <c r="A437" s="1" t="s">
        <v>1340</v>
      </c>
      <c r="B437" s="1" t="s">
        <v>1341</v>
      </c>
      <c r="C437" s="1">
        <v>37</v>
      </c>
      <c r="D437" s="1" t="s">
        <v>15</v>
      </c>
      <c r="E437" s="1" t="s">
        <v>1342</v>
      </c>
      <c r="F437" s="1" t="s">
        <v>106</v>
      </c>
      <c r="G437" s="1" t="s">
        <v>12</v>
      </c>
      <c r="H437" s="1" t="s">
        <v>30</v>
      </c>
    </row>
    <row r="438" spans="1:8">
      <c r="A438" s="1" t="s">
        <v>1343</v>
      </c>
      <c r="B438" s="1" t="s">
        <v>1344</v>
      </c>
      <c r="C438" s="1">
        <v>61</v>
      </c>
      <c r="D438" s="1" t="s">
        <v>9</v>
      </c>
      <c r="E438" s="1" t="s">
        <v>1345</v>
      </c>
      <c r="F438" s="1" t="s">
        <v>38</v>
      </c>
      <c r="G438" s="1" t="s">
        <v>12</v>
      </c>
      <c r="H438" s="1" t="s">
        <v>47</v>
      </c>
    </row>
    <row r="439" spans="1:8">
      <c r="A439" s="1" t="s">
        <v>1346</v>
      </c>
      <c r="B439" s="1" t="s">
        <v>1347</v>
      </c>
      <c r="C439" s="1">
        <v>47</v>
      </c>
      <c r="D439" s="1" t="s">
        <v>15</v>
      </c>
      <c r="E439" s="1" t="s">
        <v>595</v>
      </c>
      <c r="F439" s="1" t="s">
        <v>46</v>
      </c>
      <c r="G439" s="1" t="s">
        <v>12</v>
      </c>
      <c r="H439" s="1" t="s">
        <v>18</v>
      </c>
    </row>
    <row r="440" spans="1:8">
      <c r="A440" s="1" t="s">
        <v>1348</v>
      </c>
      <c r="B440" s="1" t="s">
        <v>1349</v>
      </c>
      <c r="C440" s="1">
        <v>59</v>
      </c>
      <c r="D440" s="1" t="s">
        <v>15</v>
      </c>
      <c r="E440" s="1" t="s">
        <v>1350</v>
      </c>
      <c r="F440" s="1" t="s">
        <v>234</v>
      </c>
      <c r="G440" s="1" t="s">
        <v>12</v>
      </c>
      <c r="H440" s="1" t="s">
        <v>18</v>
      </c>
    </row>
    <row r="441" spans="1:8">
      <c r="A441" s="1" t="s">
        <v>1351</v>
      </c>
      <c r="B441" s="1" t="s">
        <v>1352</v>
      </c>
      <c r="C441" s="1">
        <v>53</v>
      </c>
      <c r="D441" s="1" t="s">
        <v>9</v>
      </c>
      <c r="E441" s="1" t="s">
        <v>929</v>
      </c>
      <c r="F441" s="1" t="s">
        <v>155</v>
      </c>
      <c r="G441" s="1" t="s">
        <v>12</v>
      </c>
      <c r="H441" s="1" t="s">
        <v>30</v>
      </c>
    </row>
    <row r="442" spans="1:8">
      <c r="A442" s="1" t="s">
        <v>1353</v>
      </c>
      <c r="B442" s="1" t="s">
        <v>1354</v>
      </c>
      <c r="C442" s="1">
        <v>60</v>
      </c>
      <c r="D442" s="1" t="s">
        <v>9</v>
      </c>
      <c r="E442" s="1" t="s">
        <v>1355</v>
      </c>
      <c r="F442" s="1" t="s">
        <v>17</v>
      </c>
      <c r="G442" s="1" t="s">
        <v>12</v>
      </c>
      <c r="H442" s="1" t="s">
        <v>30</v>
      </c>
    </row>
    <row r="443" spans="1:8">
      <c r="A443" s="1" t="s">
        <v>1356</v>
      </c>
      <c r="B443" s="1" t="s">
        <v>1357</v>
      </c>
      <c r="C443" s="1">
        <v>31</v>
      </c>
      <c r="D443" s="1" t="s">
        <v>9</v>
      </c>
      <c r="E443" s="1" t="s">
        <v>1358</v>
      </c>
      <c r="F443" s="1" t="s">
        <v>319</v>
      </c>
      <c r="G443" s="1" t="s">
        <v>12</v>
      </c>
      <c r="H443" s="1" t="s">
        <v>30</v>
      </c>
    </row>
    <row r="444" spans="1:8">
      <c r="A444" s="1" t="s">
        <v>1359</v>
      </c>
      <c r="B444" s="1" t="s">
        <v>1360</v>
      </c>
      <c r="C444" s="1">
        <v>42</v>
      </c>
      <c r="D444" s="1" t="s">
        <v>15</v>
      </c>
      <c r="E444" s="1" t="s">
        <v>1361</v>
      </c>
      <c r="F444" s="1" t="s">
        <v>34</v>
      </c>
      <c r="G444" s="1" t="s">
        <v>12</v>
      </c>
      <c r="H444" s="1" t="s">
        <v>25</v>
      </c>
    </row>
    <row r="445" spans="1:8">
      <c r="A445" s="1" t="s">
        <v>1362</v>
      </c>
      <c r="B445" s="1" t="s">
        <v>1363</v>
      </c>
      <c r="C445" s="1">
        <v>51</v>
      </c>
      <c r="D445" s="1" t="s">
        <v>9</v>
      </c>
      <c r="E445" s="1" t="s">
        <v>1364</v>
      </c>
      <c r="F445" s="1" t="s">
        <v>354</v>
      </c>
      <c r="G445" s="1" t="s">
        <v>12</v>
      </c>
      <c r="H445" s="1" t="s">
        <v>30</v>
      </c>
    </row>
    <row r="446" spans="1:8">
      <c r="A446" s="1" t="s">
        <v>1365</v>
      </c>
      <c r="B446" s="1" t="s">
        <v>1366</v>
      </c>
      <c r="C446" s="1">
        <v>19</v>
      </c>
      <c r="D446" s="1" t="s">
        <v>9</v>
      </c>
      <c r="E446" s="1" t="s">
        <v>1367</v>
      </c>
      <c r="F446" s="1" t="s">
        <v>845</v>
      </c>
      <c r="G446" s="1" t="s">
        <v>12</v>
      </c>
      <c r="H446" s="1" t="s">
        <v>47</v>
      </c>
    </row>
    <row r="447" spans="1:8">
      <c r="A447" s="1" t="s">
        <v>1368</v>
      </c>
      <c r="B447" s="1" t="s">
        <v>1369</v>
      </c>
      <c r="C447" s="1">
        <v>41</v>
      </c>
      <c r="D447" s="1" t="s">
        <v>15</v>
      </c>
      <c r="E447" s="1" t="s">
        <v>1370</v>
      </c>
      <c r="F447" s="1" t="s">
        <v>284</v>
      </c>
      <c r="G447" s="1" t="s">
        <v>12</v>
      </c>
      <c r="H447" s="1" t="s">
        <v>18</v>
      </c>
    </row>
    <row r="448" spans="1:8">
      <c r="A448" s="1" t="s">
        <v>1371</v>
      </c>
      <c r="B448" s="1" t="s">
        <v>1372</v>
      </c>
      <c r="C448" s="1">
        <v>35</v>
      </c>
      <c r="D448" s="1" t="s">
        <v>9</v>
      </c>
      <c r="E448" s="1" t="s">
        <v>1373</v>
      </c>
      <c r="F448" s="1" t="s">
        <v>96</v>
      </c>
      <c r="G448" s="1" t="s">
        <v>12</v>
      </c>
      <c r="H448" s="1" t="s">
        <v>30</v>
      </c>
    </row>
    <row r="449" spans="1:8">
      <c r="A449" s="1" t="s">
        <v>1374</v>
      </c>
      <c r="B449" s="1" t="s">
        <v>1375</v>
      </c>
      <c r="C449" s="1">
        <v>45</v>
      </c>
      <c r="D449" s="1" t="s">
        <v>9</v>
      </c>
      <c r="E449" s="1" t="s">
        <v>1376</v>
      </c>
      <c r="F449" s="1" t="s">
        <v>11</v>
      </c>
      <c r="G449" s="1" t="s">
        <v>12</v>
      </c>
      <c r="H449" s="1" t="s">
        <v>47</v>
      </c>
    </row>
    <row r="450" spans="1:8">
      <c r="A450" s="1" t="s">
        <v>1377</v>
      </c>
      <c r="B450" s="1" t="s">
        <v>1378</v>
      </c>
      <c r="C450" s="1">
        <v>64</v>
      </c>
      <c r="D450" s="1" t="s">
        <v>15</v>
      </c>
      <c r="E450" s="1" t="s">
        <v>1379</v>
      </c>
      <c r="F450" s="1" t="s">
        <v>845</v>
      </c>
      <c r="G450" s="1" t="s">
        <v>12</v>
      </c>
      <c r="H450" s="1" t="s">
        <v>25</v>
      </c>
    </row>
    <row r="451" spans="1:8">
      <c r="A451" s="1" t="s">
        <v>1380</v>
      </c>
      <c r="B451" s="1" t="s">
        <v>1381</v>
      </c>
      <c r="C451" s="1">
        <v>29</v>
      </c>
      <c r="D451" s="1" t="s">
        <v>9</v>
      </c>
      <c r="E451" s="1" t="s">
        <v>1382</v>
      </c>
      <c r="F451" s="1" t="s">
        <v>24</v>
      </c>
      <c r="G451" s="1" t="s">
        <v>12</v>
      </c>
      <c r="H451" s="1" t="s">
        <v>25</v>
      </c>
    </row>
    <row r="452" spans="1:8">
      <c r="A452" s="1" t="s">
        <v>1383</v>
      </c>
      <c r="B452" s="1" t="s">
        <v>1384</v>
      </c>
      <c r="C452" s="1">
        <v>59</v>
      </c>
      <c r="D452" s="1" t="s">
        <v>9</v>
      </c>
      <c r="E452" s="1" t="s">
        <v>1385</v>
      </c>
      <c r="F452" s="1" t="s">
        <v>70</v>
      </c>
      <c r="G452" s="1" t="s">
        <v>12</v>
      </c>
      <c r="H452" s="1" t="s">
        <v>25</v>
      </c>
    </row>
    <row r="453" spans="1:8">
      <c r="A453" s="1" t="s">
        <v>1386</v>
      </c>
      <c r="B453" s="1" t="s">
        <v>1387</v>
      </c>
      <c r="C453" s="1">
        <v>46</v>
      </c>
      <c r="D453" s="1" t="s">
        <v>9</v>
      </c>
      <c r="E453" s="1" t="s">
        <v>562</v>
      </c>
      <c r="F453" s="1" t="s">
        <v>230</v>
      </c>
      <c r="G453" s="1" t="s">
        <v>12</v>
      </c>
      <c r="H453" s="1" t="s">
        <v>47</v>
      </c>
    </row>
    <row r="454" spans="1:8">
      <c r="A454" s="1" t="s">
        <v>1388</v>
      </c>
      <c r="B454" s="1" t="s">
        <v>1389</v>
      </c>
      <c r="C454" s="1">
        <v>60</v>
      </c>
      <c r="D454" s="1" t="s">
        <v>15</v>
      </c>
      <c r="E454" s="1" t="s">
        <v>1390</v>
      </c>
      <c r="F454" s="1" t="s">
        <v>309</v>
      </c>
      <c r="G454" s="1" t="s">
        <v>12</v>
      </c>
      <c r="H454" s="1" t="s">
        <v>25</v>
      </c>
    </row>
    <row r="455" spans="1:8">
      <c r="A455" s="1" t="s">
        <v>1391</v>
      </c>
      <c r="B455" s="1" t="s">
        <v>1392</v>
      </c>
      <c r="C455" s="1">
        <v>62</v>
      </c>
      <c r="D455" s="1" t="s">
        <v>15</v>
      </c>
      <c r="E455" s="1" t="s">
        <v>1393</v>
      </c>
      <c r="F455" s="1" t="s">
        <v>99</v>
      </c>
      <c r="G455" s="1" t="s">
        <v>12</v>
      </c>
      <c r="H455" s="1" t="s">
        <v>18</v>
      </c>
    </row>
    <row r="456" spans="1:8">
      <c r="A456" s="1" t="s">
        <v>1394</v>
      </c>
      <c r="B456" s="1" t="s">
        <v>1395</v>
      </c>
      <c r="C456" s="1">
        <v>60</v>
      </c>
      <c r="D456" s="1" t="s">
        <v>9</v>
      </c>
      <c r="E456" s="1" t="s">
        <v>129</v>
      </c>
      <c r="F456" s="1" t="s">
        <v>96</v>
      </c>
      <c r="G456" s="1" t="s">
        <v>12</v>
      </c>
      <c r="H456" s="1" t="s">
        <v>47</v>
      </c>
    </row>
    <row r="457" spans="1:8">
      <c r="A457" s="1" t="s">
        <v>1396</v>
      </c>
      <c r="B457" s="1" t="s">
        <v>1397</v>
      </c>
      <c r="C457" s="1">
        <v>54</v>
      </c>
      <c r="D457" s="1" t="s">
        <v>9</v>
      </c>
      <c r="E457" s="1" t="s">
        <v>1398</v>
      </c>
      <c r="F457" s="1" t="s">
        <v>191</v>
      </c>
      <c r="G457" s="1" t="s">
        <v>12</v>
      </c>
      <c r="H457" s="1" t="s">
        <v>47</v>
      </c>
    </row>
    <row r="458" spans="1:8">
      <c r="A458" s="1" t="s">
        <v>1399</v>
      </c>
      <c r="B458" s="1" t="s">
        <v>1400</v>
      </c>
      <c r="C458" s="1">
        <v>59</v>
      </c>
      <c r="D458" s="1" t="s">
        <v>15</v>
      </c>
      <c r="E458" s="1" t="s">
        <v>1401</v>
      </c>
      <c r="F458" s="1" t="s">
        <v>288</v>
      </c>
      <c r="G458" s="1" t="s">
        <v>12</v>
      </c>
      <c r="H458" s="1" t="s">
        <v>47</v>
      </c>
    </row>
    <row r="459" spans="1:8">
      <c r="A459" s="1" t="s">
        <v>1402</v>
      </c>
      <c r="B459" s="1" t="s">
        <v>1403</v>
      </c>
      <c r="C459" s="1">
        <v>59</v>
      </c>
      <c r="D459" s="1" t="s">
        <v>9</v>
      </c>
      <c r="E459" s="1" t="s">
        <v>1404</v>
      </c>
      <c r="F459" s="1" t="s">
        <v>586</v>
      </c>
      <c r="G459" s="1" t="s">
        <v>12</v>
      </c>
      <c r="H459" s="1" t="s">
        <v>18</v>
      </c>
    </row>
    <row r="460" spans="1:8">
      <c r="A460" s="1" t="s">
        <v>1405</v>
      </c>
      <c r="B460" s="1" t="s">
        <v>1406</v>
      </c>
      <c r="C460" s="1">
        <v>62</v>
      </c>
      <c r="D460" s="1" t="s">
        <v>15</v>
      </c>
      <c r="E460" s="1" t="s">
        <v>1407</v>
      </c>
      <c r="F460" s="1" t="s">
        <v>51</v>
      </c>
      <c r="G460" s="1" t="s">
        <v>12</v>
      </c>
      <c r="H460" s="1" t="s">
        <v>30</v>
      </c>
    </row>
    <row r="461" spans="1:8">
      <c r="A461" s="1" t="s">
        <v>1408</v>
      </c>
      <c r="B461" s="1" t="s">
        <v>677</v>
      </c>
      <c r="C461" s="1">
        <v>29</v>
      </c>
      <c r="D461" s="1" t="s">
        <v>15</v>
      </c>
      <c r="E461" s="1" t="s">
        <v>1409</v>
      </c>
      <c r="F461" s="1" t="s">
        <v>312</v>
      </c>
      <c r="G461" s="1" t="s">
        <v>12</v>
      </c>
      <c r="H461" s="1" t="s">
        <v>47</v>
      </c>
    </row>
    <row r="462" spans="1:8">
      <c r="A462" s="1" t="s">
        <v>1410</v>
      </c>
      <c r="B462" s="1" t="s">
        <v>1411</v>
      </c>
      <c r="C462" s="1">
        <v>35</v>
      </c>
      <c r="D462" s="1" t="s">
        <v>9</v>
      </c>
      <c r="E462" s="1" t="s">
        <v>1412</v>
      </c>
      <c r="F462" s="1" t="s">
        <v>264</v>
      </c>
      <c r="G462" s="1" t="s">
        <v>12</v>
      </c>
      <c r="H462" s="1" t="s">
        <v>47</v>
      </c>
    </row>
    <row r="463" spans="1:8">
      <c r="A463" s="1" t="s">
        <v>1413</v>
      </c>
      <c r="B463" s="1" t="s">
        <v>1414</v>
      </c>
      <c r="C463" s="1">
        <v>60</v>
      </c>
      <c r="D463" s="1" t="s">
        <v>15</v>
      </c>
      <c r="E463" s="1" t="s">
        <v>1415</v>
      </c>
      <c r="F463" s="1" t="s">
        <v>62</v>
      </c>
      <c r="G463" s="1" t="s">
        <v>12</v>
      </c>
      <c r="H463" s="1" t="s">
        <v>30</v>
      </c>
    </row>
    <row r="464" spans="1:8">
      <c r="A464" s="1" t="s">
        <v>1416</v>
      </c>
      <c r="B464" s="1" t="s">
        <v>1417</v>
      </c>
      <c r="C464" s="1">
        <v>34</v>
      </c>
      <c r="D464" s="1" t="s">
        <v>15</v>
      </c>
      <c r="E464" s="1" t="s">
        <v>1418</v>
      </c>
      <c r="F464" s="1" t="s">
        <v>42</v>
      </c>
      <c r="G464" s="1" t="s">
        <v>12</v>
      </c>
      <c r="H464" s="1" t="s">
        <v>30</v>
      </c>
    </row>
    <row r="465" spans="1:8">
      <c r="A465" s="1" t="s">
        <v>1419</v>
      </c>
      <c r="B465" s="1" t="s">
        <v>1420</v>
      </c>
      <c r="C465" s="1">
        <v>36</v>
      </c>
      <c r="D465" s="1" t="s">
        <v>15</v>
      </c>
      <c r="E465" s="1" t="s">
        <v>1421</v>
      </c>
      <c r="F465" s="1" t="s">
        <v>166</v>
      </c>
      <c r="G465" s="1" t="s">
        <v>12</v>
      </c>
      <c r="H465" s="1" t="s">
        <v>25</v>
      </c>
    </row>
    <row r="466" spans="1:8">
      <c r="A466" s="1" t="s">
        <v>1943</v>
      </c>
      <c r="B466" s="1" t="s">
        <v>1422</v>
      </c>
      <c r="C466" s="1">
        <v>45</v>
      </c>
      <c r="D466" s="1" t="s">
        <v>15</v>
      </c>
      <c r="E466" s="1" t="s">
        <v>1423</v>
      </c>
      <c r="F466" s="1" t="s">
        <v>74</v>
      </c>
      <c r="G466" s="1" t="s">
        <v>12</v>
      </c>
      <c r="H466" s="1" t="s">
        <v>18</v>
      </c>
    </row>
    <row r="467" spans="1:8">
      <c r="A467" s="1" t="s">
        <v>1424</v>
      </c>
      <c r="B467" s="1" t="s">
        <v>1425</v>
      </c>
      <c r="C467" s="1">
        <v>28</v>
      </c>
      <c r="D467" s="1" t="s">
        <v>15</v>
      </c>
      <c r="E467" s="1" t="s">
        <v>1426</v>
      </c>
      <c r="F467" s="1" t="s">
        <v>11</v>
      </c>
      <c r="G467" s="1" t="s">
        <v>12</v>
      </c>
      <c r="H467" s="1" t="s">
        <v>30</v>
      </c>
    </row>
    <row r="468" spans="1:8">
      <c r="A468" s="1" t="s">
        <v>1427</v>
      </c>
      <c r="B468" s="1" t="s">
        <v>1428</v>
      </c>
      <c r="C468" s="1">
        <v>18</v>
      </c>
      <c r="D468" s="1" t="s">
        <v>9</v>
      </c>
      <c r="E468" s="1" t="s">
        <v>1429</v>
      </c>
      <c r="F468" s="1" t="s">
        <v>198</v>
      </c>
      <c r="G468" s="1" t="s">
        <v>12</v>
      </c>
      <c r="H468" s="1" t="s">
        <v>30</v>
      </c>
    </row>
    <row r="469" spans="1:8">
      <c r="A469" s="1" t="s">
        <v>1430</v>
      </c>
      <c r="B469" s="1" t="s">
        <v>1431</v>
      </c>
      <c r="C469" s="1">
        <v>63</v>
      </c>
      <c r="D469" s="1" t="s">
        <v>15</v>
      </c>
      <c r="E469" s="1" t="s">
        <v>1432</v>
      </c>
      <c r="F469" s="1" t="s">
        <v>170</v>
      </c>
      <c r="G469" s="1" t="s">
        <v>12</v>
      </c>
      <c r="H469" s="1" t="s">
        <v>47</v>
      </c>
    </row>
    <row r="470" spans="1:8">
      <c r="A470" s="1" t="s">
        <v>1433</v>
      </c>
      <c r="B470" s="1" t="s">
        <v>1434</v>
      </c>
      <c r="C470" s="1">
        <v>45</v>
      </c>
      <c r="D470" s="1" t="s">
        <v>9</v>
      </c>
      <c r="E470" s="1" t="s">
        <v>1435</v>
      </c>
      <c r="F470" s="1" t="s">
        <v>170</v>
      </c>
      <c r="G470" s="1" t="s">
        <v>12</v>
      </c>
      <c r="H470" s="1" t="s">
        <v>25</v>
      </c>
    </row>
    <row r="471" spans="1:8">
      <c r="A471" s="1" t="s">
        <v>1436</v>
      </c>
      <c r="B471" s="1" t="s">
        <v>1437</v>
      </c>
      <c r="C471" s="1">
        <v>19</v>
      </c>
      <c r="D471" s="1" t="s">
        <v>9</v>
      </c>
      <c r="E471" s="1" t="s">
        <v>1438</v>
      </c>
      <c r="F471" s="1" t="s">
        <v>117</v>
      </c>
      <c r="G471" s="1" t="s">
        <v>12</v>
      </c>
      <c r="H471" s="1" t="s">
        <v>47</v>
      </c>
    </row>
    <row r="472" spans="1:8">
      <c r="A472" s="1" t="s">
        <v>1439</v>
      </c>
      <c r="B472" s="1" t="s">
        <v>1440</v>
      </c>
      <c r="C472" s="1">
        <v>21</v>
      </c>
      <c r="D472" s="1" t="s">
        <v>15</v>
      </c>
      <c r="E472" s="1" t="s">
        <v>1441</v>
      </c>
      <c r="F472" s="1" t="s">
        <v>46</v>
      </c>
      <c r="G472" s="1" t="s">
        <v>12</v>
      </c>
      <c r="H472" s="1" t="s">
        <v>47</v>
      </c>
    </row>
    <row r="473" spans="1:8">
      <c r="A473" s="1" t="s">
        <v>1442</v>
      </c>
      <c r="B473" s="1" t="s">
        <v>1443</v>
      </c>
      <c r="C473" s="1">
        <v>42</v>
      </c>
      <c r="D473" s="1" t="s">
        <v>9</v>
      </c>
      <c r="E473" s="1" t="s">
        <v>1444</v>
      </c>
      <c r="F473" s="1" t="s">
        <v>66</v>
      </c>
      <c r="G473" s="1" t="s">
        <v>12</v>
      </c>
      <c r="H473" s="1" t="s">
        <v>18</v>
      </c>
    </row>
    <row r="474" spans="1:8">
      <c r="A474" s="1" t="s">
        <v>1445</v>
      </c>
      <c r="B474" s="1" t="s">
        <v>1446</v>
      </c>
      <c r="C474" s="1">
        <v>42</v>
      </c>
      <c r="D474" s="1" t="s">
        <v>9</v>
      </c>
      <c r="E474" s="1" t="s">
        <v>1447</v>
      </c>
      <c r="F474" s="1" t="s">
        <v>715</v>
      </c>
      <c r="G474" s="1" t="s">
        <v>12</v>
      </c>
      <c r="H474" s="1" t="s">
        <v>30</v>
      </c>
    </row>
    <row r="475" spans="1:8">
      <c r="A475" s="1" t="s">
        <v>1448</v>
      </c>
      <c r="B475" s="1" t="s">
        <v>1449</v>
      </c>
      <c r="C475" s="1">
        <v>53</v>
      </c>
      <c r="D475" s="1" t="s">
        <v>9</v>
      </c>
      <c r="E475" s="1" t="s">
        <v>1450</v>
      </c>
      <c r="F475" s="1" t="s">
        <v>319</v>
      </c>
      <c r="G475" s="1" t="s">
        <v>12</v>
      </c>
      <c r="H475" s="1" t="s">
        <v>25</v>
      </c>
    </row>
    <row r="476" spans="1:8">
      <c r="A476" s="1" t="s">
        <v>1451</v>
      </c>
      <c r="B476" s="1" t="s">
        <v>1452</v>
      </c>
      <c r="C476" s="1">
        <v>32</v>
      </c>
      <c r="D476" s="1" t="s">
        <v>15</v>
      </c>
      <c r="E476" s="1" t="s">
        <v>1453</v>
      </c>
      <c r="F476" s="1" t="s">
        <v>38</v>
      </c>
      <c r="G476" s="1" t="s">
        <v>12</v>
      </c>
      <c r="H476" s="1" t="s">
        <v>18</v>
      </c>
    </row>
    <row r="477" spans="1:8">
      <c r="A477" s="1" t="s">
        <v>1454</v>
      </c>
      <c r="B477" s="1" t="s">
        <v>1455</v>
      </c>
      <c r="C477" s="1">
        <v>18</v>
      </c>
      <c r="D477" s="1" t="s">
        <v>15</v>
      </c>
      <c r="E477" s="1" t="s">
        <v>390</v>
      </c>
      <c r="F477" s="1" t="s">
        <v>170</v>
      </c>
      <c r="G477" s="1" t="s">
        <v>12</v>
      </c>
      <c r="H477" s="1" t="s">
        <v>18</v>
      </c>
    </row>
    <row r="478" spans="1:8">
      <c r="A478" s="1" t="s">
        <v>1456</v>
      </c>
      <c r="B478" s="1" t="s">
        <v>1457</v>
      </c>
      <c r="C478" s="1">
        <v>33</v>
      </c>
      <c r="D478" s="1" t="s">
        <v>15</v>
      </c>
      <c r="E478" s="1" t="s">
        <v>1458</v>
      </c>
      <c r="F478" s="1" t="s">
        <v>96</v>
      </c>
      <c r="G478" s="1" t="s">
        <v>12</v>
      </c>
      <c r="H478" s="1" t="s">
        <v>47</v>
      </c>
    </row>
    <row r="479" spans="1:8">
      <c r="A479" s="1" t="s">
        <v>1459</v>
      </c>
      <c r="B479" s="1" t="s">
        <v>1460</v>
      </c>
      <c r="C479" s="1">
        <v>41</v>
      </c>
      <c r="D479" s="1" t="s">
        <v>15</v>
      </c>
      <c r="E479" s="1" t="s">
        <v>1461</v>
      </c>
      <c r="F479" s="1" t="s">
        <v>62</v>
      </c>
      <c r="G479" s="1" t="s">
        <v>12</v>
      </c>
      <c r="H479" s="1" t="s">
        <v>18</v>
      </c>
    </row>
    <row r="480" spans="1:8">
      <c r="A480" s="1" t="s">
        <v>1462</v>
      </c>
      <c r="B480" s="1" t="s">
        <v>3960</v>
      </c>
      <c r="C480" s="1">
        <v>59</v>
      </c>
      <c r="D480" s="1" t="s">
        <v>9</v>
      </c>
      <c r="E480" s="1" t="s">
        <v>1463</v>
      </c>
      <c r="F480" s="1" t="s">
        <v>38</v>
      </c>
      <c r="G480" s="1" t="s">
        <v>12</v>
      </c>
      <c r="H480" s="1" t="s">
        <v>47</v>
      </c>
    </row>
    <row r="481" spans="1:8">
      <c r="A481" s="1" t="s">
        <v>1464</v>
      </c>
      <c r="B481" s="1" t="s">
        <v>1465</v>
      </c>
      <c r="C481" s="1">
        <v>40</v>
      </c>
      <c r="D481" s="1" t="s">
        <v>9</v>
      </c>
      <c r="E481" s="1" t="s">
        <v>1466</v>
      </c>
      <c r="F481" s="1" t="s">
        <v>42</v>
      </c>
      <c r="G481" s="1" t="s">
        <v>12</v>
      </c>
      <c r="H481" s="1" t="s">
        <v>25</v>
      </c>
    </row>
    <row r="482" spans="1:8">
      <c r="A482" s="1" t="s">
        <v>1467</v>
      </c>
      <c r="B482" s="1" t="s">
        <v>1468</v>
      </c>
      <c r="C482" s="1">
        <v>33</v>
      </c>
      <c r="D482" s="1" t="s">
        <v>9</v>
      </c>
      <c r="E482" s="1" t="s">
        <v>1469</v>
      </c>
      <c r="F482" s="1" t="s">
        <v>247</v>
      </c>
      <c r="G482" s="1" t="s">
        <v>12</v>
      </c>
      <c r="H482" s="1" t="s">
        <v>25</v>
      </c>
    </row>
    <row r="483" spans="1:8">
      <c r="A483" s="1" t="s">
        <v>1470</v>
      </c>
      <c r="B483" s="1" t="s">
        <v>1471</v>
      </c>
      <c r="C483" s="1">
        <v>21</v>
      </c>
      <c r="D483" s="1" t="s">
        <v>9</v>
      </c>
      <c r="E483" s="1" t="s">
        <v>1472</v>
      </c>
      <c r="F483" s="1" t="s">
        <v>81</v>
      </c>
      <c r="G483" s="1" t="s">
        <v>12</v>
      </c>
      <c r="H483" s="1" t="s">
        <v>47</v>
      </c>
    </row>
    <row r="484" spans="1:8">
      <c r="A484" s="1" t="s">
        <v>1473</v>
      </c>
      <c r="B484" s="1" t="s">
        <v>1474</v>
      </c>
      <c r="C484" s="1">
        <v>26</v>
      </c>
      <c r="D484" s="1" t="s">
        <v>9</v>
      </c>
      <c r="E484" s="1" t="s">
        <v>1475</v>
      </c>
      <c r="F484" s="1" t="s">
        <v>586</v>
      </c>
      <c r="G484" s="1" t="s">
        <v>12</v>
      </c>
      <c r="H484" s="1" t="s">
        <v>18</v>
      </c>
    </row>
    <row r="485" spans="1:8">
      <c r="A485" s="1" t="s">
        <v>1476</v>
      </c>
      <c r="B485" s="1" t="s">
        <v>1266</v>
      </c>
      <c r="C485" s="1">
        <v>48</v>
      </c>
      <c r="D485" s="1" t="s">
        <v>9</v>
      </c>
      <c r="E485" s="1" t="s">
        <v>1477</v>
      </c>
      <c r="F485" s="1" t="s">
        <v>181</v>
      </c>
      <c r="G485" s="1" t="s">
        <v>12</v>
      </c>
      <c r="H485" s="1" t="s">
        <v>47</v>
      </c>
    </row>
    <row r="486" spans="1:8">
      <c r="A486" s="1" t="s">
        <v>1478</v>
      </c>
      <c r="B486" s="1" t="s">
        <v>1479</v>
      </c>
      <c r="C486" s="1">
        <v>32</v>
      </c>
      <c r="D486" s="1" t="s">
        <v>9</v>
      </c>
      <c r="E486" s="1" t="s">
        <v>1480</v>
      </c>
      <c r="F486" s="1" t="s">
        <v>715</v>
      </c>
      <c r="G486" s="1" t="s">
        <v>12</v>
      </c>
      <c r="H486" s="1" t="s">
        <v>25</v>
      </c>
    </row>
    <row r="487" spans="1:8">
      <c r="A487" s="1" t="s">
        <v>1481</v>
      </c>
      <c r="B487" s="1" t="s">
        <v>1482</v>
      </c>
      <c r="C487" s="1">
        <v>46</v>
      </c>
      <c r="D487" s="1" t="s">
        <v>15</v>
      </c>
      <c r="E487" s="1" t="s">
        <v>1483</v>
      </c>
      <c r="F487" s="1" t="s">
        <v>284</v>
      </c>
      <c r="G487" s="1" t="s">
        <v>12</v>
      </c>
      <c r="H487" s="1" t="s">
        <v>25</v>
      </c>
    </row>
    <row r="488" spans="1:8">
      <c r="A488" s="1" t="s">
        <v>2611</v>
      </c>
      <c r="B488" s="1" t="s">
        <v>1484</v>
      </c>
      <c r="C488" s="1">
        <v>22</v>
      </c>
      <c r="D488" s="1" t="s">
        <v>15</v>
      </c>
      <c r="E488" s="1" t="s">
        <v>1485</v>
      </c>
      <c r="F488" s="1" t="s">
        <v>170</v>
      </c>
      <c r="G488" s="1" t="s">
        <v>12</v>
      </c>
      <c r="H488" s="1" t="s">
        <v>25</v>
      </c>
    </row>
    <row r="489" spans="1:8">
      <c r="A489" s="1" t="s">
        <v>1486</v>
      </c>
      <c r="B489" s="1" t="s">
        <v>1487</v>
      </c>
      <c r="C489" s="1">
        <v>36</v>
      </c>
      <c r="D489" s="1" t="s">
        <v>15</v>
      </c>
      <c r="E489" s="1" t="s">
        <v>1488</v>
      </c>
      <c r="F489" s="1" t="s">
        <v>117</v>
      </c>
      <c r="G489" s="1" t="s">
        <v>12</v>
      </c>
      <c r="H489" s="1" t="s">
        <v>18</v>
      </c>
    </row>
    <row r="490" spans="1:8">
      <c r="A490" s="1" t="s">
        <v>1489</v>
      </c>
      <c r="B490" s="1" t="s">
        <v>1490</v>
      </c>
      <c r="C490" s="1">
        <v>23</v>
      </c>
      <c r="D490" s="1" t="s">
        <v>15</v>
      </c>
      <c r="E490" s="1" t="s">
        <v>1491</v>
      </c>
      <c r="F490" s="1" t="s">
        <v>29</v>
      </c>
      <c r="G490" s="1" t="s">
        <v>12</v>
      </c>
      <c r="H490" s="1" t="s">
        <v>18</v>
      </c>
    </row>
    <row r="491" spans="1:8">
      <c r="A491" s="1" t="s">
        <v>1492</v>
      </c>
      <c r="B491" s="1" t="s">
        <v>1493</v>
      </c>
      <c r="C491" s="1">
        <v>42</v>
      </c>
      <c r="D491" s="1" t="s">
        <v>15</v>
      </c>
      <c r="E491" s="1" t="s">
        <v>1494</v>
      </c>
      <c r="F491" s="1" t="s">
        <v>251</v>
      </c>
      <c r="G491" s="1" t="s">
        <v>12</v>
      </c>
      <c r="H491" s="1" t="s">
        <v>30</v>
      </c>
    </row>
    <row r="492" spans="1:8">
      <c r="A492" s="1" t="s">
        <v>1495</v>
      </c>
      <c r="B492" s="1" t="s">
        <v>1496</v>
      </c>
      <c r="C492" s="1">
        <v>23</v>
      </c>
      <c r="D492" s="1" t="s">
        <v>9</v>
      </c>
      <c r="E492" s="1" t="s">
        <v>1497</v>
      </c>
      <c r="F492" s="1" t="s">
        <v>139</v>
      </c>
      <c r="G492" s="1" t="s">
        <v>12</v>
      </c>
      <c r="H492" s="1" t="s">
        <v>18</v>
      </c>
    </row>
    <row r="493" spans="1:8">
      <c r="A493" s="1" t="s">
        <v>2552</v>
      </c>
      <c r="B493" s="1" t="s">
        <v>1498</v>
      </c>
      <c r="C493" s="1">
        <v>52</v>
      </c>
      <c r="D493" s="1" t="s">
        <v>15</v>
      </c>
      <c r="E493" s="1" t="s">
        <v>1499</v>
      </c>
      <c r="F493" s="1" t="s">
        <v>38</v>
      </c>
      <c r="G493" s="1" t="s">
        <v>12</v>
      </c>
      <c r="H493" s="1" t="s">
        <v>47</v>
      </c>
    </row>
    <row r="494" spans="1:8">
      <c r="A494" s="1" t="s">
        <v>1500</v>
      </c>
      <c r="B494" s="1" t="s">
        <v>1501</v>
      </c>
      <c r="C494" s="1">
        <v>59</v>
      </c>
      <c r="D494" s="1" t="s">
        <v>15</v>
      </c>
      <c r="E494" s="1" t="s">
        <v>1502</v>
      </c>
      <c r="F494" s="1" t="s">
        <v>247</v>
      </c>
      <c r="G494" s="1" t="s">
        <v>12</v>
      </c>
      <c r="H494" s="1" t="s">
        <v>18</v>
      </c>
    </row>
    <row r="495" spans="1:8">
      <c r="A495" s="1" t="s">
        <v>1503</v>
      </c>
      <c r="B495" s="1" t="s">
        <v>1504</v>
      </c>
      <c r="C495" s="1">
        <v>28</v>
      </c>
      <c r="D495" s="1" t="s">
        <v>9</v>
      </c>
      <c r="E495" s="1" t="s">
        <v>84</v>
      </c>
      <c r="F495" s="1" t="s">
        <v>21</v>
      </c>
      <c r="G495" s="1" t="s">
        <v>12</v>
      </c>
      <c r="H495" s="1" t="s">
        <v>30</v>
      </c>
    </row>
    <row r="496" spans="1:8">
      <c r="A496" s="1" t="s">
        <v>1505</v>
      </c>
      <c r="B496" s="1" t="s">
        <v>1506</v>
      </c>
      <c r="C496" s="1">
        <v>21</v>
      </c>
      <c r="D496" s="1" t="s">
        <v>9</v>
      </c>
      <c r="E496" s="1" t="s">
        <v>1507</v>
      </c>
      <c r="F496" s="1" t="s">
        <v>354</v>
      </c>
      <c r="G496" s="1" t="s">
        <v>12</v>
      </c>
      <c r="H496" s="1" t="s">
        <v>47</v>
      </c>
    </row>
    <row r="497" spans="1:8">
      <c r="A497" s="1" t="s">
        <v>1508</v>
      </c>
      <c r="B497" s="1" t="s">
        <v>1509</v>
      </c>
      <c r="C497" s="1">
        <v>23</v>
      </c>
      <c r="D497" s="1" t="s">
        <v>15</v>
      </c>
      <c r="E497" s="1" t="s">
        <v>1510</v>
      </c>
      <c r="F497" s="1" t="s">
        <v>92</v>
      </c>
      <c r="G497" s="1" t="s">
        <v>12</v>
      </c>
      <c r="H497" s="1" t="s">
        <v>25</v>
      </c>
    </row>
    <row r="498" spans="1:8">
      <c r="A498" s="1" t="s">
        <v>1511</v>
      </c>
      <c r="B498" s="1" t="s">
        <v>1512</v>
      </c>
      <c r="C498" s="1">
        <v>56</v>
      </c>
      <c r="D498" s="1" t="s">
        <v>9</v>
      </c>
      <c r="E498" s="1" t="s">
        <v>1513</v>
      </c>
      <c r="F498" s="1" t="s">
        <v>24</v>
      </c>
      <c r="G498" s="1" t="s">
        <v>12</v>
      </c>
      <c r="H498" s="1" t="s">
        <v>25</v>
      </c>
    </row>
    <row r="499" spans="1:8">
      <c r="A499" s="1" t="s">
        <v>1514</v>
      </c>
      <c r="B499" s="1" t="s">
        <v>1515</v>
      </c>
      <c r="C499" s="1">
        <v>47</v>
      </c>
      <c r="D499" s="1" t="s">
        <v>15</v>
      </c>
      <c r="E499" s="1" t="s">
        <v>1516</v>
      </c>
      <c r="F499" s="1" t="s">
        <v>58</v>
      </c>
      <c r="G499" s="1" t="s">
        <v>12</v>
      </c>
      <c r="H499" s="1" t="s">
        <v>47</v>
      </c>
    </row>
    <row r="500" spans="1:8">
      <c r="A500" s="1" t="s">
        <v>1517</v>
      </c>
      <c r="B500" s="1" t="s">
        <v>1518</v>
      </c>
      <c r="C500" s="1">
        <v>35</v>
      </c>
      <c r="D500" s="1" t="s">
        <v>9</v>
      </c>
      <c r="E500" s="1" t="s">
        <v>1519</v>
      </c>
      <c r="F500" s="1" t="s">
        <v>230</v>
      </c>
      <c r="G500" s="1" t="s">
        <v>12</v>
      </c>
      <c r="H500" s="1" t="s">
        <v>30</v>
      </c>
    </row>
    <row r="501" spans="1:8">
      <c r="A501" s="1" t="s">
        <v>2114</v>
      </c>
      <c r="B501" s="1" t="s">
        <v>1520</v>
      </c>
      <c r="C501" s="1">
        <v>27</v>
      </c>
      <c r="D501" s="1" t="s">
        <v>15</v>
      </c>
      <c r="E501" s="1" t="s">
        <v>1521</v>
      </c>
      <c r="F501" s="1" t="s">
        <v>34</v>
      </c>
      <c r="G501" s="1" t="s">
        <v>12</v>
      </c>
      <c r="H501" s="1" t="s">
        <v>18</v>
      </c>
    </row>
  </sheetData>
  <phoneticPr fontId="4" type="noConversion"/>
  <pageMargins left="0.75" right="0.75" top="1" bottom="1" header="0.5" footer="0.5"/>
  <ignoredErrors>
    <ignoredError sqref="B1:B501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opLeftCell="F4" workbookViewId="0">
      <selection activeCell="I18" sqref="I18"/>
    </sheetView>
  </sheetViews>
  <sheetFormatPr defaultRowHeight="14.4"/>
  <cols>
    <col min="1" max="1" width="8.77734375" customWidth="1"/>
    <col min="2" max="2" width="24.77734375" customWidth="1"/>
    <col min="3" max="3" width="9.88671875" customWidth="1"/>
    <col min="4" max="4" width="10.21875" customWidth="1"/>
    <col min="5" max="5" width="25.33203125" customWidth="1"/>
    <col min="9" max="9" width="12.5546875" bestFit="1" customWidth="1"/>
    <col min="10" max="10" width="18.44140625" bestFit="1" customWidth="1"/>
    <col min="13" max="13" width="12.5546875" bestFit="1" customWidth="1"/>
    <col min="14" max="14" width="18.44140625" bestFit="1" customWidth="1"/>
  </cols>
  <sheetData>
    <row r="1" spans="1:14">
      <c r="A1" s="2" t="s">
        <v>1522</v>
      </c>
      <c r="B1" s="2" t="s">
        <v>1523</v>
      </c>
      <c r="C1" s="2" t="s">
        <v>1524</v>
      </c>
      <c r="D1" s="2" t="s">
        <v>1525</v>
      </c>
      <c r="E1" s="2" t="s">
        <v>1526</v>
      </c>
      <c r="F1" s="2" t="s">
        <v>1527</v>
      </c>
      <c r="G1" s="2" t="s">
        <v>1528</v>
      </c>
    </row>
    <row r="2" spans="1:14">
      <c r="A2" t="s">
        <v>1529</v>
      </c>
      <c r="B2" t="s">
        <v>1530</v>
      </c>
      <c r="C2" t="s">
        <v>1531</v>
      </c>
      <c r="D2" t="s">
        <v>1532</v>
      </c>
      <c r="E2" t="s">
        <v>1533</v>
      </c>
      <c r="F2">
        <v>112.42</v>
      </c>
      <c r="G2">
        <v>416</v>
      </c>
    </row>
    <row r="3" spans="1:14">
      <c r="A3" t="s">
        <v>1534</v>
      </c>
      <c r="B3" t="s">
        <v>1535</v>
      </c>
      <c r="C3" t="s">
        <v>1536</v>
      </c>
      <c r="D3" t="s">
        <v>1537</v>
      </c>
      <c r="E3" t="s">
        <v>1538</v>
      </c>
      <c r="F3">
        <v>342.56</v>
      </c>
      <c r="G3">
        <v>181</v>
      </c>
    </row>
    <row r="4" spans="1:14">
      <c r="A4" t="s">
        <v>1539</v>
      </c>
      <c r="B4" t="s">
        <v>1540</v>
      </c>
      <c r="C4" t="s">
        <v>1536</v>
      </c>
      <c r="D4" t="s">
        <v>1541</v>
      </c>
      <c r="E4" t="s">
        <v>1542</v>
      </c>
      <c r="G4">
        <v>352</v>
      </c>
      <c r="I4" s="24" t="s">
        <v>3967</v>
      </c>
      <c r="J4" t="s">
        <v>3972</v>
      </c>
      <c r="M4" s="24" t="s">
        <v>3967</v>
      </c>
      <c r="N4" t="s">
        <v>3972</v>
      </c>
    </row>
    <row r="5" spans="1:14">
      <c r="A5" t="s">
        <v>2033</v>
      </c>
      <c r="B5" t="s">
        <v>1543</v>
      </c>
      <c r="C5" t="s">
        <v>1536</v>
      </c>
      <c r="D5" t="s">
        <v>1541</v>
      </c>
      <c r="E5" t="s">
        <v>1544</v>
      </c>
      <c r="F5">
        <v>364.67</v>
      </c>
      <c r="G5">
        <v>452</v>
      </c>
      <c r="I5" s="25" t="s">
        <v>1555</v>
      </c>
      <c r="J5" s="6">
        <v>15</v>
      </c>
      <c r="M5" s="25" t="s">
        <v>1555</v>
      </c>
      <c r="N5" s="6">
        <v>15</v>
      </c>
    </row>
    <row r="6" spans="1:14">
      <c r="A6" t="s">
        <v>1545</v>
      </c>
      <c r="B6" t="s">
        <v>1546</v>
      </c>
      <c r="C6" t="s">
        <v>1536</v>
      </c>
      <c r="D6" t="s">
        <v>1547</v>
      </c>
      <c r="E6" t="s">
        <v>1548</v>
      </c>
      <c r="F6">
        <v>306.45999999999998</v>
      </c>
      <c r="G6">
        <v>487</v>
      </c>
      <c r="I6" s="25" t="s">
        <v>1536</v>
      </c>
      <c r="J6" s="6">
        <v>18</v>
      </c>
      <c r="M6" s="25" t="s">
        <v>1536</v>
      </c>
      <c r="N6" s="6">
        <v>18</v>
      </c>
    </row>
    <row r="7" spans="1:14">
      <c r="A7" t="s">
        <v>1549</v>
      </c>
      <c r="B7" t="s">
        <v>1550</v>
      </c>
      <c r="C7" t="s">
        <v>1536</v>
      </c>
      <c r="D7" t="s">
        <v>1551</v>
      </c>
      <c r="E7" t="s">
        <v>1552</v>
      </c>
      <c r="F7">
        <v>261</v>
      </c>
      <c r="G7">
        <v>59</v>
      </c>
      <c r="I7" s="25" t="s">
        <v>1531</v>
      </c>
      <c r="J7" s="6">
        <v>21</v>
      </c>
      <c r="M7" s="25" t="s">
        <v>1531</v>
      </c>
      <c r="N7" s="6">
        <v>21</v>
      </c>
    </row>
    <row r="8" spans="1:14">
      <c r="A8" t="s">
        <v>1553</v>
      </c>
      <c r="B8" t="s">
        <v>1554</v>
      </c>
      <c r="C8" t="s">
        <v>1555</v>
      </c>
      <c r="D8" t="s">
        <v>1556</v>
      </c>
      <c r="E8" t="s">
        <v>1557</v>
      </c>
      <c r="F8">
        <v>312.8</v>
      </c>
      <c r="G8">
        <v>350</v>
      </c>
      <c r="I8" s="25" t="s">
        <v>1560</v>
      </c>
      <c r="J8" s="6">
        <v>21</v>
      </c>
      <c r="M8" s="25" t="s">
        <v>1560</v>
      </c>
      <c r="N8" s="6">
        <v>21</v>
      </c>
    </row>
    <row r="9" spans="1:14">
      <c r="A9" t="s">
        <v>1558</v>
      </c>
      <c r="B9" t="s">
        <v>1559</v>
      </c>
      <c r="C9" t="s">
        <v>1560</v>
      </c>
      <c r="D9" t="s">
        <v>1561</v>
      </c>
      <c r="E9" t="s">
        <v>1562</v>
      </c>
      <c r="F9">
        <v>218.86</v>
      </c>
      <c r="G9">
        <v>170</v>
      </c>
      <c r="I9" s="25" t="s">
        <v>1569</v>
      </c>
      <c r="J9" s="6">
        <v>25</v>
      </c>
      <c r="M9" s="25" t="s">
        <v>1569</v>
      </c>
      <c r="N9" s="6">
        <v>25</v>
      </c>
    </row>
    <row r="10" spans="1:14">
      <c r="A10" t="s">
        <v>1563</v>
      </c>
      <c r="B10" t="s">
        <v>1564</v>
      </c>
      <c r="C10" t="s">
        <v>1531</v>
      </c>
      <c r="D10" t="s">
        <v>1565</v>
      </c>
      <c r="E10" t="s">
        <v>1566</v>
      </c>
      <c r="F10">
        <v>439.07</v>
      </c>
      <c r="G10">
        <v>142</v>
      </c>
      <c r="I10" s="25" t="s">
        <v>3968</v>
      </c>
      <c r="J10" s="6"/>
      <c r="M10" s="25" t="s">
        <v>3969</v>
      </c>
      <c r="N10" s="6">
        <v>100</v>
      </c>
    </row>
    <row r="11" spans="1:14">
      <c r="A11" t="s">
        <v>1567</v>
      </c>
      <c r="B11" t="s">
        <v>1568</v>
      </c>
      <c r="C11" t="s">
        <v>1569</v>
      </c>
      <c r="D11" t="s">
        <v>1570</v>
      </c>
      <c r="E11" t="s">
        <v>1571</v>
      </c>
      <c r="F11">
        <v>495.72</v>
      </c>
      <c r="G11">
        <v>323</v>
      </c>
      <c r="I11" s="25" t="s">
        <v>3969</v>
      </c>
      <c r="J11" s="6">
        <v>100</v>
      </c>
    </row>
    <row r="12" spans="1:14">
      <c r="A12" t="s">
        <v>1572</v>
      </c>
      <c r="B12" t="s">
        <v>1573</v>
      </c>
      <c r="C12" t="s">
        <v>1560</v>
      </c>
      <c r="D12" t="s">
        <v>1574</v>
      </c>
      <c r="E12" t="s">
        <v>1575</v>
      </c>
      <c r="F12">
        <v>298.86</v>
      </c>
      <c r="G12">
        <v>308</v>
      </c>
    </row>
    <row r="13" spans="1:14">
      <c r="A13" t="s">
        <v>1576</v>
      </c>
      <c r="B13" t="s">
        <v>1577</v>
      </c>
      <c r="C13" t="s">
        <v>1531</v>
      </c>
      <c r="D13" t="s">
        <v>1551</v>
      </c>
      <c r="E13" t="s">
        <v>1578</v>
      </c>
      <c r="F13">
        <v>449.4</v>
      </c>
    </row>
    <row r="14" spans="1:14">
      <c r="A14" t="s">
        <v>1579</v>
      </c>
      <c r="B14" t="s">
        <v>1580</v>
      </c>
      <c r="C14" t="s">
        <v>1555</v>
      </c>
      <c r="D14" t="s">
        <v>1581</v>
      </c>
      <c r="E14" t="s">
        <v>1582</v>
      </c>
      <c r="F14">
        <v>115.82</v>
      </c>
      <c r="G14">
        <v>460</v>
      </c>
    </row>
    <row r="15" spans="1:14">
      <c r="A15" t="s">
        <v>1583</v>
      </c>
      <c r="B15" t="s">
        <v>1584</v>
      </c>
      <c r="C15" t="s">
        <v>1531</v>
      </c>
      <c r="D15" t="s">
        <v>1551</v>
      </c>
      <c r="E15" t="s">
        <v>1585</v>
      </c>
      <c r="F15">
        <v>242.23</v>
      </c>
      <c r="G15">
        <v>453</v>
      </c>
    </row>
    <row r="16" spans="1:14">
      <c r="A16" t="s">
        <v>1586</v>
      </c>
      <c r="B16" t="s">
        <v>1587</v>
      </c>
      <c r="C16" t="s">
        <v>1560</v>
      </c>
      <c r="D16" t="s">
        <v>1588</v>
      </c>
      <c r="E16" t="s">
        <v>1589</v>
      </c>
      <c r="F16">
        <v>48.01</v>
      </c>
      <c r="G16">
        <v>439</v>
      </c>
    </row>
    <row r="17" spans="1:7">
      <c r="A17" t="s">
        <v>1590</v>
      </c>
      <c r="B17" t="s">
        <v>1591</v>
      </c>
      <c r="C17" t="s">
        <v>1531</v>
      </c>
      <c r="D17" t="s">
        <v>1592</v>
      </c>
      <c r="E17" t="s">
        <v>1593</v>
      </c>
      <c r="F17">
        <v>465.34</v>
      </c>
      <c r="G17">
        <v>301</v>
      </c>
    </row>
    <row r="18" spans="1:7">
      <c r="A18" t="s">
        <v>1970</v>
      </c>
      <c r="B18" t="s">
        <v>1594</v>
      </c>
      <c r="C18" t="s">
        <v>1555</v>
      </c>
      <c r="D18" t="s">
        <v>1595</v>
      </c>
      <c r="E18" t="s">
        <v>1596</v>
      </c>
      <c r="F18">
        <v>337.42</v>
      </c>
      <c r="G18">
        <v>256</v>
      </c>
    </row>
    <row r="19" spans="1:7">
      <c r="A19" t="s">
        <v>1597</v>
      </c>
      <c r="B19" t="s">
        <v>1598</v>
      </c>
      <c r="C19" t="s">
        <v>1569</v>
      </c>
      <c r="D19" t="s">
        <v>1551</v>
      </c>
      <c r="E19" t="s">
        <v>1599</v>
      </c>
      <c r="F19">
        <v>144.53</v>
      </c>
      <c r="G19">
        <v>367</v>
      </c>
    </row>
    <row r="20" spans="1:7">
      <c r="A20" t="s">
        <v>1600</v>
      </c>
      <c r="B20" t="s">
        <v>1601</v>
      </c>
      <c r="C20" t="s">
        <v>1536</v>
      </c>
      <c r="D20" t="s">
        <v>1547</v>
      </c>
      <c r="E20" t="s">
        <v>1602</v>
      </c>
      <c r="G20">
        <v>343</v>
      </c>
    </row>
    <row r="21" spans="1:7">
      <c r="A21" t="s">
        <v>1603</v>
      </c>
      <c r="B21" t="s">
        <v>1604</v>
      </c>
      <c r="C21" t="s">
        <v>1569</v>
      </c>
      <c r="D21" t="s">
        <v>1605</v>
      </c>
      <c r="E21" t="s">
        <v>1606</v>
      </c>
      <c r="F21">
        <v>21.34</v>
      </c>
      <c r="G21">
        <v>65</v>
      </c>
    </row>
    <row r="22" spans="1:7">
      <c r="A22" t="s">
        <v>1607</v>
      </c>
      <c r="B22" t="s">
        <v>1608</v>
      </c>
      <c r="C22" t="s">
        <v>1569</v>
      </c>
      <c r="D22" t="s">
        <v>1551</v>
      </c>
      <c r="E22" t="s">
        <v>1609</v>
      </c>
      <c r="F22">
        <v>131.51</v>
      </c>
    </row>
    <row r="23" spans="1:7">
      <c r="A23" t="s">
        <v>1610</v>
      </c>
      <c r="B23" t="s">
        <v>1611</v>
      </c>
      <c r="C23" t="s">
        <v>1560</v>
      </c>
      <c r="D23" t="s">
        <v>1612</v>
      </c>
      <c r="E23" t="s">
        <v>1613</v>
      </c>
      <c r="F23">
        <v>123.46</v>
      </c>
      <c r="G23">
        <v>76</v>
      </c>
    </row>
    <row r="24" spans="1:7">
      <c r="A24" t="s">
        <v>1614</v>
      </c>
      <c r="B24" t="s">
        <v>1615</v>
      </c>
      <c r="C24" t="s">
        <v>1569</v>
      </c>
      <c r="D24" t="s">
        <v>1605</v>
      </c>
      <c r="E24" t="s">
        <v>1616</v>
      </c>
      <c r="F24">
        <v>484.62</v>
      </c>
      <c r="G24">
        <v>432</v>
      </c>
    </row>
    <row r="25" spans="1:7">
      <c r="A25" t="s">
        <v>1617</v>
      </c>
      <c r="B25" t="s">
        <v>1618</v>
      </c>
      <c r="C25" t="s">
        <v>1536</v>
      </c>
      <c r="D25" t="s">
        <v>1537</v>
      </c>
      <c r="E25" t="s">
        <v>1619</v>
      </c>
      <c r="G25">
        <v>360</v>
      </c>
    </row>
    <row r="26" spans="1:7">
      <c r="A26" t="s">
        <v>1620</v>
      </c>
      <c r="B26" t="s">
        <v>1621</v>
      </c>
      <c r="C26" t="s">
        <v>1569</v>
      </c>
      <c r="D26" t="s">
        <v>1622</v>
      </c>
      <c r="E26" t="s">
        <v>1623</v>
      </c>
      <c r="F26">
        <v>166.06</v>
      </c>
      <c r="G26">
        <v>340</v>
      </c>
    </row>
    <row r="27" spans="1:7">
      <c r="A27" t="s">
        <v>1624</v>
      </c>
      <c r="B27" t="s">
        <v>1625</v>
      </c>
      <c r="C27" t="s">
        <v>1536</v>
      </c>
      <c r="D27" t="s">
        <v>1551</v>
      </c>
      <c r="E27" t="s">
        <v>1626</v>
      </c>
      <c r="F27">
        <v>174.02</v>
      </c>
      <c r="G27">
        <v>268</v>
      </c>
    </row>
    <row r="28" spans="1:7">
      <c r="A28" t="s">
        <v>1627</v>
      </c>
      <c r="B28" t="s">
        <v>1628</v>
      </c>
      <c r="C28" t="s">
        <v>1531</v>
      </c>
      <c r="D28" t="s">
        <v>1565</v>
      </c>
      <c r="E28" t="s">
        <v>1629</v>
      </c>
      <c r="F28">
        <v>322.41000000000003</v>
      </c>
      <c r="G28">
        <v>213</v>
      </c>
    </row>
    <row r="29" spans="1:7">
      <c r="A29" t="s">
        <v>1630</v>
      </c>
      <c r="B29" t="s">
        <v>1631</v>
      </c>
      <c r="C29" t="s">
        <v>1560</v>
      </c>
      <c r="D29" t="s">
        <v>1588</v>
      </c>
      <c r="E29" t="s">
        <v>1632</v>
      </c>
      <c r="G29">
        <v>378</v>
      </c>
    </row>
    <row r="30" spans="1:7">
      <c r="A30" t="s">
        <v>1633</v>
      </c>
      <c r="B30" t="s">
        <v>1634</v>
      </c>
      <c r="C30" t="s">
        <v>1569</v>
      </c>
      <c r="D30" t="s">
        <v>1551</v>
      </c>
      <c r="E30" t="s">
        <v>1635</v>
      </c>
      <c r="F30">
        <v>38.76</v>
      </c>
      <c r="G30">
        <v>137</v>
      </c>
    </row>
    <row r="31" spans="1:7">
      <c r="A31" t="s">
        <v>1636</v>
      </c>
      <c r="B31" t="s">
        <v>1637</v>
      </c>
      <c r="C31" t="s">
        <v>1560</v>
      </c>
      <c r="D31" t="s">
        <v>1588</v>
      </c>
      <c r="E31" t="s">
        <v>1638</v>
      </c>
      <c r="F31">
        <v>218.48</v>
      </c>
      <c r="G31">
        <v>276</v>
      </c>
    </row>
    <row r="32" spans="1:7">
      <c r="A32" t="s">
        <v>1639</v>
      </c>
      <c r="B32" t="s">
        <v>1640</v>
      </c>
      <c r="C32" t="s">
        <v>1560</v>
      </c>
      <c r="D32" t="s">
        <v>1574</v>
      </c>
      <c r="E32" t="s">
        <v>1641</v>
      </c>
      <c r="F32">
        <v>19.52</v>
      </c>
      <c r="G32">
        <v>57</v>
      </c>
    </row>
    <row r="33" spans="1:7">
      <c r="A33" t="s">
        <v>1642</v>
      </c>
      <c r="B33" t="s">
        <v>1643</v>
      </c>
      <c r="C33" t="s">
        <v>1569</v>
      </c>
      <c r="D33" t="s">
        <v>1644</v>
      </c>
      <c r="E33" t="s">
        <v>1645</v>
      </c>
      <c r="F33">
        <v>204.39</v>
      </c>
      <c r="G33">
        <v>281</v>
      </c>
    </row>
    <row r="34" spans="1:7">
      <c r="A34" t="s">
        <v>1646</v>
      </c>
      <c r="B34" t="s">
        <v>1647</v>
      </c>
      <c r="C34" t="s">
        <v>1555</v>
      </c>
      <c r="D34" t="s">
        <v>1556</v>
      </c>
      <c r="E34" t="s">
        <v>1648</v>
      </c>
      <c r="F34">
        <v>283.83</v>
      </c>
      <c r="G34">
        <v>244</v>
      </c>
    </row>
    <row r="35" spans="1:7">
      <c r="A35" t="s">
        <v>1649</v>
      </c>
      <c r="B35" t="s">
        <v>1650</v>
      </c>
      <c r="C35" t="s">
        <v>1560</v>
      </c>
      <c r="D35" t="s">
        <v>1588</v>
      </c>
      <c r="E35" t="s">
        <v>1651</v>
      </c>
      <c r="F35">
        <v>179.77</v>
      </c>
      <c r="G35">
        <v>305</v>
      </c>
    </row>
    <row r="36" spans="1:7">
      <c r="A36" t="s">
        <v>1652</v>
      </c>
      <c r="B36" t="s">
        <v>1653</v>
      </c>
      <c r="C36" t="s">
        <v>1531</v>
      </c>
      <c r="D36" t="s">
        <v>1532</v>
      </c>
      <c r="E36" t="s">
        <v>1654</v>
      </c>
      <c r="F36">
        <v>419.28</v>
      </c>
      <c r="G36">
        <v>86</v>
      </c>
    </row>
    <row r="37" spans="1:7">
      <c r="A37" t="s">
        <v>1655</v>
      </c>
      <c r="B37" t="s">
        <v>1656</v>
      </c>
      <c r="C37" t="s">
        <v>1560</v>
      </c>
      <c r="D37" t="s">
        <v>1561</v>
      </c>
      <c r="E37" t="s">
        <v>1657</v>
      </c>
      <c r="F37">
        <v>382.22</v>
      </c>
      <c r="G37">
        <v>329</v>
      </c>
    </row>
    <row r="38" spans="1:7">
      <c r="A38" t="s">
        <v>1658</v>
      </c>
      <c r="B38" t="s">
        <v>1659</v>
      </c>
      <c r="C38" t="s">
        <v>1536</v>
      </c>
      <c r="D38" t="s">
        <v>1537</v>
      </c>
      <c r="E38" t="s">
        <v>1660</v>
      </c>
      <c r="F38">
        <v>223.43</v>
      </c>
      <c r="G38">
        <v>154</v>
      </c>
    </row>
    <row r="39" spans="1:7">
      <c r="A39" t="s">
        <v>1661</v>
      </c>
      <c r="B39" t="s">
        <v>1662</v>
      </c>
      <c r="C39" t="s">
        <v>1536</v>
      </c>
      <c r="D39" t="s">
        <v>1663</v>
      </c>
      <c r="E39" t="s">
        <v>1664</v>
      </c>
      <c r="F39">
        <v>353.47</v>
      </c>
      <c r="G39">
        <v>214</v>
      </c>
    </row>
    <row r="40" spans="1:7">
      <c r="A40" t="s">
        <v>1665</v>
      </c>
      <c r="B40" t="s">
        <v>1666</v>
      </c>
      <c r="C40" t="s">
        <v>1569</v>
      </c>
      <c r="D40" t="s">
        <v>1622</v>
      </c>
      <c r="E40" t="s">
        <v>1667</v>
      </c>
      <c r="F40">
        <v>135.61000000000001</v>
      </c>
      <c r="G40">
        <v>394</v>
      </c>
    </row>
    <row r="41" spans="1:7">
      <c r="A41" t="s">
        <v>1668</v>
      </c>
      <c r="B41" t="s">
        <v>1669</v>
      </c>
      <c r="C41" t="s">
        <v>1531</v>
      </c>
      <c r="D41" t="s">
        <v>1670</v>
      </c>
      <c r="E41" t="s">
        <v>1671</v>
      </c>
      <c r="F41">
        <v>326.06</v>
      </c>
      <c r="G41">
        <v>301</v>
      </c>
    </row>
    <row r="42" spans="1:7">
      <c r="A42" t="s">
        <v>1672</v>
      </c>
      <c r="B42" t="s">
        <v>1673</v>
      </c>
      <c r="C42" t="s">
        <v>1531</v>
      </c>
      <c r="D42" t="s">
        <v>1565</v>
      </c>
      <c r="E42" t="s">
        <v>1674</v>
      </c>
      <c r="F42">
        <v>38.520000000000003</v>
      </c>
      <c r="G42">
        <v>378</v>
      </c>
    </row>
    <row r="43" spans="1:7">
      <c r="A43" t="s">
        <v>1675</v>
      </c>
      <c r="B43" t="s">
        <v>1676</v>
      </c>
      <c r="C43" t="s">
        <v>1569</v>
      </c>
      <c r="D43" t="s">
        <v>1570</v>
      </c>
      <c r="E43" t="s">
        <v>1677</v>
      </c>
      <c r="F43">
        <v>313.26</v>
      </c>
      <c r="G43">
        <v>369</v>
      </c>
    </row>
    <row r="44" spans="1:7">
      <c r="A44" t="s">
        <v>1678</v>
      </c>
      <c r="B44" t="s">
        <v>1679</v>
      </c>
      <c r="C44" t="s">
        <v>1531</v>
      </c>
      <c r="D44" t="s">
        <v>1551</v>
      </c>
      <c r="E44" t="s">
        <v>1680</v>
      </c>
      <c r="F44">
        <v>450.71</v>
      </c>
      <c r="G44">
        <v>389</v>
      </c>
    </row>
    <row r="45" spans="1:7">
      <c r="A45" t="s">
        <v>1681</v>
      </c>
      <c r="B45" t="s">
        <v>1682</v>
      </c>
      <c r="C45" t="s">
        <v>1531</v>
      </c>
      <c r="D45" t="s">
        <v>1532</v>
      </c>
      <c r="E45" t="s">
        <v>1683</v>
      </c>
      <c r="F45">
        <v>253.33</v>
      </c>
      <c r="G45">
        <v>266</v>
      </c>
    </row>
    <row r="46" spans="1:7">
      <c r="A46" t="s">
        <v>1684</v>
      </c>
      <c r="B46" t="s">
        <v>1685</v>
      </c>
      <c r="C46" t="s">
        <v>1569</v>
      </c>
      <c r="D46" t="s">
        <v>1570</v>
      </c>
      <c r="E46" t="s">
        <v>1686</v>
      </c>
      <c r="F46">
        <v>167.12</v>
      </c>
      <c r="G46">
        <v>316</v>
      </c>
    </row>
    <row r="47" spans="1:7">
      <c r="A47" t="s">
        <v>1687</v>
      </c>
      <c r="B47" t="s">
        <v>1688</v>
      </c>
      <c r="C47" t="s">
        <v>1569</v>
      </c>
      <c r="D47" t="s">
        <v>1644</v>
      </c>
      <c r="E47" t="s">
        <v>1689</v>
      </c>
      <c r="F47">
        <v>318.91000000000003</v>
      </c>
      <c r="G47">
        <v>114</v>
      </c>
    </row>
    <row r="48" spans="1:7">
      <c r="A48" t="s">
        <v>1690</v>
      </c>
      <c r="B48" t="s">
        <v>1691</v>
      </c>
      <c r="C48" t="s">
        <v>1536</v>
      </c>
      <c r="D48" t="s">
        <v>1541</v>
      </c>
      <c r="E48" t="s">
        <v>1692</v>
      </c>
      <c r="F48">
        <v>167.34</v>
      </c>
      <c r="G48">
        <v>296</v>
      </c>
    </row>
    <row r="49" spans="1:7">
      <c r="A49" t="s">
        <v>1693</v>
      </c>
      <c r="B49" t="s">
        <v>1694</v>
      </c>
      <c r="C49" t="s">
        <v>1555</v>
      </c>
      <c r="D49" t="s">
        <v>1695</v>
      </c>
      <c r="E49" t="s">
        <v>1696</v>
      </c>
      <c r="G49">
        <v>431</v>
      </c>
    </row>
    <row r="50" spans="1:7">
      <c r="A50" t="s">
        <v>1697</v>
      </c>
      <c r="B50" t="s">
        <v>1698</v>
      </c>
      <c r="C50" t="s">
        <v>1531</v>
      </c>
      <c r="D50" t="s">
        <v>1551</v>
      </c>
      <c r="E50" t="s">
        <v>1699</v>
      </c>
      <c r="F50">
        <v>177.98</v>
      </c>
      <c r="G50">
        <v>103</v>
      </c>
    </row>
    <row r="51" spans="1:7">
      <c r="A51" t="s">
        <v>1700</v>
      </c>
      <c r="B51" t="s">
        <v>1701</v>
      </c>
      <c r="C51" t="s">
        <v>1555</v>
      </c>
      <c r="D51" t="s">
        <v>1702</v>
      </c>
      <c r="E51" t="s">
        <v>1703</v>
      </c>
      <c r="F51">
        <v>43.29</v>
      </c>
      <c r="G51">
        <v>267</v>
      </c>
    </row>
    <row r="52" spans="1:7">
      <c r="A52" t="s">
        <v>1704</v>
      </c>
      <c r="B52" t="s">
        <v>1705</v>
      </c>
      <c r="C52" t="s">
        <v>1569</v>
      </c>
      <c r="D52" t="s">
        <v>1570</v>
      </c>
      <c r="E52" t="s">
        <v>1706</v>
      </c>
      <c r="F52">
        <v>190.29</v>
      </c>
      <c r="G52">
        <v>260</v>
      </c>
    </row>
    <row r="53" spans="1:7">
      <c r="A53" t="s">
        <v>1707</v>
      </c>
      <c r="B53" t="s">
        <v>1708</v>
      </c>
      <c r="C53" t="s">
        <v>1531</v>
      </c>
      <c r="D53" t="s">
        <v>1551</v>
      </c>
      <c r="E53" t="s">
        <v>1709</v>
      </c>
      <c r="F53">
        <v>88.49</v>
      </c>
      <c r="G53">
        <v>246</v>
      </c>
    </row>
    <row r="54" spans="1:7">
      <c r="A54" t="s">
        <v>1710</v>
      </c>
      <c r="B54" t="s">
        <v>1711</v>
      </c>
      <c r="C54" t="s">
        <v>1569</v>
      </c>
      <c r="D54" t="s">
        <v>1644</v>
      </c>
      <c r="E54" t="s">
        <v>1712</v>
      </c>
      <c r="F54">
        <v>212.26</v>
      </c>
      <c r="G54">
        <v>82</v>
      </c>
    </row>
    <row r="55" spans="1:7">
      <c r="A55" t="s">
        <v>1713</v>
      </c>
      <c r="B55" t="s">
        <v>1714</v>
      </c>
      <c r="C55" t="s">
        <v>1536</v>
      </c>
      <c r="D55" t="s">
        <v>1547</v>
      </c>
      <c r="E55" t="s">
        <v>1715</v>
      </c>
      <c r="F55">
        <v>386.56</v>
      </c>
      <c r="G55">
        <v>125</v>
      </c>
    </row>
    <row r="56" spans="1:7">
      <c r="A56" t="s">
        <v>1716</v>
      </c>
      <c r="B56" t="s">
        <v>1717</v>
      </c>
      <c r="C56" t="s">
        <v>1569</v>
      </c>
      <c r="D56" t="s">
        <v>1551</v>
      </c>
      <c r="E56" t="s">
        <v>1718</v>
      </c>
      <c r="F56">
        <v>434.84</v>
      </c>
      <c r="G56">
        <v>185</v>
      </c>
    </row>
    <row r="57" spans="1:7">
      <c r="A57" t="s">
        <v>1719</v>
      </c>
      <c r="B57" t="s">
        <v>1720</v>
      </c>
      <c r="C57" t="s">
        <v>1560</v>
      </c>
      <c r="D57" t="s">
        <v>1588</v>
      </c>
      <c r="E57" t="s">
        <v>1721</v>
      </c>
      <c r="F57">
        <v>81.75</v>
      </c>
    </row>
    <row r="58" spans="1:7">
      <c r="A58" t="s">
        <v>1722</v>
      </c>
      <c r="B58" t="s">
        <v>1723</v>
      </c>
      <c r="C58" t="s">
        <v>1560</v>
      </c>
      <c r="D58" t="s">
        <v>1588</v>
      </c>
      <c r="E58" t="s">
        <v>1724</v>
      </c>
      <c r="F58">
        <v>461.47</v>
      </c>
      <c r="G58">
        <v>190</v>
      </c>
    </row>
    <row r="59" spans="1:7">
      <c r="A59" t="s">
        <v>1725</v>
      </c>
      <c r="B59" t="s">
        <v>1726</v>
      </c>
      <c r="C59" t="s">
        <v>1569</v>
      </c>
      <c r="D59" t="s">
        <v>1570</v>
      </c>
      <c r="E59" t="s">
        <v>1727</v>
      </c>
      <c r="F59">
        <v>30.62</v>
      </c>
      <c r="G59">
        <v>138</v>
      </c>
    </row>
    <row r="60" spans="1:7">
      <c r="A60" t="s">
        <v>1728</v>
      </c>
      <c r="B60" t="s">
        <v>1729</v>
      </c>
      <c r="C60" t="s">
        <v>1536</v>
      </c>
      <c r="D60" t="s">
        <v>1551</v>
      </c>
      <c r="E60" t="s">
        <v>1730</v>
      </c>
      <c r="F60">
        <v>113.83</v>
      </c>
      <c r="G60">
        <v>485</v>
      </c>
    </row>
    <row r="61" spans="1:7">
      <c r="A61" t="s">
        <v>1731</v>
      </c>
      <c r="B61" t="s">
        <v>1732</v>
      </c>
      <c r="C61" t="s">
        <v>1555</v>
      </c>
      <c r="D61" t="s">
        <v>1581</v>
      </c>
      <c r="E61" t="s">
        <v>1733</v>
      </c>
      <c r="F61">
        <v>17.309999999999999</v>
      </c>
      <c r="G61">
        <v>399</v>
      </c>
    </row>
    <row r="62" spans="1:7">
      <c r="A62" t="s">
        <v>1734</v>
      </c>
      <c r="B62" t="s">
        <v>1735</v>
      </c>
      <c r="C62" t="s">
        <v>1555</v>
      </c>
      <c r="D62" t="s">
        <v>1702</v>
      </c>
      <c r="E62" t="s">
        <v>1736</v>
      </c>
      <c r="F62">
        <v>482.75</v>
      </c>
      <c r="G62">
        <v>444</v>
      </c>
    </row>
    <row r="63" spans="1:7">
      <c r="A63" t="s">
        <v>1737</v>
      </c>
      <c r="B63" t="s">
        <v>1738</v>
      </c>
      <c r="C63" t="s">
        <v>1569</v>
      </c>
      <c r="D63" t="s">
        <v>1605</v>
      </c>
      <c r="E63" t="s">
        <v>1739</v>
      </c>
      <c r="F63">
        <v>103.45</v>
      </c>
      <c r="G63">
        <v>465</v>
      </c>
    </row>
    <row r="64" spans="1:7">
      <c r="A64" t="s">
        <v>1740</v>
      </c>
      <c r="B64" t="s">
        <v>1741</v>
      </c>
      <c r="C64" t="s">
        <v>1531</v>
      </c>
      <c r="D64" t="s">
        <v>1532</v>
      </c>
      <c r="E64" t="s">
        <v>1742</v>
      </c>
      <c r="F64">
        <v>86.42</v>
      </c>
      <c r="G64">
        <v>222</v>
      </c>
    </row>
    <row r="65" spans="1:7">
      <c r="A65" t="s">
        <v>1743</v>
      </c>
      <c r="B65" t="s">
        <v>1744</v>
      </c>
      <c r="C65" t="s">
        <v>1555</v>
      </c>
      <c r="D65" t="s">
        <v>1556</v>
      </c>
      <c r="E65" t="s">
        <v>1745</v>
      </c>
      <c r="F65">
        <v>266.86</v>
      </c>
      <c r="G65">
        <v>458</v>
      </c>
    </row>
    <row r="66" spans="1:7">
      <c r="A66" t="s">
        <v>1746</v>
      </c>
      <c r="B66" t="s">
        <v>1747</v>
      </c>
      <c r="C66" t="s">
        <v>1555</v>
      </c>
      <c r="D66" t="s">
        <v>1695</v>
      </c>
      <c r="E66" t="s">
        <v>1748</v>
      </c>
      <c r="F66">
        <v>299.11</v>
      </c>
      <c r="G66">
        <v>118</v>
      </c>
    </row>
    <row r="67" spans="1:7">
      <c r="A67" t="s">
        <v>1749</v>
      </c>
      <c r="B67" t="s">
        <v>1750</v>
      </c>
      <c r="C67" t="s">
        <v>1569</v>
      </c>
      <c r="D67" t="s">
        <v>1570</v>
      </c>
      <c r="E67" t="s">
        <v>1751</v>
      </c>
      <c r="F67">
        <v>240.63</v>
      </c>
      <c r="G67">
        <v>423</v>
      </c>
    </row>
    <row r="68" spans="1:7">
      <c r="A68" t="s">
        <v>1752</v>
      </c>
      <c r="B68" t="s">
        <v>1753</v>
      </c>
      <c r="C68" t="s">
        <v>1555</v>
      </c>
      <c r="D68" t="s">
        <v>1581</v>
      </c>
      <c r="E68" t="s">
        <v>1754</v>
      </c>
      <c r="F68">
        <v>340.39</v>
      </c>
      <c r="G68">
        <v>177</v>
      </c>
    </row>
    <row r="69" spans="1:7">
      <c r="A69" t="s">
        <v>1755</v>
      </c>
      <c r="B69" t="s">
        <v>1756</v>
      </c>
      <c r="C69" t="s">
        <v>1531</v>
      </c>
      <c r="D69" t="s">
        <v>1551</v>
      </c>
      <c r="E69" t="s">
        <v>1757</v>
      </c>
      <c r="F69">
        <v>349.17</v>
      </c>
      <c r="G69">
        <v>476</v>
      </c>
    </row>
    <row r="70" spans="1:7">
      <c r="A70" t="s">
        <v>1758</v>
      </c>
      <c r="B70" t="s">
        <v>1759</v>
      </c>
      <c r="C70" t="s">
        <v>1560</v>
      </c>
      <c r="D70" t="s">
        <v>1760</v>
      </c>
      <c r="E70" t="s">
        <v>1761</v>
      </c>
      <c r="F70">
        <v>243.7</v>
      </c>
      <c r="G70">
        <v>130</v>
      </c>
    </row>
    <row r="71" spans="1:7">
      <c r="A71" t="s">
        <v>1762</v>
      </c>
      <c r="B71" t="s">
        <v>1763</v>
      </c>
      <c r="C71" t="s">
        <v>1536</v>
      </c>
      <c r="D71" t="s">
        <v>1547</v>
      </c>
      <c r="E71" t="s">
        <v>1764</v>
      </c>
      <c r="F71">
        <v>218.22</v>
      </c>
      <c r="G71">
        <v>224</v>
      </c>
    </row>
    <row r="72" spans="1:7">
      <c r="A72" t="s">
        <v>1765</v>
      </c>
      <c r="B72" t="s">
        <v>1766</v>
      </c>
      <c r="C72" t="s">
        <v>1560</v>
      </c>
      <c r="D72" t="s">
        <v>1612</v>
      </c>
      <c r="E72" t="s">
        <v>1767</v>
      </c>
      <c r="F72">
        <v>138.05000000000001</v>
      </c>
      <c r="G72">
        <v>89</v>
      </c>
    </row>
    <row r="73" spans="1:7">
      <c r="A73" t="s">
        <v>1768</v>
      </c>
      <c r="B73" t="s">
        <v>1769</v>
      </c>
      <c r="C73" t="s">
        <v>1555</v>
      </c>
      <c r="D73" t="s">
        <v>1581</v>
      </c>
      <c r="E73" t="s">
        <v>1770</v>
      </c>
      <c r="F73">
        <v>214.32</v>
      </c>
      <c r="G73">
        <v>383</v>
      </c>
    </row>
    <row r="74" spans="1:7">
      <c r="A74" t="s">
        <v>1771</v>
      </c>
      <c r="B74" t="s">
        <v>1772</v>
      </c>
      <c r="C74" t="s">
        <v>1569</v>
      </c>
      <c r="D74" t="s">
        <v>1570</v>
      </c>
      <c r="E74" t="s">
        <v>1773</v>
      </c>
      <c r="F74">
        <v>477.61</v>
      </c>
      <c r="G74">
        <v>300</v>
      </c>
    </row>
    <row r="75" spans="1:7">
      <c r="A75" t="s">
        <v>1774</v>
      </c>
      <c r="B75" t="s">
        <v>1775</v>
      </c>
      <c r="C75" t="s">
        <v>1569</v>
      </c>
      <c r="D75" t="s">
        <v>1644</v>
      </c>
      <c r="E75" t="s">
        <v>1776</v>
      </c>
      <c r="F75">
        <v>107.06</v>
      </c>
      <c r="G75">
        <v>359</v>
      </c>
    </row>
    <row r="76" spans="1:7">
      <c r="A76" t="s">
        <v>1777</v>
      </c>
      <c r="B76" t="s">
        <v>1778</v>
      </c>
      <c r="C76" t="s">
        <v>1531</v>
      </c>
      <c r="D76" t="s">
        <v>1565</v>
      </c>
      <c r="E76" t="s">
        <v>1779</v>
      </c>
      <c r="F76">
        <v>403.71</v>
      </c>
      <c r="G76">
        <v>159</v>
      </c>
    </row>
    <row r="77" spans="1:7">
      <c r="A77" t="s">
        <v>1780</v>
      </c>
      <c r="B77" t="s">
        <v>1781</v>
      </c>
      <c r="C77" t="s">
        <v>1536</v>
      </c>
      <c r="D77" t="s">
        <v>1663</v>
      </c>
      <c r="E77" t="s">
        <v>1782</v>
      </c>
      <c r="F77">
        <v>158.13999999999999</v>
      </c>
      <c r="G77">
        <v>82</v>
      </c>
    </row>
    <row r="78" spans="1:7">
      <c r="A78" t="s">
        <v>1783</v>
      </c>
      <c r="B78" t="s">
        <v>1784</v>
      </c>
      <c r="C78" t="s">
        <v>1531</v>
      </c>
      <c r="D78" t="s">
        <v>1532</v>
      </c>
      <c r="E78" t="s">
        <v>1785</v>
      </c>
      <c r="F78">
        <v>392.89</v>
      </c>
      <c r="G78">
        <v>320</v>
      </c>
    </row>
    <row r="79" spans="1:7">
      <c r="A79" t="s">
        <v>1786</v>
      </c>
      <c r="B79" t="s">
        <v>1787</v>
      </c>
      <c r="C79" t="s">
        <v>1531</v>
      </c>
      <c r="D79" t="s">
        <v>1592</v>
      </c>
      <c r="E79" t="s">
        <v>1788</v>
      </c>
      <c r="F79">
        <v>480.9</v>
      </c>
      <c r="G79">
        <v>104</v>
      </c>
    </row>
    <row r="80" spans="1:7">
      <c r="A80" t="s">
        <v>1789</v>
      </c>
      <c r="B80" t="s">
        <v>1790</v>
      </c>
      <c r="C80" t="s">
        <v>1560</v>
      </c>
      <c r="D80" t="s">
        <v>1588</v>
      </c>
      <c r="E80" t="s">
        <v>1791</v>
      </c>
      <c r="F80">
        <v>325.26</v>
      </c>
      <c r="G80">
        <v>400</v>
      </c>
    </row>
    <row r="81" spans="1:7">
      <c r="A81" t="s">
        <v>1792</v>
      </c>
      <c r="B81" t="s">
        <v>1793</v>
      </c>
      <c r="C81" t="s">
        <v>1560</v>
      </c>
      <c r="D81" t="s">
        <v>1561</v>
      </c>
      <c r="E81" t="s">
        <v>1794</v>
      </c>
      <c r="F81">
        <v>228.53</v>
      </c>
      <c r="G81">
        <v>469</v>
      </c>
    </row>
    <row r="82" spans="1:7">
      <c r="A82" t="s">
        <v>1795</v>
      </c>
      <c r="B82" t="s">
        <v>1796</v>
      </c>
      <c r="C82" t="s">
        <v>1560</v>
      </c>
      <c r="D82" t="s">
        <v>1574</v>
      </c>
      <c r="E82" t="s">
        <v>1797</v>
      </c>
      <c r="F82">
        <v>143.43</v>
      </c>
      <c r="G82">
        <v>58</v>
      </c>
    </row>
    <row r="83" spans="1:7">
      <c r="A83" t="s">
        <v>1798</v>
      </c>
      <c r="B83" t="s">
        <v>1799</v>
      </c>
      <c r="C83" t="s">
        <v>1569</v>
      </c>
      <c r="D83" t="s">
        <v>1605</v>
      </c>
      <c r="E83" t="s">
        <v>1800</v>
      </c>
      <c r="F83">
        <v>285.54000000000002</v>
      </c>
      <c r="G83">
        <v>358</v>
      </c>
    </row>
    <row r="84" spans="1:7">
      <c r="A84" t="s">
        <v>1801</v>
      </c>
      <c r="B84" t="s">
        <v>1802</v>
      </c>
      <c r="C84" t="s">
        <v>1569</v>
      </c>
      <c r="D84" t="s">
        <v>1570</v>
      </c>
      <c r="E84" t="s">
        <v>1803</v>
      </c>
      <c r="F84">
        <v>152.91999999999999</v>
      </c>
      <c r="G84">
        <v>281</v>
      </c>
    </row>
    <row r="85" spans="1:7">
      <c r="A85" t="s">
        <v>1804</v>
      </c>
      <c r="B85" t="s">
        <v>1805</v>
      </c>
      <c r="C85" t="s">
        <v>1555</v>
      </c>
      <c r="D85" t="s">
        <v>1556</v>
      </c>
      <c r="E85" t="s">
        <v>1806</v>
      </c>
      <c r="G85">
        <v>159</v>
      </c>
    </row>
    <row r="86" spans="1:7">
      <c r="A86" t="s">
        <v>1807</v>
      </c>
      <c r="B86" t="s">
        <v>1808</v>
      </c>
      <c r="C86" t="s">
        <v>1560</v>
      </c>
      <c r="D86" t="s">
        <v>1760</v>
      </c>
      <c r="E86" t="s">
        <v>1809</v>
      </c>
      <c r="F86">
        <v>388.46</v>
      </c>
      <c r="G86">
        <v>208</v>
      </c>
    </row>
    <row r="87" spans="1:7">
      <c r="A87" t="s">
        <v>1810</v>
      </c>
      <c r="B87" t="s">
        <v>1811</v>
      </c>
      <c r="C87" t="s">
        <v>1536</v>
      </c>
      <c r="D87" t="s">
        <v>1551</v>
      </c>
      <c r="E87" t="s">
        <v>1812</v>
      </c>
      <c r="F87">
        <v>119.57</v>
      </c>
      <c r="G87">
        <v>210</v>
      </c>
    </row>
    <row r="88" spans="1:7">
      <c r="A88" t="s">
        <v>1813</v>
      </c>
      <c r="B88" t="s">
        <v>1814</v>
      </c>
      <c r="C88" t="s">
        <v>1560</v>
      </c>
      <c r="D88" t="s">
        <v>1574</v>
      </c>
      <c r="E88" t="s">
        <v>1815</v>
      </c>
      <c r="F88">
        <v>176.07</v>
      </c>
      <c r="G88">
        <v>82</v>
      </c>
    </row>
    <row r="89" spans="1:7">
      <c r="A89" t="s">
        <v>1816</v>
      </c>
      <c r="B89" t="s">
        <v>1817</v>
      </c>
      <c r="C89" t="s">
        <v>1560</v>
      </c>
      <c r="D89" t="s">
        <v>1561</v>
      </c>
      <c r="E89" t="s">
        <v>1818</v>
      </c>
      <c r="F89">
        <v>371.38</v>
      </c>
      <c r="G89">
        <v>220</v>
      </c>
    </row>
    <row r="90" spans="1:7">
      <c r="A90" t="s">
        <v>1819</v>
      </c>
      <c r="B90" t="s">
        <v>1820</v>
      </c>
      <c r="C90" t="s">
        <v>1569</v>
      </c>
      <c r="D90" t="s">
        <v>1551</v>
      </c>
      <c r="E90" t="s">
        <v>1821</v>
      </c>
      <c r="F90">
        <v>131.24</v>
      </c>
      <c r="G90">
        <v>232</v>
      </c>
    </row>
    <row r="91" spans="1:7">
      <c r="A91" t="s">
        <v>1822</v>
      </c>
      <c r="B91" t="s">
        <v>1823</v>
      </c>
      <c r="C91" t="s">
        <v>1555</v>
      </c>
      <c r="D91" t="s">
        <v>1695</v>
      </c>
      <c r="E91" t="s">
        <v>1824</v>
      </c>
      <c r="F91">
        <v>183.04</v>
      </c>
      <c r="G91">
        <v>457</v>
      </c>
    </row>
    <row r="92" spans="1:7">
      <c r="A92" t="s">
        <v>1825</v>
      </c>
      <c r="B92" t="s">
        <v>1826</v>
      </c>
      <c r="C92" t="s">
        <v>1531</v>
      </c>
      <c r="D92" t="s">
        <v>1551</v>
      </c>
      <c r="E92" t="s">
        <v>1827</v>
      </c>
      <c r="F92">
        <v>340.14</v>
      </c>
      <c r="G92">
        <v>361</v>
      </c>
    </row>
    <row r="93" spans="1:7">
      <c r="A93" t="s">
        <v>1828</v>
      </c>
      <c r="B93" t="s">
        <v>1829</v>
      </c>
      <c r="C93" t="s">
        <v>1536</v>
      </c>
      <c r="D93" t="s">
        <v>1663</v>
      </c>
      <c r="E93" t="s">
        <v>1830</v>
      </c>
      <c r="F93">
        <v>438.25</v>
      </c>
      <c r="G93">
        <v>496</v>
      </c>
    </row>
    <row r="94" spans="1:7">
      <c r="A94" t="s">
        <v>1831</v>
      </c>
      <c r="B94" t="s">
        <v>1832</v>
      </c>
      <c r="C94" t="s">
        <v>1560</v>
      </c>
      <c r="D94" t="s">
        <v>1592</v>
      </c>
      <c r="E94" t="s">
        <v>1833</v>
      </c>
      <c r="F94">
        <v>447.43</v>
      </c>
      <c r="G94">
        <v>191</v>
      </c>
    </row>
    <row r="95" spans="1:7">
      <c r="A95" t="s">
        <v>1834</v>
      </c>
      <c r="B95" t="s">
        <v>1835</v>
      </c>
      <c r="C95" t="s">
        <v>1531</v>
      </c>
      <c r="D95" t="s">
        <v>1532</v>
      </c>
      <c r="E95" t="s">
        <v>1836</v>
      </c>
      <c r="F95">
        <v>377.52</v>
      </c>
      <c r="G95">
        <v>485</v>
      </c>
    </row>
    <row r="96" spans="1:7">
      <c r="A96" t="s">
        <v>1837</v>
      </c>
      <c r="B96" t="s">
        <v>1838</v>
      </c>
      <c r="C96" t="s">
        <v>1555</v>
      </c>
      <c r="D96" t="s">
        <v>1556</v>
      </c>
      <c r="E96" t="s">
        <v>1839</v>
      </c>
      <c r="F96">
        <v>358.47</v>
      </c>
      <c r="G96">
        <v>213</v>
      </c>
    </row>
    <row r="97" spans="1:7">
      <c r="A97" t="s">
        <v>1840</v>
      </c>
      <c r="B97" t="s">
        <v>1841</v>
      </c>
      <c r="C97" t="s">
        <v>1569</v>
      </c>
      <c r="D97" t="s">
        <v>1551</v>
      </c>
      <c r="E97" t="s">
        <v>1842</v>
      </c>
      <c r="F97">
        <v>60.65</v>
      </c>
      <c r="G97">
        <v>75</v>
      </c>
    </row>
    <row r="98" spans="1:7">
      <c r="A98" t="s">
        <v>1843</v>
      </c>
      <c r="B98" t="s">
        <v>1844</v>
      </c>
      <c r="C98" t="s">
        <v>1536</v>
      </c>
      <c r="D98" t="s">
        <v>1541</v>
      </c>
      <c r="E98" t="s">
        <v>1845</v>
      </c>
      <c r="F98">
        <v>358.47</v>
      </c>
      <c r="G98">
        <v>143</v>
      </c>
    </row>
    <row r="99" spans="1:7">
      <c r="A99" t="s">
        <v>1846</v>
      </c>
      <c r="B99" t="s">
        <v>1847</v>
      </c>
      <c r="C99" t="s">
        <v>1569</v>
      </c>
      <c r="D99" t="s">
        <v>1644</v>
      </c>
      <c r="E99" t="s">
        <v>1848</v>
      </c>
      <c r="F99">
        <v>245.98</v>
      </c>
      <c r="G99">
        <v>471</v>
      </c>
    </row>
    <row r="100" spans="1:7">
      <c r="A100" t="s">
        <v>1849</v>
      </c>
      <c r="B100" t="s">
        <v>1850</v>
      </c>
      <c r="C100" t="s">
        <v>1531</v>
      </c>
      <c r="D100" t="s">
        <v>1565</v>
      </c>
      <c r="E100" t="s">
        <v>1851</v>
      </c>
      <c r="F100">
        <v>431.67</v>
      </c>
      <c r="G100">
        <v>73</v>
      </c>
    </row>
    <row r="101" spans="1:7">
      <c r="A101" t="s">
        <v>1852</v>
      </c>
      <c r="B101" t="s">
        <v>1853</v>
      </c>
      <c r="C101" t="s">
        <v>1560</v>
      </c>
      <c r="D101" t="s">
        <v>1574</v>
      </c>
      <c r="E101" t="s">
        <v>1854</v>
      </c>
      <c r="F101">
        <v>201.41</v>
      </c>
      <c r="G101">
        <v>146</v>
      </c>
    </row>
  </sheetData>
  <phoneticPr fontId="4" type="noConversion"/>
  <pageMargins left="0.75" right="0.75" top="1" bottom="1" header="0.5" footer="0.5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I1" sqref="I1:I1048576"/>
    </sheetView>
  </sheetViews>
  <sheetFormatPr defaultRowHeight="14.4"/>
  <cols>
    <col min="1" max="1" width="10.109375" customWidth="1"/>
    <col min="2" max="2" width="23.33203125" customWidth="1"/>
    <col min="3" max="3" width="17.5546875" customWidth="1"/>
    <col min="4" max="4" width="19.6640625" customWidth="1"/>
    <col min="5" max="5" width="12.44140625" customWidth="1"/>
    <col min="9" max="9" width="18.5546875" bestFit="1" customWidth="1"/>
  </cols>
  <sheetData>
    <row r="1" spans="1:5">
      <c r="A1" s="2" t="s">
        <v>1855</v>
      </c>
      <c r="B1" s="2" t="s">
        <v>1856</v>
      </c>
      <c r="C1" s="2" t="s">
        <v>1857</v>
      </c>
      <c r="D1" s="2" t="s">
        <v>4</v>
      </c>
      <c r="E1" s="2" t="s">
        <v>1858</v>
      </c>
    </row>
    <row r="2" spans="1:5">
      <c r="A2" t="s">
        <v>1859</v>
      </c>
      <c r="B2" t="s">
        <v>1860</v>
      </c>
      <c r="C2" t="s">
        <v>1861</v>
      </c>
      <c r="D2" t="s">
        <v>1862</v>
      </c>
      <c r="E2" t="s">
        <v>1863</v>
      </c>
    </row>
    <row r="3" spans="1:5">
      <c r="A3" t="s">
        <v>1864</v>
      </c>
      <c r="B3" t="s">
        <v>1865</v>
      </c>
      <c r="C3" t="s">
        <v>1866</v>
      </c>
      <c r="D3" t="s">
        <v>1867</v>
      </c>
      <c r="E3" t="s">
        <v>1863</v>
      </c>
    </row>
    <row r="4" spans="1:5">
      <c r="A4" t="s">
        <v>1868</v>
      </c>
      <c r="B4" t="s">
        <v>1869</v>
      </c>
      <c r="C4" t="s">
        <v>1870</v>
      </c>
      <c r="D4" t="s">
        <v>1871</v>
      </c>
      <c r="E4" t="s">
        <v>1872</v>
      </c>
    </row>
    <row r="5" spans="1:5">
      <c r="A5" t="s">
        <v>1873</v>
      </c>
      <c r="B5" t="s">
        <v>1874</v>
      </c>
      <c r="C5" t="s">
        <v>1866</v>
      </c>
      <c r="D5" t="s">
        <v>1875</v>
      </c>
      <c r="E5" t="s">
        <v>1872</v>
      </c>
    </row>
    <row r="6" spans="1:5">
      <c r="A6" t="s">
        <v>1876</v>
      </c>
      <c r="B6" t="s">
        <v>1877</v>
      </c>
      <c r="C6" t="s">
        <v>1870</v>
      </c>
      <c r="D6" t="s">
        <v>1878</v>
      </c>
      <c r="E6" t="s">
        <v>1879</v>
      </c>
    </row>
    <row r="7" spans="1:5">
      <c r="A7" t="s">
        <v>1880</v>
      </c>
      <c r="B7" t="s">
        <v>1881</v>
      </c>
      <c r="C7" t="s">
        <v>1866</v>
      </c>
      <c r="D7" t="s">
        <v>1882</v>
      </c>
      <c r="E7" t="s">
        <v>1872</v>
      </c>
    </row>
    <row r="8" spans="1:5">
      <c r="A8" t="s">
        <v>1883</v>
      </c>
      <c r="B8" t="s">
        <v>1884</v>
      </c>
      <c r="C8" t="s">
        <v>1861</v>
      </c>
      <c r="D8" t="s">
        <v>1885</v>
      </c>
      <c r="E8" t="s">
        <v>1879</v>
      </c>
    </row>
    <row r="9" spans="1:5">
      <c r="A9" t="s">
        <v>1886</v>
      </c>
      <c r="B9" t="s">
        <v>1887</v>
      </c>
      <c r="C9" t="s">
        <v>1870</v>
      </c>
      <c r="D9" t="s">
        <v>1888</v>
      </c>
      <c r="E9" t="s">
        <v>1879</v>
      </c>
    </row>
    <row r="10" spans="1:5">
      <c r="A10" t="s">
        <v>1889</v>
      </c>
      <c r="B10" t="s">
        <v>1890</v>
      </c>
      <c r="C10" t="s">
        <v>1891</v>
      </c>
      <c r="D10" t="s">
        <v>1892</v>
      </c>
      <c r="E10" t="s">
        <v>1879</v>
      </c>
    </row>
    <row r="11" spans="1:5">
      <c r="A11" t="s">
        <v>1893</v>
      </c>
      <c r="B11" t="s">
        <v>1894</v>
      </c>
      <c r="C11" t="s">
        <v>1870</v>
      </c>
      <c r="D11" t="s">
        <v>1895</v>
      </c>
      <c r="E11" t="s">
        <v>1863</v>
      </c>
    </row>
    <row r="12" spans="1:5">
      <c r="A12" t="s">
        <v>1896</v>
      </c>
      <c r="B12" t="s">
        <v>1897</v>
      </c>
      <c r="C12" t="s">
        <v>1861</v>
      </c>
      <c r="D12" t="s">
        <v>1898</v>
      </c>
      <c r="E12" t="s">
        <v>1879</v>
      </c>
    </row>
    <row r="13" spans="1:5">
      <c r="A13" t="s">
        <v>1899</v>
      </c>
      <c r="B13" t="s">
        <v>1900</v>
      </c>
      <c r="C13" t="s">
        <v>1870</v>
      </c>
      <c r="D13" t="s">
        <v>390</v>
      </c>
      <c r="E13" t="s">
        <v>1879</v>
      </c>
    </row>
    <row r="14" spans="1:5">
      <c r="A14" t="s">
        <v>1901</v>
      </c>
      <c r="B14" t="s">
        <v>1902</v>
      </c>
      <c r="C14" t="s">
        <v>1866</v>
      </c>
      <c r="D14" t="s">
        <v>1903</v>
      </c>
      <c r="E14" t="s">
        <v>1879</v>
      </c>
    </row>
    <row r="15" spans="1:5">
      <c r="A15" t="s">
        <v>1904</v>
      </c>
      <c r="B15" t="s">
        <v>1905</v>
      </c>
      <c r="C15" t="s">
        <v>1861</v>
      </c>
      <c r="D15" t="s">
        <v>129</v>
      </c>
      <c r="E15" t="s">
        <v>1863</v>
      </c>
    </row>
    <row r="16" spans="1:5">
      <c r="A16" t="s">
        <v>1906</v>
      </c>
      <c r="B16" t="s">
        <v>1907</v>
      </c>
      <c r="C16" t="s">
        <v>1870</v>
      </c>
      <c r="D16" t="s">
        <v>204</v>
      </c>
      <c r="E16" t="s">
        <v>1872</v>
      </c>
    </row>
    <row r="17" spans="1:5">
      <c r="A17" t="s">
        <v>1908</v>
      </c>
      <c r="B17" t="s">
        <v>1909</v>
      </c>
      <c r="C17" t="s">
        <v>1866</v>
      </c>
      <c r="D17" t="s">
        <v>1910</v>
      </c>
      <c r="E17" t="s">
        <v>1863</v>
      </c>
    </row>
    <row r="18" spans="1:5">
      <c r="A18" t="s">
        <v>1911</v>
      </c>
      <c r="B18" t="s">
        <v>1912</v>
      </c>
      <c r="C18" t="s">
        <v>1891</v>
      </c>
      <c r="D18" t="s">
        <v>1913</v>
      </c>
      <c r="E18" t="s">
        <v>1863</v>
      </c>
    </row>
    <row r="19" spans="1:5">
      <c r="A19" t="s">
        <v>1914</v>
      </c>
      <c r="B19" t="s">
        <v>1915</v>
      </c>
      <c r="C19" t="s">
        <v>1866</v>
      </c>
      <c r="D19" t="s">
        <v>1916</v>
      </c>
      <c r="E19" t="s">
        <v>1863</v>
      </c>
    </row>
    <row r="20" spans="1:5">
      <c r="A20" t="s">
        <v>1917</v>
      </c>
      <c r="B20" t="s">
        <v>1918</v>
      </c>
      <c r="C20" t="s">
        <v>1861</v>
      </c>
      <c r="D20" t="s">
        <v>1919</v>
      </c>
      <c r="E20" t="s">
        <v>1863</v>
      </c>
    </row>
    <row r="21" spans="1:5">
      <c r="A21" t="s">
        <v>1920</v>
      </c>
      <c r="B21" t="s">
        <v>1921</v>
      </c>
      <c r="C21" t="s">
        <v>1861</v>
      </c>
      <c r="D21" t="s">
        <v>1922</v>
      </c>
      <c r="E21" t="s">
        <v>1879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01"/>
  <sheetViews>
    <sheetView topLeftCell="S4" zoomScaleNormal="100" workbookViewId="0">
      <selection activeCell="V5" sqref="V5"/>
    </sheetView>
  </sheetViews>
  <sheetFormatPr defaultRowHeight="14.4"/>
  <cols>
    <col min="1" max="1" width="9.88671875" customWidth="1"/>
    <col min="2" max="2" width="16.44140625" style="8" customWidth="1"/>
    <col min="3" max="3" width="16.33203125" bestFit="1" customWidth="1"/>
    <col min="4" max="4" width="18.109375" customWidth="1"/>
    <col min="5" max="5" width="12.6640625" bestFit="1" customWidth="1"/>
    <col min="6" max="6" width="12.77734375" bestFit="1" customWidth="1"/>
    <col min="7" max="7" width="11.5546875" style="10" customWidth="1"/>
    <col min="8" max="8" width="10.21875" style="13" customWidth="1"/>
    <col min="9" max="9" width="15.5546875" customWidth="1"/>
    <col min="10" max="10" width="15" style="16" customWidth="1"/>
    <col min="11" max="11" width="10.5546875" style="20" bestFit="1" customWidth="1"/>
    <col min="12" max="12" width="12.109375" style="1" bestFit="1" customWidth="1"/>
    <col min="13" max="13" width="15.21875" style="1" customWidth="1"/>
    <col min="14" max="14" width="15.109375" style="1" customWidth="1"/>
    <col min="15" max="15" width="20.88671875" style="1" bestFit="1" customWidth="1"/>
    <col min="16" max="16" width="25.44140625" style="1" bestFit="1" customWidth="1"/>
    <col min="17" max="17" width="9.88671875" bestFit="1" customWidth="1"/>
    <col min="18" max="18" width="19.77734375" bestFit="1" customWidth="1"/>
    <col min="19" max="20" width="9.88671875" customWidth="1"/>
    <col min="22" max="22" width="12.5546875" bestFit="1" customWidth="1"/>
    <col min="23" max="23" width="19.77734375" bestFit="1" customWidth="1"/>
    <col min="24" max="24" width="21.77734375" bestFit="1" customWidth="1"/>
    <col min="27" max="27" width="12.5546875" bestFit="1" customWidth="1"/>
    <col min="28" max="28" width="19.77734375" bestFit="1" customWidth="1"/>
  </cols>
  <sheetData>
    <row r="1" spans="1:28">
      <c r="A1" s="2" t="s">
        <v>1923</v>
      </c>
      <c r="B1" s="7" t="s">
        <v>1924</v>
      </c>
      <c r="C1" s="2" t="s">
        <v>0</v>
      </c>
      <c r="D1" s="2" t="s">
        <v>1522</v>
      </c>
      <c r="E1" s="2" t="s">
        <v>1855</v>
      </c>
      <c r="F1" s="2" t="s">
        <v>1925</v>
      </c>
      <c r="G1" s="9" t="s">
        <v>1926</v>
      </c>
      <c r="H1" s="12" t="s">
        <v>1927</v>
      </c>
      <c r="I1" s="2" t="s">
        <v>1928</v>
      </c>
      <c r="J1" s="15" t="s">
        <v>1929</v>
      </c>
      <c r="K1" s="23" t="s">
        <v>3966</v>
      </c>
      <c r="L1" s="23" t="s">
        <v>3964</v>
      </c>
      <c r="M1" s="23" t="s">
        <v>3962</v>
      </c>
      <c r="N1" s="23" t="s">
        <v>3965</v>
      </c>
      <c r="O1" s="23" t="s">
        <v>3963</v>
      </c>
      <c r="P1" s="2" t="s">
        <v>1523</v>
      </c>
      <c r="Q1" s="2" t="s">
        <v>1524</v>
      </c>
      <c r="R1" s="2" t="s">
        <v>3973</v>
      </c>
      <c r="S1" s="27"/>
      <c r="T1" s="27"/>
    </row>
    <row r="2" spans="1:28">
      <c r="A2" t="s">
        <v>1930</v>
      </c>
      <c r="B2" s="8">
        <v>45480</v>
      </c>
      <c r="C2" t="s">
        <v>1265</v>
      </c>
      <c r="D2" t="s">
        <v>1846</v>
      </c>
      <c r="E2" t="s">
        <v>1873</v>
      </c>
      <c r="F2">
        <v>1</v>
      </c>
      <c r="G2" s="10">
        <v>218.04</v>
      </c>
      <c r="H2" s="13">
        <v>0.09</v>
      </c>
      <c r="I2" t="s">
        <v>1931</v>
      </c>
      <c r="J2" s="16">
        <v>198.41640000000001</v>
      </c>
      <c r="K2" s="18">
        <f t="shared" ref="K2:K65" si="0">SUM(J2:J2001)</f>
        <v>2174394.6983000007</v>
      </c>
      <c r="L2" s="21">
        <f t="shared" ref="L2:L65" si="1">AVERAGE(J2:J2001)</f>
        <v>1087.1973491500003</v>
      </c>
      <c r="M2" s="21">
        <f t="shared" ref="M2:M65" si="2">COUNTIF(I2:I2001,"PayPal")</f>
        <v>695</v>
      </c>
      <c r="N2" s="21" t="str">
        <f t="shared" ref="N2:N65" si="3">IF(J2&gt;=1000,"High Value","Low Value")</f>
        <v>Low Value</v>
      </c>
      <c r="O2" s="21" t="str">
        <f t="shared" ref="O2:O65" si="4">TEXT(B2,"mmm-yyyy")</f>
        <v>Jul-2024</v>
      </c>
      <c r="P2" s="22" t="s">
        <v>1847</v>
      </c>
      <c r="Q2" s="21" t="s">
        <v>1569</v>
      </c>
      <c r="R2" s="21" t="s">
        <v>1266</v>
      </c>
      <c r="S2" s="21"/>
      <c r="T2" s="21"/>
    </row>
    <row r="3" spans="1:28">
      <c r="A3" t="s">
        <v>1932</v>
      </c>
      <c r="B3" s="8">
        <v>45285</v>
      </c>
      <c r="C3" t="s">
        <v>1430</v>
      </c>
      <c r="D3" t="s">
        <v>1777</v>
      </c>
      <c r="E3" t="s">
        <v>1914</v>
      </c>
      <c r="F3">
        <v>3</v>
      </c>
      <c r="G3" s="10">
        <v>104.47</v>
      </c>
      <c r="H3" s="13">
        <v>0.27</v>
      </c>
      <c r="I3" t="s">
        <v>1933</v>
      </c>
      <c r="J3" s="16">
        <v>228.7893</v>
      </c>
      <c r="K3" s="19">
        <f t="shared" si="0"/>
        <v>2174196.2819000003</v>
      </c>
      <c r="L3" s="22">
        <f t="shared" si="1"/>
        <v>1087.6419619309656</v>
      </c>
      <c r="M3" s="22">
        <f t="shared" si="2"/>
        <v>695</v>
      </c>
      <c r="N3" s="22" t="str">
        <f t="shared" si="3"/>
        <v>Low Value</v>
      </c>
      <c r="O3" s="22" t="str">
        <f t="shared" si="4"/>
        <v>Dec-2023</v>
      </c>
      <c r="P3" s="22" t="s">
        <v>1778</v>
      </c>
      <c r="Q3" s="22" t="s">
        <v>1531</v>
      </c>
      <c r="R3" s="22" t="s">
        <v>1431</v>
      </c>
      <c r="S3" s="22"/>
      <c r="T3" s="22"/>
    </row>
    <row r="4" spans="1:28">
      <c r="A4" t="s">
        <v>1934</v>
      </c>
      <c r="B4" s="8">
        <v>45446</v>
      </c>
      <c r="C4" t="s">
        <v>208</v>
      </c>
      <c r="D4" t="s">
        <v>1700</v>
      </c>
      <c r="E4" t="s">
        <v>1889</v>
      </c>
      <c r="F4">
        <v>4</v>
      </c>
      <c r="G4" s="10">
        <v>914.05</v>
      </c>
      <c r="H4" s="13">
        <v>0.25</v>
      </c>
      <c r="I4" t="s">
        <v>1931</v>
      </c>
      <c r="J4" s="16">
        <v>2742.15</v>
      </c>
      <c r="K4" s="19">
        <f t="shared" si="0"/>
        <v>2173967.4926000005</v>
      </c>
      <c r="L4" s="22">
        <f t="shared" si="1"/>
        <v>1088.0718181181182</v>
      </c>
      <c r="M4" s="22">
        <f t="shared" si="2"/>
        <v>694</v>
      </c>
      <c r="N4" s="22" t="str">
        <f t="shared" si="3"/>
        <v>High Value</v>
      </c>
      <c r="O4" s="22" t="str">
        <f t="shared" si="4"/>
        <v>Jun-2024</v>
      </c>
      <c r="P4" s="22" t="s">
        <v>1701</v>
      </c>
      <c r="Q4" s="22" t="s">
        <v>1555</v>
      </c>
      <c r="R4" s="22" t="s">
        <v>209</v>
      </c>
      <c r="S4" s="22"/>
      <c r="T4" s="22"/>
    </row>
    <row r="5" spans="1:28">
      <c r="A5" t="s">
        <v>1935</v>
      </c>
      <c r="B5" s="8">
        <v>45259</v>
      </c>
      <c r="C5" t="s">
        <v>1082</v>
      </c>
      <c r="D5" t="s">
        <v>1783</v>
      </c>
      <c r="E5" t="s">
        <v>1889</v>
      </c>
      <c r="F5">
        <v>1</v>
      </c>
      <c r="G5" s="10">
        <v>921.51</v>
      </c>
      <c r="H5" s="13">
        <v>0.16</v>
      </c>
      <c r="I5" t="s">
        <v>1936</v>
      </c>
      <c r="J5" s="16">
        <v>774.0684</v>
      </c>
      <c r="K5" s="19">
        <f t="shared" si="0"/>
        <v>2171225.3426000001</v>
      </c>
      <c r="L5" s="22">
        <f t="shared" si="1"/>
        <v>1087.2435366049074</v>
      </c>
      <c r="M5" s="22">
        <f t="shared" si="2"/>
        <v>694</v>
      </c>
      <c r="N5" s="22" t="str">
        <f t="shared" si="3"/>
        <v>Low Value</v>
      </c>
      <c r="O5" s="22" t="str">
        <f t="shared" si="4"/>
        <v>Nov-2023</v>
      </c>
      <c r="P5" s="22" t="s">
        <v>1784</v>
      </c>
      <c r="Q5" s="22" t="s">
        <v>1531</v>
      </c>
      <c r="R5" s="22" t="s">
        <v>1083</v>
      </c>
      <c r="S5" s="22"/>
      <c r="T5" s="22"/>
      <c r="V5" s="24" t="s">
        <v>3967</v>
      </c>
      <c r="W5" t="s">
        <v>3970</v>
      </c>
      <c r="AA5" s="24" t="s">
        <v>3967</v>
      </c>
      <c r="AB5" t="s">
        <v>3970</v>
      </c>
    </row>
    <row r="6" spans="1:28">
      <c r="A6" t="s">
        <v>1937</v>
      </c>
      <c r="B6" s="8">
        <v>45297</v>
      </c>
      <c r="C6" t="s">
        <v>1503</v>
      </c>
      <c r="D6" t="s">
        <v>1731</v>
      </c>
      <c r="E6" t="s">
        <v>1880</v>
      </c>
      <c r="F6">
        <v>3</v>
      </c>
      <c r="G6" s="10">
        <v>745.3</v>
      </c>
      <c r="H6" s="13">
        <v>0.18</v>
      </c>
      <c r="I6" t="s">
        <v>1931</v>
      </c>
      <c r="J6" s="16">
        <v>1833.4380000000001</v>
      </c>
      <c r="K6" s="19">
        <f t="shared" si="0"/>
        <v>2170451.2741999999</v>
      </c>
      <c r="L6" s="22">
        <f t="shared" si="1"/>
        <v>1087.4004379759519</v>
      </c>
      <c r="M6" s="22">
        <f t="shared" si="2"/>
        <v>694</v>
      </c>
      <c r="N6" s="22" t="str">
        <f t="shared" si="3"/>
        <v>High Value</v>
      </c>
      <c r="O6" s="22" t="str">
        <f t="shared" si="4"/>
        <v>Jan-2024</v>
      </c>
      <c r="P6" s="22" t="s">
        <v>1732</v>
      </c>
      <c r="Q6" s="22" t="s">
        <v>1555</v>
      </c>
      <c r="R6" s="22" t="s">
        <v>1504</v>
      </c>
      <c r="S6" s="22"/>
      <c r="T6" s="22"/>
      <c r="V6" s="25" t="s">
        <v>1555</v>
      </c>
      <c r="W6" s="6">
        <v>321561.3282999997</v>
      </c>
      <c r="AA6" s="25" t="s">
        <v>1936</v>
      </c>
      <c r="AB6" s="6">
        <v>702459.41570000001</v>
      </c>
    </row>
    <row r="7" spans="1:28">
      <c r="A7" t="s">
        <v>1938</v>
      </c>
      <c r="B7" s="8">
        <v>45499</v>
      </c>
      <c r="C7" t="s">
        <v>400</v>
      </c>
      <c r="D7" t="s">
        <v>1590</v>
      </c>
      <c r="E7" t="s">
        <v>1886</v>
      </c>
      <c r="F7">
        <v>3</v>
      </c>
      <c r="G7" s="10">
        <v>147.01</v>
      </c>
      <c r="H7" s="13">
        <v>0.19</v>
      </c>
      <c r="I7" t="s">
        <v>1936</v>
      </c>
      <c r="J7" s="16">
        <v>357.23430000000002</v>
      </c>
      <c r="K7" s="19">
        <f t="shared" si="0"/>
        <v>2168617.8362000003</v>
      </c>
      <c r="L7" s="22">
        <f t="shared" si="1"/>
        <v>1087.0264843107771</v>
      </c>
      <c r="M7" s="22">
        <f t="shared" si="2"/>
        <v>694</v>
      </c>
      <c r="N7" s="22" t="str">
        <f t="shared" si="3"/>
        <v>Low Value</v>
      </c>
      <c r="O7" s="22" t="str">
        <f t="shared" si="4"/>
        <v>Jul-2024</v>
      </c>
      <c r="P7" s="22" t="s">
        <v>1591</v>
      </c>
      <c r="Q7" s="22" t="s">
        <v>1531</v>
      </c>
      <c r="R7" s="22" t="s">
        <v>401</v>
      </c>
      <c r="S7" s="22"/>
      <c r="T7" s="22"/>
      <c r="V7" s="25" t="s">
        <v>1536</v>
      </c>
      <c r="W7" s="6">
        <v>379216.04380000016</v>
      </c>
      <c r="AA7" s="25" t="s">
        <v>1931</v>
      </c>
      <c r="AB7" s="6">
        <v>715180.71100000048</v>
      </c>
    </row>
    <row r="8" spans="1:28">
      <c r="A8" t="s">
        <v>1939</v>
      </c>
      <c r="B8" s="8">
        <v>45850</v>
      </c>
      <c r="C8" t="s">
        <v>75</v>
      </c>
      <c r="D8" t="s">
        <v>1722</v>
      </c>
      <c r="E8" t="s">
        <v>1876</v>
      </c>
      <c r="F8">
        <v>2</v>
      </c>
      <c r="G8" s="10">
        <v>785.31</v>
      </c>
      <c r="H8" s="13">
        <v>0.15</v>
      </c>
      <c r="I8" t="s">
        <v>1933</v>
      </c>
      <c r="J8" s="16">
        <v>1335.027</v>
      </c>
      <c r="K8" s="19">
        <f t="shared" si="0"/>
        <v>2168260.6019000001</v>
      </c>
      <c r="L8" s="22">
        <f t="shared" si="1"/>
        <v>1087.3924783851555</v>
      </c>
      <c r="M8" s="22">
        <f t="shared" si="2"/>
        <v>694</v>
      </c>
      <c r="N8" s="22" t="str">
        <f t="shared" si="3"/>
        <v>High Value</v>
      </c>
      <c r="O8" s="22" t="str">
        <f t="shared" si="4"/>
        <v>Jul-2025</v>
      </c>
      <c r="P8" s="22" t="s">
        <v>1723</v>
      </c>
      <c r="Q8" s="22" t="s">
        <v>1560</v>
      </c>
      <c r="R8" s="22" t="s">
        <v>76</v>
      </c>
      <c r="S8" s="22"/>
      <c r="T8" s="22"/>
      <c r="V8" s="25" t="s">
        <v>1531</v>
      </c>
      <c r="W8" s="6">
        <v>504311.34800000023</v>
      </c>
      <c r="AA8" s="25" t="s">
        <v>1933</v>
      </c>
      <c r="AB8" s="6">
        <v>756754.57159999991</v>
      </c>
    </row>
    <row r="9" spans="1:28">
      <c r="A9" t="s">
        <v>1940</v>
      </c>
      <c r="B9" s="8">
        <v>45248</v>
      </c>
      <c r="C9" t="s">
        <v>509</v>
      </c>
      <c r="D9" t="s">
        <v>1765</v>
      </c>
      <c r="E9" t="s">
        <v>1889</v>
      </c>
      <c r="F9">
        <v>4</v>
      </c>
      <c r="G9" s="10">
        <v>342.39</v>
      </c>
      <c r="H9" s="13">
        <v>0.23</v>
      </c>
      <c r="I9" t="s">
        <v>1933</v>
      </c>
      <c r="J9" s="16">
        <v>1054.5612000000001</v>
      </c>
      <c r="K9" s="19">
        <f t="shared" si="0"/>
        <v>2166925.5749000004</v>
      </c>
      <c r="L9" s="22">
        <f t="shared" si="1"/>
        <v>1087.2682262418466</v>
      </c>
      <c r="M9" s="22">
        <f t="shared" si="2"/>
        <v>693</v>
      </c>
      <c r="N9" s="22" t="str">
        <f t="shared" si="3"/>
        <v>High Value</v>
      </c>
      <c r="O9" s="22" t="str">
        <f t="shared" si="4"/>
        <v>Nov-2023</v>
      </c>
      <c r="P9" s="22" t="s">
        <v>1766</v>
      </c>
      <c r="Q9" s="22" t="s">
        <v>1560</v>
      </c>
      <c r="R9" s="22" t="s">
        <v>510</v>
      </c>
      <c r="S9" s="22"/>
      <c r="T9" s="22"/>
      <c r="V9" s="25" t="s">
        <v>1560</v>
      </c>
      <c r="W9" s="6">
        <v>427295.80359999998</v>
      </c>
      <c r="AA9" s="25" t="s">
        <v>3969</v>
      </c>
      <c r="AB9" s="6">
        <v>2174394.6983000003</v>
      </c>
    </row>
    <row r="10" spans="1:28">
      <c r="A10" t="s">
        <v>1941</v>
      </c>
      <c r="B10" s="8">
        <v>45781</v>
      </c>
      <c r="C10" t="s">
        <v>614</v>
      </c>
      <c r="D10" t="s">
        <v>1852</v>
      </c>
      <c r="E10" t="s">
        <v>1880</v>
      </c>
      <c r="F10" s="5">
        <v>3</v>
      </c>
      <c r="G10" s="10">
        <v>448.25</v>
      </c>
      <c r="H10" s="13">
        <v>7.0000000000000007E-2</v>
      </c>
      <c r="I10" t="s">
        <v>1933</v>
      </c>
      <c r="J10" s="16">
        <v>1250.6175000000001</v>
      </c>
      <c r="K10" s="19">
        <f t="shared" si="0"/>
        <v>2165871.0137000005</v>
      </c>
      <c r="L10" s="22">
        <f t="shared" si="1"/>
        <v>1087.2846454317271</v>
      </c>
      <c r="M10" s="22">
        <f t="shared" si="2"/>
        <v>692</v>
      </c>
      <c r="N10" s="22" t="str">
        <f t="shared" si="3"/>
        <v>High Value</v>
      </c>
      <c r="O10" s="22" t="str">
        <f t="shared" si="4"/>
        <v>May-2025</v>
      </c>
      <c r="P10" s="22" t="s">
        <v>1853</v>
      </c>
      <c r="Q10" s="22" t="s">
        <v>1560</v>
      </c>
      <c r="R10" s="22" t="s">
        <v>615</v>
      </c>
      <c r="S10" s="22"/>
      <c r="T10" s="22"/>
      <c r="V10" s="25" t="s">
        <v>1569</v>
      </c>
      <c r="W10" s="6">
        <v>542010.17460000049</v>
      </c>
    </row>
    <row r="11" spans="1:28">
      <c r="A11" t="s">
        <v>1942</v>
      </c>
      <c r="B11" s="8">
        <v>45869</v>
      </c>
      <c r="C11" t="s">
        <v>1943</v>
      </c>
      <c r="D11" t="s">
        <v>1649</v>
      </c>
      <c r="E11" t="s">
        <v>1859</v>
      </c>
      <c r="F11">
        <v>2</v>
      </c>
      <c r="G11" s="10">
        <v>873.17</v>
      </c>
      <c r="H11" s="13">
        <v>0.23</v>
      </c>
      <c r="I11" t="s">
        <v>1933</v>
      </c>
      <c r="J11" s="16">
        <v>1344.6818000000001</v>
      </c>
      <c r="K11" s="19">
        <f t="shared" si="0"/>
        <v>2164620.3962000008</v>
      </c>
      <c r="L11" s="22">
        <f t="shared" si="1"/>
        <v>1087.2026098442998</v>
      </c>
      <c r="M11" s="22">
        <f t="shared" si="2"/>
        <v>691</v>
      </c>
      <c r="N11" s="22" t="str">
        <f t="shared" si="3"/>
        <v>High Value</v>
      </c>
      <c r="O11" s="22" t="str">
        <f t="shared" si="4"/>
        <v>Jul-2025</v>
      </c>
      <c r="P11" s="22" t="s">
        <v>1650</v>
      </c>
      <c r="Q11" s="22" t="s">
        <v>1560</v>
      </c>
      <c r="R11" s="22" t="s">
        <v>1422</v>
      </c>
      <c r="S11" s="22"/>
      <c r="T11" s="22"/>
      <c r="V11" s="25" t="s">
        <v>3969</v>
      </c>
      <c r="W11" s="6">
        <v>2174394.6983000003</v>
      </c>
    </row>
    <row r="12" spans="1:28">
      <c r="A12" t="s">
        <v>1944</v>
      </c>
      <c r="B12" s="8">
        <v>45335</v>
      </c>
      <c r="C12" t="s">
        <v>238</v>
      </c>
      <c r="D12" t="s">
        <v>1620</v>
      </c>
      <c r="E12" t="s">
        <v>1906</v>
      </c>
      <c r="F12">
        <v>1</v>
      </c>
      <c r="G12" s="10">
        <v>278.63</v>
      </c>
      <c r="H12" s="13">
        <v>7.0000000000000007E-2</v>
      </c>
      <c r="I12" t="s">
        <v>1931</v>
      </c>
      <c r="J12" s="16">
        <v>259.1259</v>
      </c>
      <c r="K12" s="19">
        <f t="shared" si="0"/>
        <v>2163275.7144000009</v>
      </c>
      <c r="L12" s="22">
        <f t="shared" si="1"/>
        <v>1087.0732233165834</v>
      </c>
      <c r="M12" s="22">
        <f t="shared" si="2"/>
        <v>690</v>
      </c>
      <c r="N12" s="22" t="str">
        <f t="shared" si="3"/>
        <v>Low Value</v>
      </c>
      <c r="O12" s="22" t="str">
        <f t="shared" si="4"/>
        <v>Feb-2024</v>
      </c>
      <c r="P12" s="22" t="s">
        <v>1621</v>
      </c>
      <c r="Q12" s="22" t="s">
        <v>1569</v>
      </c>
      <c r="R12" s="22" t="s">
        <v>239</v>
      </c>
      <c r="S12" s="22"/>
      <c r="T12" s="22"/>
    </row>
    <row r="13" spans="1:28">
      <c r="A13" t="s">
        <v>1945</v>
      </c>
      <c r="B13" s="8">
        <v>45801</v>
      </c>
      <c r="C13" t="s">
        <v>1005</v>
      </c>
      <c r="D13" t="s">
        <v>1668</v>
      </c>
      <c r="E13" t="s">
        <v>1864</v>
      </c>
      <c r="F13">
        <v>4</v>
      </c>
      <c r="G13" s="10">
        <v>286.92</v>
      </c>
      <c r="H13" s="13">
        <v>0.17</v>
      </c>
      <c r="I13" t="s">
        <v>1931</v>
      </c>
      <c r="J13" s="16">
        <v>952.57439999999997</v>
      </c>
      <c r="K13" s="19">
        <f t="shared" si="0"/>
        <v>2163016.588500001</v>
      </c>
      <c r="L13" s="22">
        <f t="shared" si="1"/>
        <v>1087.4894864253399</v>
      </c>
      <c r="M13" s="22">
        <f t="shared" si="2"/>
        <v>690</v>
      </c>
      <c r="N13" s="22" t="str">
        <f t="shared" si="3"/>
        <v>Low Value</v>
      </c>
      <c r="O13" s="22" t="str">
        <f t="shared" si="4"/>
        <v>May-2025</v>
      </c>
      <c r="P13" s="22" t="s">
        <v>1669</v>
      </c>
      <c r="Q13" s="22" t="s">
        <v>1531</v>
      </c>
      <c r="R13" s="22" t="s">
        <v>1006</v>
      </c>
      <c r="S13" s="22"/>
      <c r="T13" s="22"/>
    </row>
    <row r="14" spans="1:28">
      <c r="A14" t="s">
        <v>1946</v>
      </c>
      <c r="B14" s="8">
        <v>45528</v>
      </c>
      <c r="C14" t="s">
        <v>762</v>
      </c>
      <c r="D14" t="s">
        <v>1819</v>
      </c>
      <c r="E14" t="s">
        <v>1876</v>
      </c>
      <c r="F14">
        <v>4</v>
      </c>
      <c r="G14" s="10">
        <v>644.58000000000004</v>
      </c>
      <c r="H14" s="13">
        <v>0.01</v>
      </c>
      <c r="I14" t="s">
        <v>1931</v>
      </c>
      <c r="J14" s="16">
        <v>2552.5367999999999</v>
      </c>
      <c r="K14" s="19">
        <f t="shared" si="0"/>
        <v>2162064.0141000012</v>
      </c>
      <c r="L14" s="22">
        <f t="shared" si="1"/>
        <v>1087.5573511569423</v>
      </c>
      <c r="M14" s="22">
        <f t="shared" si="2"/>
        <v>690</v>
      </c>
      <c r="N14" s="22" t="str">
        <f t="shared" si="3"/>
        <v>High Value</v>
      </c>
      <c r="O14" s="22" t="str">
        <f t="shared" si="4"/>
        <v>Aug-2024</v>
      </c>
      <c r="P14" s="22" t="s">
        <v>1820</v>
      </c>
      <c r="Q14" s="22" t="s">
        <v>1569</v>
      </c>
      <c r="R14" s="22" t="s">
        <v>763</v>
      </c>
      <c r="S14" s="22"/>
      <c r="T14" s="22"/>
    </row>
    <row r="15" spans="1:28">
      <c r="A15" t="s">
        <v>1947</v>
      </c>
      <c r="B15" s="8">
        <v>45875</v>
      </c>
      <c r="C15" t="s">
        <v>1362</v>
      </c>
      <c r="D15" t="s">
        <v>1652</v>
      </c>
      <c r="E15" t="s">
        <v>1911</v>
      </c>
      <c r="F15">
        <v>2</v>
      </c>
      <c r="G15" s="10">
        <v>316.89999999999998</v>
      </c>
      <c r="H15" s="13">
        <v>0.3</v>
      </c>
      <c r="I15" t="s">
        <v>1933</v>
      </c>
      <c r="J15" s="16">
        <v>443.66</v>
      </c>
      <c r="K15" s="19">
        <f t="shared" si="0"/>
        <v>2159511.4773000008</v>
      </c>
      <c r="L15" s="22">
        <f t="shared" si="1"/>
        <v>1086.8200690991448</v>
      </c>
      <c r="M15" s="22">
        <f t="shared" si="2"/>
        <v>690</v>
      </c>
      <c r="N15" s="22" t="str">
        <f t="shared" si="3"/>
        <v>Low Value</v>
      </c>
      <c r="O15" s="22" t="str">
        <f t="shared" si="4"/>
        <v>Aug-2025</v>
      </c>
      <c r="P15" s="22" t="s">
        <v>1653</v>
      </c>
      <c r="Q15" s="22" t="s">
        <v>1531</v>
      </c>
      <c r="R15" s="22" t="s">
        <v>1363</v>
      </c>
      <c r="S15" s="22"/>
      <c r="T15" s="22"/>
    </row>
    <row r="16" spans="1:28">
      <c r="A16" t="s">
        <v>1948</v>
      </c>
      <c r="B16" s="8">
        <v>45829</v>
      </c>
      <c r="C16" t="s">
        <v>1087</v>
      </c>
      <c r="D16" t="s">
        <v>1620</v>
      </c>
      <c r="E16" t="s">
        <v>1908</v>
      </c>
      <c r="F16">
        <v>4</v>
      </c>
      <c r="G16" s="10">
        <v>403.47</v>
      </c>
      <c r="H16" s="13">
        <v>0.28999999999999998</v>
      </c>
      <c r="I16" t="s">
        <v>1933</v>
      </c>
      <c r="J16" s="16">
        <v>1145.8548000000001</v>
      </c>
      <c r="K16" s="19">
        <f t="shared" si="0"/>
        <v>2159067.8173000007</v>
      </c>
      <c r="L16" s="22">
        <f t="shared" si="1"/>
        <v>1087.1439160624375</v>
      </c>
      <c r="M16" s="22">
        <f t="shared" si="2"/>
        <v>689</v>
      </c>
      <c r="N16" s="22" t="str">
        <f t="shared" si="3"/>
        <v>High Value</v>
      </c>
      <c r="O16" s="22" t="str">
        <f t="shared" si="4"/>
        <v>Jun-2025</v>
      </c>
      <c r="P16" s="22" t="s">
        <v>1621</v>
      </c>
      <c r="Q16" s="22" t="s">
        <v>1569</v>
      </c>
      <c r="R16" s="22" t="s">
        <v>1088</v>
      </c>
      <c r="S16" s="22"/>
      <c r="T16" s="22"/>
      <c r="V16" s="24" t="s">
        <v>3967</v>
      </c>
      <c r="W16" t="s">
        <v>3974</v>
      </c>
    </row>
    <row r="17" spans="1:23">
      <c r="A17" t="s">
        <v>1949</v>
      </c>
      <c r="B17" s="8">
        <v>45636</v>
      </c>
      <c r="C17" t="s">
        <v>1340</v>
      </c>
      <c r="D17" t="s">
        <v>1658</v>
      </c>
      <c r="E17" t="s">
        <v>1893</v>
      </c>
      <c r="F17" s="5">
        <v>3</v>
      </c>
      <c r="G17" s="10">
        <v>871.34</v>
      </c>
      <c r="H17" s="13">
        <v>0.04</v>
      </c>
      <c r="I17" t="s">
        <v>1936</v>
      </c>
      <c r="J17" s="16">
        <v>2509.4591999999998</v>
      </c>
      <c r="K17" s="19">
        <f t="shared" si="0"/>
        <v>2157921.9625000008</v>
      </c>
      <c r="L17" s="22">
        <f t="shared" si="1"/>
        <v>1087.1143387909324</v>
      </c>
      <c r="M17" s="22">
        <f t="shared" si="2"/>
        <v>688</v>
      </c>
      <c r="N17" s="22" t="str">
        <f t="shared" si="3"/>
        <v>High Value</v>
      </c>
      <c r="O17" s="22" t="str">
        <f t="shared" si="4"/>
        <v>Dec-2024</v>
      </c>
      <c r="P17" s="22" t="s">
        <v>1659</v>
      </c>
      <c r="Q17" s="22" t="s">
        <v>1536</v>
      </c>
      <c r="R17" s="22" t="s">
        <v>1341</v>
      </c>
      <c r="S17" s="22"/>
      <c r="T17" s="22"/>
      <c r="V17" s="25" t="s">
        <v>887</v>
      </c>
      <c r="W17" s="6">
        <v>7</v>
      </c>
    </row>
    <row r="18" spans="1:23">
      <c r="A18" t="s">
        <v>1950</v>
      </c>
      <c r="B18" s="8">
        <v>45913</v>
      </c>
      <c r="C18" t="s">
        <v>877</v>
      </c>
      <c r="D18" t="s">
        <v>1749</v>
      </c>
      <c r="E18" t="s">
        <v>1920</v>
      </c>
      <c r="F18">
        <v>2</v>
      </c>
      <c r="G18" s="10">
        <v>451.98</v>
      </c>
      <c r="H18" s="13">
        <v>0.25</v>
      </c>
      <c r="I18" t="s">
        <v>1931</v>
      </c>
      <c r="J18" s="16">
        <v>677.97</v>
      </c>
      <c r="K18" s="19">
        <f t="shared" si="0"/>
        <v>2155412.5033000009</v>
      </c>
      <c r="L18" s="22">
        <f t="shared" si="1"/>
        <v>1086.3974310987908</v>
      </c>
      <c r="M18" s="22">
        <f t="shared" si="2"/>
        <v>688</v>
      </c>
      <c r="N18" s="22" t="str">
        <f t="shared" si="3"/>
        <v>Low Value</v>
      </c>
      <c r="O18" s="22" t="str">
        <f t="shared" si="4"/>
        <v>Sep-2025</v>
      </c>
      <c r="P18" s="22" t="s">
        <v>1750</v>
      </c>
      <c r="Q18" s="22" t="s">
        <v>1569</v>
      </c>
      <c r="R18" s="22" t="s">
        <v>878</v>
      </c>
      <c r="S18" s="22"/>
      <c r="T18" s="22"/>
      <c r="V18" s="26" t="s">
        <v>1936</v>
      </c>
      <c r="W18" s="6">
        <v>3</v>
      </c>
    </row>
    <row r="19" spans="1:23">
      <c r="A19" t="s">
        <v>1951</v>
      </c>
      <c r="B19" s="8">
        <v>45637</v>
      </c>
      <c r="C19" t="s">
        <v>285</v>
      </c>
      <c r="D19" t="s">
        <v>1630</v>
      </c>
      <c r="E19" t="s">
        <v>1876</v>
      </c>
      <c r="F19">
        <v>2</v>
      </c>
      <c r="G19" s="10">
        <v>502.69</v>
      </c>
      <c r="H19" s="13">
        <v>0.23</v>
      </c>
      <c r="I19" t="s">
        <v>1931</v>
      </c>
      <c r="J19" s="16">
        <v>774.14260000000002</v>
      </c>
      <c r="K19" s="19">
        <f t="shared" si="0"/>
        <v>2154734.5333000012</v>
      </c>
      <c r="L19" s="22">
        <f t="shared" si="1"/>
        <v>1086.6033955118514</v>
      </c>
      <c r="M19" s="22">
        <f t="shared" si="2"/>
        <v>688</v>
      </c>
      <c r="N19" s="22" t="str">
        <f t="shared" si="3"/>
        <v>Low Value</v>
      </c>
      <c r="O19" s="22" t="str">
        <f t="shared" si="4"/>
        <v>Dec-2024</v>
      </c>
      <c r="P19" s="22" t="s">
        <v>1631</v>
      </c>
      <c r="Q19" s="22" t="s">
        <v>1560</v>
      </c>
      <c r="R19" s="22" t="s">
        <v>286</v>
      </c>
      <c r="S19" s="22"/>
      <c r="T19" s="22"/>
      <c r="V19" s="26" t="s">
        <v>1931</v>
      </c>
      <c r="W19" s="6">
        <v>1</v>
      </c>
    </row>
    <row r="20" spans="1:23">
      <c r="A20" t="s">
        <v>1952</v>
      </c>
      <c r="B20" s="8">
        <v>45517</v>
      </c>
      <c r="C20" t="s">
        <v>333</v>
      </c>
      <c r="D20" t="s">
        <v>1668</v>
      </c>
      <c r="E20" t="s">
        <v>1876</v>
      </c>
      <c r="F20">
        <v>2</v>
      </c>
      <c r="G20" s="10">
        <v>559.23</v>
      </c>
      <c r="H20" s="13">
        <v>0.25</v>
      </c>
      <c r="I20" t="s">
        <v>1936</v>
      </c>
      <c r="J20" s="16">
        <v>838.84500000000003</v>
      </c>
      <c r="K20" s="19">
        <f t="shared" si="0"/>
        <v>2153960.3907000013</v>
      </c>
      <c r="L20" s="22">
        <f t="shared" si="1"/>
        <v>1086.7610447527757</v>
      </c>
      <c r="M20" s="22">
        <f t="shared" si="2"/>
        <v>688</v>
      </c>
      <c r="N20" s="22" t="str">
        <f t="shared" si="3"/>
        <v>Low Value</v>
      </c>
      <c r="O20" s="22" t="str">
        <f t="shared" si="4"/>
        <v>Aug-2024</v>
      </c>
      <c r="P20" s="22" t="s">
        <v>1669</v>
      </c>
      <c r="Q20" s="22" t="s">
        <v>1531</v>
      </c>
      <c r="R20" s="22" t="s">
        <v>334</v>
      </c>
      <c r="S20" s="22"/>
      <c r="T20" s="22"/>
      <c r="V20" s="26" t="s">
        <v>1933</v>
      </c>
      <c r="W20" s="6">
        <v>3</v>
      </c>
    </row>
    <row r="21" spans="1:23">
      <c r="A21" t="s">
        <v>1953</v>
      </c>
      <c r="B21" s="8">
        <v>45369</v>
      </c>
      <c r="C21" t="s">
        <v>768</v>
      </c>
      <c r="D21" t="s">
        <v>1734</v>
      </c>
      <c r="E21" t="s">
        <v>1904</v>
      </c>
      <c r="F21">
        <v>4</v>
      </c>
      <c r="G21" s="11">
        <v>464.18</v>
      </c>
      <c r="H21" s="13">
        <v>0.04</v>
      </c>
      <c r="I21" t="s">
        <v>1936</v>
      </c>
      <c r="J21" s="16">
        <v>1782.4512</v>
      </c>
      <c r="K21" s="19">
        <f t="shared" si="0"/>
        <v>2153121.5457000011</v>
      </c>
      <c r="L21" s="22">
        <f t="shared" si="1"/>
        <v>1086.8861916708738</v>
      </c>
      <c r="M21" s="22">
        <f t="shared" si="2"/>
        <v>688</v>
      </c>
      <c r="N21" s="22" t="str">
        <f t="shared" si="3"/>
        <v>High Value</v>
      </c>
      <c r="O21" s="22" t="str">
        <f t="shared" si="4"/>
        <v>Mar-2024</v>
      </c>
      <c r="P21" s="22" t="s">
        <v>1735</v>
      </c>
      <c r="Q21" s="22" t="s">
        <v>1555</v>
      </c>
      <c r="R21" s="22" t="s">
        <v>769</v>
      </c>
      <c r="S21" s="22"/>
      <c r="T21" s="22"/>
      <c r="V21" s="25" t="s">
        <v>1363</v>
      </c>
      <c r="W21" s="6">
        <v>16</v>
      </c>
    </row>
    <row r="22" spans="1:23">
      <c r="A22" t="s">
        <v>1954</v>
      </c>
      <c r="B22" s="8">
        <v>45843</v>
      </c>
      <c r="C22" t="s">
        <v>485</v>
      </c>
      <c r="D22" t="s">
        <v>1771</v>
      </c>
      <c r="E22" t="s">
        <v>1914</v>
      </c>
      <c r="F22">
        <v>3</v>
      </c>
      <c r="G22" s="10">
        <v>986.04</v>
      </c>
      <c r="H22" s="13">
        <v>0.27</v>
      </c>
      <c r="I22" t="s">
        <v>1936</v>
      </c>
      <c r="J22" s="16">
        <v>2159.4276</v>
      </c>
      <c r="K22" s="19">
        <f t="shared" si="0"/>
        <v>2151339.0945000006</v>
      </c>
      <c r="L22" s="22">
        <f t="shared" si="1"/>
        <v>1086.5348962121216</v>
      </c>
      <c r="M22" s="22">
        <f t="shared" si="2"/>
        <v>688</v>
      </c>
      <c r="N22" s="22" t="str">
        <f t="shared" si="3"/>
        <v>High Value</v>
      </c>
      <c r="O22" s="22" t="str">
        <f t="shared" si="4"/>
        <v>Jul-2025</v>
      </c>
      <c r="P22" s="22" t="s">
        <v>1772</v>
      </c>
      <c r="Q22" s="22" t="s">
        <v>1569</v>
      </c>
      <c r="R22" s="22" t="s">
        <v>486</v>
      </c>
      <c r="S22" s="22"/>
      <c r="T22" s="22"/>
      <c r="V22" s="26" t="s">
        <v>1936</v>
      </c>
      <c r="W22" s="6">
        <v>4</v>
      </c>
    </row>
    <row r="23" spans="1:23">
      <c r="A23" t="s">
        <v>1955</v>
      </c>
      <c r="B23" s="8">
        <v>45447</v>
      </c>
      <c r="C23" t="s">
        <v>1229</v>
      </c>
      <c r="D23" t="s">
        <v>1681</v>
      </c>
      <c r="E23" t="s">
        <v>1917</v>
      </c>
      <c r="F23">
        <v>1</v>
      </c>
      <c r="G23" s="10">
        <v>589.55999999999995</v>
      </c>
      <c r="H23" s="13">
        <v>0.22</v>
      </c>
      <c r="I23" t="s">
        <v>1931</v>
      </c>
      <c r="J23" s="16">
        <v>459.85680000000002</v>
      </c>
      <c r="K23" s="19">
        <f t="shared" si="0"/>
        <v>2149179.6669000001</v>
      </c>
      <c r="L23" s="22">
        <f t="shared" si="1"/>
        <v>1085.9927574027288</v>
      </c>
      <c r="M23" s="22">
        <f t="shared" si="2"/>
        <v>688</v>
      </c>
      <c r="N23" s="22" t="str">
        <f t="shared" si="3"/>
        <v>Low Value</v>
      </c>
      <c r="O23" s="22" t="str">
        <f t="shared" si="4"/>
        <v>Jun-2024</v>
      </c>
      <c r="P23" s="22" t="s">
        <v>1682</v>
      </c>
      <c r="Q23" s="22" t="s">
        <v>1531</v>
      </c>
      <c r="R23" s="22" t="s">
        <v>1230</v>
      </c>
      <c r="S23" s="22"/>
      <c r="T23" s="22"/>
      <c r="V23" s="26" t="s">
        <v>1931</v>
      </c>
      <c r="W23" s="6">
        <v>5</v>
      </c>
    </row>
    <row r="24" spans="1:23">
      <c r="A24" t="s">
        <v>1956</v>
      </c>
      <c r="B24" s="8">
        <v>45394</v>
      </c>
      <c r="C24" t="s">
        <v>1456</v>
      </c>
      <c r="D24" t="s">
        <v>1762</v>
      </c>
      <c r="E24" t="s">
        <v>1896</v>
      </c>
      <c r="F24">
        <v>3</v>
      </c>
      <c r="G24" s="10">
        <v>979.42</v>
      </c>
      <c r="H24" s="13">
        <v>0.03</v>
      </c>
      <c r="I24" t="s">
        <v>1933</v>
      </c>
      <c r="J24" s="16">
        <v>2850.1122</v>
      </c>
      <c r="K24" s="19">
        <f t="shared" si="0"/>
        <v>2148719.8101000004</v>
      </c>
      <c r="L24" s="22">
        <f t="shared" si="1"/>
        <v>1086.3093074317494</v>
      </c>
      <c r="M24" s="22">
        <f t="shared" si="2"/>
        <v>688</v>
      </c>
      <c r="N24" s="22" t="str">
        <f t="shared" si="3"/>
        <v>High Value</v>
      </c>
      <c r="O24" s="22" t="str">
        <f t="shared" si="4"/>
        <v>Apr-2024</v>
      </c>
      <c r="P24" s="22" t="s">
        <v>1763</v>
      </c>
      <c r="Q24" s="22" t="s">
        <v>1536</v>
      </c>
      <c r="R24" s="22" t="s">
        <v>1457</v>
      </c>
      <c r="S24" s="22"/>
      <c r="T24" s="22"/>
      <c r="V24" s="26" t="s">
        <v>1933</v>
      </c>
      <c r="W24" s="6">
        <v>7</v>
      </c>
    </row>
    <row r="25" spans="1:23">
      <c r="A25" t="s">
        <v>1957</v>
      </c>
      <c r="B25" s="8">
        <v>45466</v>
      </c>
      <c r="C25" t="s">
        <v>1145</v>
      </c>
      <c r="D25" t="s">
        <v>1579</v>
      </c>
      <c r="E25" t="s">
        <v>1889</v>
      </c>
      <c r="F25">
        <v>1</v>
      </c>
      <c r="G25" s="10">
        <v>719.28</v>
      </c>
      <c r="H25" s="13">
        <v>0.08</v>
      </c>
      <c r="I25" t="s">
        <v>1931</v>
      </c>
      <c r="J25" s="16">
        <v>661.73760000000004</v>
      </c>
      <c r="K25" s="19">
        <f t="shared" si="0"/>
        <v>2145869.6979</v>
      </c>
      <c r="L25" s="22">
        <f t="shared" si="1"/>
        <v>1085.4171461305007</v>
      </c>
      <c r="M25" s="22">
        <f t="shared" si="2"/>
        <v>687</v>
      </c>
      <c r="N25" s="22" t="str">
        <f t="shared" si="3"/>
        <v>Low Value</v>
      </c>
      <c r="O25" s="22" t="str">
        <f t="shared" si="4"/>
        <v>Jun-2024</v>
      </c>
      <c r="P25" s="22" t="s">
        <v>1580</v>
      </c>
      <c r="Q25" s="22" t="s">
        <v>1555</v>
      </c>
      <c r="R25" s="22" t="s">
        <v>1146</v>
      </c>
      <c r="S25" s="22"/>
      <c r="T25" s="22"/>
      <c r="V25" s="25" t="s">
        <v>79</v>
      </c>
      <c r="W25" s="6">
        <v>14</v>
      </c>
    </row>
    <row r="26" spans="1:23">
      <c r="A26" t="s">
        <v>1958</v>
      </c>
      <c r="B26" s="8">
        <v>45908</v>
      </c>
      <c r="C26" t="s">
        <v>611</v>
      </c>
      <c r="D26" t="s">
        <v>1755</v>
      </c>
      <c r="E26" t="s">
        <v>1883</v>
      </c>
      <c r="F26">
        <v>3</v>
      </c>
      <c r="G26" s="10">
        <v>77.599999999999994</v>
      </c>
      <c r="H26" s="13">
        <v>7.0000000000000007E-2</v>
      </c>
      <c r="I26" t="s">
        <v>1931</v>
      </c>
      <c r="J26" s="16">
        <v>216.50399999999999</v>
      </c>
      <c r="K26" s="19">
        <f t="shared" si="0"/>
        <v>2145207.9603000004</v>
      </c>
      <c r="L26" s="22">
        <f t="shared" si="1"/>
        <v>1085.6315588562754</v>
      </c>
      <c r="M26" s="22">
        <f t="shared" si="2"/>
        <v>687</v>
      </c>
      <c r="N26" s="22" t="str">
        <f t="shared" si="3"/>
        <v>Low Value</v>
      </c>
      <c r="O26" s="22" t="str">
        <f t="shared" si="4"/>
        <v>Sep-2025</v>
      </c>
      <c r="P26" s="22" t="s">
        <v>1756</v>
      </c>
      <c r="Q26" s="22" t="s">
        <v>1531</v>
      </c>
      <c r="R26" s="22" t="s">
        <v>612</v>
      </c>
      <c r="S26" s="22"/>
      <c r="T26" s="22"/>
      <c r="V26" s="26" t="s">
        <v>1936</v>
      </c>
      <c r="W26" s="6">
        <v>4</v>
      </c>
    </row>
    <row r="27" spans="1:23">
      <c r="A27" t="s">
        <v>1959</v>
      </c>
      <c r="B27" s="8">
        <v>45552</v>
      </c>
      <c r="C27" t="s">
        <v>1184</v>
      </c>
      <c r="D27" t="s">
        <v>1549</v>
      </c>
      <c r="E27" t="s">
        <v>1873</v>
      </c>
      <c r="F27">
        <v>4</v>
      </c>
      <c r="G27" s="10">
        <v>852.71</v>
      </c>
      <c r="H27" s="13">
        <v>0.14000000000000001</v>
      </c>
      <c r="I27" t="s">
        <v>1933</v>
      </c>
      <c r="J27" s="16">
        <v>2933.3224</v>
      </c>
      <c r="K27" s="19">
        <f t="shared" si="0"/>
        <v>2144991.4563000002</v>
      </c>
      <c r="L27" s="22">
        <f t="shared" si="1"/>
        <v>1086.0716234430381</v>
      </c>
      <c r="M27" s="22">
        <f t="shared" si="2"/>
        <v>687</v>
      </c>
      <c r="N27" s="22" t="str">
        <f t="shared" si="3"/>
        <v>High Value</v>
      </c>
      <c r="O27" s="22" t="str">
        <f t="shared" si="4"/>
        <v>Sep-2024</v>
      </c>
      <c r="P27" s="22" t="s">
        <v>1550</v>
      </c>
      <c r="Q27" s="22" t="s">
        <v>1536</v>
      </c>
      <c r="R27" s="22" t="s">
        <v>1185</v>
      </c>
      <c r="S27" s="22"/>
      <c r="T27" s="22"/>
      <c r="V27" s="26" t="s">
        <v>1931</v>
      </c>
      <c r="W27" s="6">
        <v>1</v>
      </c>
    </row>
    <row r="28" spans="1:23">
      <c r="A28" t="s">
        <v>1960</v>
      </c>
      <c r="B28" s="8">
        <v>45294</v>
      </c>
      <c r="C28" t="s">
        <v>691</v>
      </c>
      <c r="D28" t="s">
        <v>1849</v>
      </c>
      <c r="E28" t="s">
        <v>1889</v>
      </c>
      <c r="F28">
        <v>4</v>
      </c>
      <c r="G28" s="10">
        <v>156.16</v>
      </c>
      <c r="H28" s="14">
        <v>0.04</v>
      </c>
      <c r="I28" t="s">
        <v>1931</v>
      </c>
      <c r="J28" s="16">
        <v>599.65440000000001</v>
      </c>
      <c r="K28" s="19">
        <f t="shared" si="0"/>
        <v>2142058.1338999993</v>
      </c>
      <c r="L28" s="22">
        <f t="shared" si="1"/>
        <v>1085.1358327760888</v>
      </c>
      <c r="M28" s="22">
        <f t="shared" si="2"/>
        <v>686</v>
      </c>
      <c r="N28" s="22" t="str">
        <f t="shared" si="3"/>
        <v>Low Value</v>
      </c>
      <c r="O28" s="22" t="str">
        <f t="shared" si="4"/>
        <v>Jan-2024</v>
      </c>
      <c r="P28" s="22" t="s">
        <v>1850</v>
      </c>
      <c r="Q28" s="22" t="s">
        <v>1531</v>
      </c>
      <c r="R28" s="22" t="s">
        <v>692</v>
      </c>
      <c r="S28" s="22"/>
      <c r="T28" s="22"/>
      <c r="V28" s="26" t="s">
        <v>1933</v>
      </c>
      <c r="W28" s="6">
        <v>9</v>
      </c>
    </row>
    <row r="29" spans="1:23">
      <c r="A29" t="s">
        <v>1961</v>
      </c>
      <c r="B29" s="8">
        <v>45710</v>
      </c>
      <c r="C29" t="s">
        <v>652</v>
      </c>
      <c r="D29" t="s">
        <v>1786</v>
      </c>
      <c r="E29" t="s">
        <v>1889</v>
      </c>
      <c r="F29">
        <v>3</v>
      </c>
      <c r="G29" s="10">
        <v>815.49</v>
      </c>
      <c r="H29" s="13">
        <v>0.17</v>
      </c>
      <c r="I29" t="s">
        <v>1931</v>
      </c>
      <c r="J29" s="16">
        <v>2030.5700999999999</v>
      </c>
      <c r="K29" s="19">
        <f t="shared" si="0"/>
        <v>2141458.4794999994</v>
      </c>
      <c r="L29" s="22">
        <f t="shared" si="1"/>
        <v>1085.3818953370499</v>
      </c>
      <c r="M29" s="22">
        <f t="shared" si="2"/>
        <v>686</v>
      </c>
      <c r="N29" s="22" t="str">
        <f t="shared" si="3"/>
        <v>High Value</v>
      </c>
      <c r="O29" s="22" t="str">
        <f t="shared" si="4"/>
        <v>Feb-2025</v>
      </c>
      <c r="P29" s="22" t="s">
        <v>1787</v>
      </c>
      <c r="Q29" s="22" t="s">
        <v>1531</v>
      </c>
      <c r="R29" s="22" t="s">
        <v>653</v>
      </c>
      <c r="S29" s="22"/>
      <c r="T29" s="22"/>
      <c r="V29" s="25" t="s">
        <v>866</v>
      </c>
      <c r="W29" s="6">
        <v>10</v>
      </c>
    </row>
    <row r="30" spans="1:23">
      <c r="A30" t="s">
        <v>1962</v>
      </c>
      <c r="B30" s="8">
        <v>45923</v>
      </c>
      <c r="C30" t="s">
        <v>497</v>
      </c>
      <c r="D30" t="s">
        <v>1583</v>
      </c>
      <c r="E30" t="s">
        <v>1868</v>
      </c>
      <c r="F30">
        <v>2</v>
      </c>
      <c r="G30" s="10">
        <v>74.209999999999994</v>
      </c>
      <c r="H30" s="13">
        <v>0.11</v>
      </c>
      <c r="I30" t="s">
        <v>1933</v>
      </c>
      <c r="J30" s="16">
        <v>132.09379999999999</v>
      </c>
      <c r="K30" s="19">
        <f t="shared" si="0"/>
        <v>2139427.9093999998</v>
      </c>
      <c r="L30" s="22">
        <f t="shared" si="1"/>
        <v>1084.9025909736308</v>
      </c>
      <c r="M30" s="22">
        <f t="shared" si="2"/>
        <v>686</v>
      </c>
      <c r="N30" s="22" t="str">
        <f t="shared" si="3"/>
        <v>Low Value</v>
      </c>
      <c r="O30" s="22" t="str">
        <f t="shared" si="4"/>
        <v>Sep-2025</v>
      </c>
      <c r="P30" s="22" t="s">
        <v>1584</v>
      </c>
      <c r="Q30" s="22" t="s">
        <v>1531</v>
      </c>
      <c r="R30" s="22" t="s">
        <v>498</v>
      </c>
      <c r="S30" s="22"/>
      <c r="T30" s="22"/>
      <c r="V30" s="26" t="s">
        <v>1936</v>
      </c>
      <c r="W30" s="6">
        <v>2</v>
      </c>
    </row>
    <row r="31" spans="1:23">
      <c r="A31" t="s">
        <v>1963</v>
      </c>
      <c r="B31" s="8">
        <v>45302</v>
      </c>
      <c r="C31" t="s">
        <v>1087</v>
      </c>
      <c r="D31" t="s">
        <v>1852</v>
      </c>
      <c r="E31" t="s">
        <v>1873</v>
      </c>
      <c r="F31" s="5">
        <v>4</v>
      </c>
      <c r="G31" s="10">
        <v>451.67</v>
      </c>
      <c r="H31" s="13">
        <v>0.15</v>
      </c>
      <c r="I31" t="s">
        <v>1931</v>
      </c>
      <c r="J31" s="16">
        <v>1535.6780000000001</v>
      </c>
      <c r="K31" s="19">
        <f t="shared" si="0"/>
        <v>2139295.8155999994</v>
      </c>
      <c r="L31" s="22">
        <f t="shared" si="1"/>
        <v>1085.3860048706238</v>
      </c>
      <c r="M31" s="22">
        <f t="shared" si="2"/>
        <v>685</v>
      </c>
      <c r="N31" s="22" t="str">
        <f t="shared" si="3"/>
        <v>High Value</v>
      </c>
      <c r="O31" s="22" t="str">
        <f t="shared" si="4"/>
        <v>Jan-2024</v>
      </c>
      <c r="P31" s="22" t="s">
        <v>1853</v>
      </c>
      <c r="Q31" s="22" t="s">
        <v>1560</v>
      </c>
      <c r="R31" s="22" t="s">
        <v>1088</v>
      </c>
      <c r="S31" s="22"/>
      <c r="T31" s="22"/>
      <c r="V31" s="26" t="s">
        <v>1931</v>
      </c>
      <c r="W31" s="6">
        <v>4</v>
      </c>
    </row>
    <row r="32" spans="1:23">
      <c r="A32" t="s">
        <v>1964</v>
      </c>
      <c r="B32" s="8">
        <v>45217</v>
      </c>
      <c r="C32" t="s">
        <v>118</v>
      </c>
      <c r="D32" t="s">
        <v>1549</v>
      </c>
      <c r="E32" t="s">
        <v>1920</v>
      </c>
      <c r="F32">
        <v>1</v>
      </c>
      <c r="G32" s="10">
        <v>429.38</v>
      </c>
      <c r="H32" s="13">
        <v>0.13</v>
      </c>
      <c r="I32" t="s">
        <v>1933</v>
      </c>
      <c r="J32" s="16">
        <v>373.56060000000002</v>
      </c>
      <c r="K32" s="19">
        <f t="shared" si="0"/>
        <v>2137760.1376</v>
      </c>
      <c r="L32" s="22">
        <f t="shared" si="1"/>
        <v>1085.1574302538072</v>
      </c>
      <c r="M32" s="22">
        <f t="shared" si="2"/>
        <v>685</v>
      </c>
      <c r="N32" s="22" t="str">
        <f t="shared" si="3"/>
        <v>Low Value</v>
      </c>
      <c r="O32" s="22" t="str">
        <f t="shared" si="4"/>
        <v>Oct-2023</v>
      </c>
      <c r="P32" s="22" t="s">
        <v>1550</v>
      </c>
      <c r="Q32" s="22" t="s">
        <v>1536</v>
      </c>
      <c r="R32" s="22" t="s">
        <v>119</v>
      </c>
      <c r="S32" s="22"/>
      <c r="T32" s="22"/>
      <c r="V32" s="26" t="s">
        <v>1933</v>
      </c>
      <c r="W32" s="6">
        <v>4</v>
      </c>
    </row>
    <row r="33" spans="1:23">
      <c r="A33" t="s">
        <v>1965</v>
      </c>
      <c r="B33" s="8">
        <v>45593</v>
      </c>
      <c r="C33" t="s">
        <v>1274</v>
      </c>
      <c r="D33" t="s">
        <v>1713</v>
      </c>
      <c r="E33" t="s">
        <v>1901</v>
      </c>
      <c r="F33">
        <v>2</v>
      </c>
      <c r="G33" s="10">
        <v>148.96</v>
      </c>
      <c r="H33" s="13">
        <v>0.03</v>
      </c>
      <c r="I33" t="s">
        <v>1936</v>
      </c>
      <c r="J33" s="16">
        <v>288.98239999999998</v>
      </c>
      <c r="K33" s="19">
        <f t="shared" si="0"/>
        <v>2137386.577</v>
      </c>
      <c r="L33" s="22">
        <f t="shared" si="1"/>
        <v>1085.5188303707466</v>
      </c>
      <c r="M33" s="22">
        <f t="shared" si="2"/>
        <v>684</v>
      </c>
      <c r="N33" s="22" t="str">
        <f t="shared" si="3"/>
        <v>Low Value</v>
      </c>
      <c r="O33" s="22" t="str">
        <f t="shared" si="4"/>
        <v>Oct-2024</v>
      </c>
      <c r="P33" s="22" t="s">
        <v>1714</v>
      </c>
      <c r="Q33" s="22" t="s">
        <v>1536</v>
      </c>
      <c r="R33" s="22" t="s">
        <v>1275</v>
      </c>
      <c r="S33" s="22"/>
      <c r="T33" s="22"/>
      <c r="V33" s="25" t="s">
        <v>720</v>
      </c>
      <c r="W33" s="6">
        <v>13</v>
      </c>
    </row>
    <row r="34" spans="1:23">
      <c r="A34" t="s">
        <v>1966</v>
      </c>
      <c r="B34" s="8">
        <v>45597</v>
      </c>
      <c r="C34" t="s">
        <v>1233</v>
      </c>
      <c r="D34" t="s">
        <v>1780</v>
      </c>
      <c r="E34" t="s">
        <v>1889</v>
      </c>
      <c r="F34">
        <v>4</v>
      </c>
      <c r="G34" s="10">
        <v>313.83</v>
      </c>
      <c r="H34" s="13">
        <v>0.08</v>
      </c>
      <c r="I34" t="s">
        <v>1931</v>
      </c>
      <c r="J34" s="16">
        <v>1154.8943999999999</v>
      </c>
      <c r="K34" s="19">
        <f t="shared" si="0"/>
        <v>2137097.5945999995</v>
      </c>
      <c r="L34" s="22">
        <f t="shared" si="1"/>
        <v>1085.9235744918697</v>
      </c>
      <c r="M34" s="22">
        <f t="shared" si="2"/>
        <v>684</v>
      </c>
      <c r="N34" s="22" t="str">
        <f t="shared" si="3"/>
        <v>High Value</v>
      </c>
      <c r="O34" s="22" t="str">
        <f t="shared" si="4"/>
        <v>Nov-2024</v>
      </c>
      <c r="P34" s="22" t="s">
        <v>1781</v>
      </c>
      <c r="Q34" s="22" t="s">
        <v>1536</v>
      </c>
      <c r="R34" s="22" t="s">
        <v>1234</v>
      </c>
      <c r="S34" s="22"/>
      <c r="T34" s="22"/>
      <c r="V34" s="26" t="s">
        <v>1931</v>
      </c>
      <c r="W34" s="6">
        <v>5</v>
      </c>
    </row>
    <row r="35" spans="1:23">
      <c r="A35" t="s">
        <v>1967</v>
      </c>
      <c r="B35" s="8">
        <v>45620</v>
      </c>
      <c r="C35" t="s">
        <v>1391</v>
      </c>
      <c r="D35" t="s">
        <v>1579</v>
      </c>
      <c r="E35" t="s">
        <v>1883</v>
      </c>
      <c r="F35">
        <v>2</v>
      </c>
      <c r="G35" s="10">
        <v>717.31</v>
      </c>
      <c r="H35" s="13">
        <v>0.15</v>
      </c>
      <c r="I35" t="s">
        <v>1931</v>
      </c>
      <c r="J35" s="16">
        <v>1219.4269999999999</v>
      </c>
      <c r="K35" s="19">
        <f t="shared" si="0"/>
        <v>2135942.7001999998</v>
      </c>
      <c r="L35" s="22">
        <f t="shared" si="1"/>
        <v>1085.88851052364</v>
      </c>
      <c r="M35" s="22">
        <f t="shared" si="2"/>
        <v>684</v>
      </c>
      <c r="N35" s="22" t="str">
        <f t="shared" si="3"/>
        <v>High Value</v>
      </c>
      <c r="O35" s="22" t="str">
        <f t="shared" si="4"/>
        <v>Nov-2024</v>
      </c>
      <c r="P35" s="22" t="s">
        <v>1580</v>
      </c>
      <c r="Q35" s="22" t="s">
        <v>1555</v>
      </c>
      <c r="R35" s="22" t="s">
        <v>1392</v>
      </c>
      <c r="S35" s="22"/>
      <c r="T35" s="22"/>
      <c r="V35" s="26" t="s">
        <v>1933</v>
      </c>
      <c r="W35" s="6">
        <v>8</v>
      </c>
    </row>
    <row r="36" spans="1:23">
      <c r="A36" t="s">
        <v>1968</v>
      </c>
      <c r="B36" s="8">
        <v>45215</v>
      </c>
      <c r="C36" t="s">
        <v>1076</v>
      </c>
      <c r="D36" t="s">
        <v>1792</v>
      </c>
      <c r="E36" t="s">
        <v>1864</v>
      </c>
      <c r="F36" s="5">
        <v>3</v>
      </c>
      <c r="G36" s="10">
        <v>873.22</v>
      </c>
      <c r="H36" s="13">
        <v>0.18</v>
      </c>
      <c r="I36" t="s">
        <v>1931</v>
      </c>
      <c r="J36" s="16">
        <v>2148.1212</v>
      </c>
      <c r="K36" s="19">
        <f t="shared" si="0"/>
        <v>2134723.2732000002</v>
      </c>
      <c r="L36" s="22">
        <f t="shared" si="1"/>
        <v>1085.8205865717193</v>
      </c>
      <c r="M36" s="22">
        <f t="shared" si="2"/>
        <v>684</v>
      </c>
      <c r="N36" s="22" t="str">
        <f t="shared" si="3"/>
        <v>High Value</v>
      </c>
      <c r="O36" s="22" t="str">
        <f t="shared" si="4"/>
        <v>Oct-2023</v>
      </c>
      <c r="P36" s="22" t="s">
        <v>1793</v>
      </c>
      <c r="Q36" s="22" t="s">
        <v>1560</v>
      </c>
      <c r="R36" s="22" t="s">
        <v>1077</v>
      </c>
      <c r="S36" s="22"/>
      <c r="T36" s="22"/>
      <c r="V36" s="25" t="s">
        <v>1224</v>
      </c>
      <c r="W36" s="6">
        <v>8</v>
      </c>
    </row>
    <row r="37" spans="1:23">
      <c r="A37" t="s">
        <v>1969</v>
      </c>
      <c r="B37" s="8">
        <v>45878</v>
      </c>
      <c r="C37" t="s">
        <v>706</v>
      </c>
      <c r="D37" t="s">
        <v>1970</v>
      </c>
      <c r="E37" t="s">
        <v>1873</v>
      </c>
      <c r="F37">
        <v>4</v>
      </c>
      <c r="G37" s="10">
        <v>109.36</v>
      </c>
      <c r="H37" s="13">
        <v>0.19</v>
      </c>
      <c r="I37" t="s">
        <v>1936</v>
      </c>
      <c r="J37" s="16">
        <v>354.32639999999998</v>
      </c>
      <c r="K37" s="19">
        <f t="shared" si="0"/>
        <v>2132575.1520000007</v>
      </c>
      <c r="L37" s="22">
        <f t="shared" si="1"/>
        <v>1085.2799755725193</v>
      </c>
      <c r="M37" s="22">
        <f t="shared" si="2"/>
        <v>684</v>
      </c>
      <c r="N37" s="22" t="str">
        <f t="shared" si="3"/>
        <v>Low Value</v>
      </c>
      <c r="O37" s="22" t="str">
        <f t="shared" si="4"/>
        <v>Aug-2025</v>
      </c>
      <c r="P37" s="22" t="s">
        <v>1594</v>
      </c>
      <c r="Q37" s="22" t="s">
        <v>1555</v>
      </c>
      <c r="R37" s="22" t="s">
        <v>707</v>
      </c>
      <c r="S37" s="22"/>
      <c r="T37" s="22"/>
      <c r="V37" s="26" t="s">
        <v>1936</v>
      </c>
      <c r="W37" s="6">
        <v>2</v>
      </c>
    </row>
    <row r="38" spans="1:23">
      <c r="A38" t="s">
        <v>1971</v>
      </c>
      <c r="B38" s="8">
        <v>45635</v>
      </c>
      <c r="C38" t="s">
        <v>307</v>
      </c>
      <c r="D38" t="s">
        <v>1549</v>
      </c>
      <c r="E38" t="s">
        <v>1886</v>
      </c>
      <c r="F38">
        <v>3</v>
      </c>
      <c r="G38" s="10">
        <v>559.52</v>
      </c>
      <c r="H38" s="13">
        <v>0.16</v>
      </c>
      <c r="I38" t="s">
        <v>1933</v>
      </c>
      <c r="J38" s="16">
        <v>1409.9903999999999</v>
      </c>
      <c r="K38" s="19">
        <f t="shared" si="0"/>
        <v>2132220.8256000006</v>
      </c>
      <c r="L38" s="22">
        <f t="shared" si="1"/>
        <v>1085.6521515274951</v>
      </c>
      <c r="M38" s="22">
        <f t="shared" si="2"/>
        <v>684</v>
      </c>
      <c r="N38" s="22" t="str">
        <f t="shared" si="3"/>
        <v>High Value</v>
      </c>
      <c r="O38" s="22" t="str">
        <f t="shared" si="4"/>
        <v>Dec-2024</v>
      </c>
      <c r="P38" s="22" t="s">
        <v>1550</v>
      </c>
      <c r="Q38" s="22" t="s">
        <v>1536</v>
      </c>
      <c r="R38" s="22" t="s">
        <v>3946</v>
      </c>
      <c r="S38" s="22"/>
      <c r="T38" s="22"/>
      <c r="V38" s="26" t="s">
        <v>1933</v>
      </c>
      <c r="W38" s="6">
        <v>6</v>
      </c>
    </row>
    <row r="39" spans="1:23">
      <c r="A39" t="s">
        <v>1972</v>
      </c>
      <c r="B39" s="8">
        <v>45329</v>
      </c>
      <c r="C39" t="s">
        <v>1500</v>
      </c>
      <c r="D39" t="s">
        <v>1572</v>
      </c>
      <c r="E39" t="s">
        <v>1914</v>
      </c>
      <c r="F39">
        <v>3</v>
      </c>
      <c r="G39" s="10">
        <v>121.76</v>
      </c>
      <c r="H39" s="13">
        <v>0.27</v>
      </c>
      <c r="I39" t="s">
        <v>1933</v>
      </c>
      <c r="J39" s="16">
        <v>266.65440000000001</v>
      </c>
      <c r="K39" s="19">
        <f t="shared" si="0"/>
        <v>2130810.8352000006</v>
      </c>
      <c r="L39" s="22">
        <f t="shared" si="1"/>
        <v>1085.48692572593</v>
      </c>
      <c r="M39" s="22">
        <f t="shared" si="2"/>
        <v>683</v>
      </c>
      <c r="N39" s="22" t="str">
        <f t="shared" si="3"/>
        <v>Low Value</v>
      </c>
      <c r="O39" s="22" t="str">
        <f t="shared" si="4"/>
        <v>Feb-2024</v>
      </c>
      <c r="P39" s="22" t="s">
        <v>1573</v>
      </c>
      <c r="Q39" s="22" t="s">
        <v>1560</v>
      </c>
      <c r="R39" s="22" t="s">
        <v>1501</v>
      </c>
      <c r="S39" s="22"/>
      <c r="T39" s="22"/>
      <c r="V39" s="25" t="s">
        <v>3953</v>
      </c>
      <c r="W39" s="6">
        <v>7</v>
      </c>
    </row>
    <row r="40" spans="1:23">
      <c r="A40" t="s">
        <v>1973</v>
      </c>
      <c r="B40" s="8">
        <v>45378</v>
      </c>
      <c r="C40" t="s">
        <v>620</v>
      </c>
      <c r="D40" t="s">
        <v>1649</v>
      </c>
      <c r="E40" t="s">
        <v>1904</v>
      </c>
      <c r="F40">
        <v>4</v>
      </c>
      <c r="G40" s="10">
        <v>735.32</v>
      </c>
      <c r="H40" s="13">
        <v>0.06</v>
      </c>
      <c r="I40" t="s">
        <v>1936</v>
      </c>
      <c r="J40" s="16">
        <v>2764.8031999999998</v>
      </c>
      <c r="K40" s="19">
        <f t="shared" si="0"/>
        <v>2130544.1808000007</v>
      </c>
      <c r="L40" s="22">
        <f t="shared" si="1"/>
        <v>1085.9042715596333</v>
      </c>
      <c r="M40" s="22">
        <f t="shared" si="2"/>
        <v>682</v>
      </c>
      <c r="N40" s="22" t="str">
        <f t="shared" si="3"/>
        <v>High Value</v>
      </c>
      <c r="O40" s="22" t="str">
        <f t="shared" si="4"/>
        <v>Mar-2024</v>
      </c>
      <c r="P40" s="22" t="s">
        <v>1650</v>
      </c>
      <c r="Q40" s="22" t="s">
        <v>1560</v>
      </c>
      <c r="R40" s="22" t="s">
        <v>621</v>
      </c>
      <c r="S40" s="22"/>
      <c r="T40" s="22"/>
      <c r="V40" s="26" t="s">
        <v>1936</v>
      </c>
      <c r="W40" s="6">
        <v>5</v>
      </c>
    </row>
    <row r="41" spans="1:23">
      <c r="A41" t="s">
        <v>1974</v>
      </c>
      <c r="B41" s="8">
        <v>45264</v>
      </c>
      <c r="C41" t="s">
        <v>1328</v>
      </c>
      <c r="D41" t="s">
        <v>1837</v>
      </c>
      <c r="E41" t="s">
        <v>1873</v>
      </c>
      <c r="F41">
        <v>2</v>
      </c>
      <c r="G41" s="10">
        <v>600.73</v>
      </c>
      <c r="H41" s="13">
        <v>0.08</v>
      </c>
      <c r="I41" t="s">
        <v>1931</v>
      </c>
      <c r="J41" s="16">
        <v>1105.3432</v>
      </c>
      <c r="K41" s="19">
        <f t="shared" si="0"/>
        <v>2127779.3776000007</v>
      </c>
      <c r="L41" s="22">
        <f t="shared" si="1"/>
        <v>1085.0481272819993</v>
      </c>
      <c r="M41" s="22">
        <f t="shared" si="2"/>
        <v>682</v>
      </c>
      <c r="N41" s="22" t="str">
        <f t="shared" si="3"/>
        <v>High Value</v>
      </c>
      <c r="O41" s="22" t="str">
        <f t="shared" si="4"/>
        <v>Dec-2023</v>
      </c>
      <c r="P41" s="22" t="s">
        <v>1838</v>
      </c>
      <c r="Q41" s="22" t="s">
        <v>1555</v>
      </c>
      <c r="R41" s="22" t="s">
        <v>1329</v>
      </c>
      <c r="S41" s="22"/>
      <c r="T41" s="22"/>
      <c r="V41" s="26" t="s">
        <v>1933</v>
      </c>
      <c r="W41" s="6">
        <v>2</v>
      </c>
    </row>
    <row r="42" spans="1:23">
      <c r="A42" t="s">
        <v>1975</v>
      </c>
      <c r="B42" s="8">
        <v>45486</v>
      </c>
      <c r="C42" t="s">
        <v>261</v>
      </c>
      <c r="D42" t="s">
        <v>1627</v>
      </c>
      <c r="E42" t="s">
        <v>1920</v>
      </c>
      <c r="F42">
        <v>2</v>
      </c>
      <c r="G42" s="10">
        <v>873.86</v>
      </c>
      <c r="H42" s="13">
        <v>7.0000000000000007E-2</v>
      </c>
      <c r="I42" t="s">
        <v>1936</v>
      </c>
      <c r="J42" s="16">
        <v>1625.3796</v>
      </c>
      <c r="K42" s="19">
        <f t="shared" si="0"/>
        <v>2126674.0344000002</v>
      </c>
      <c r="L42" s="22">
        <f t="shared" si="1"/>
        <v>1085.0377726530614</v>
      </c>
      <c r="M42" s="22">
        <f t="shared" si="2"/>
        <v>682</v>
      </c>
      <c r="N42" s="22" t="str">
        <f t="shared" si="3"/>
        <v>High Value</v>
      </c>
      <c r="O42" s="22" t="str">
        <f t="shared" si="4"/>
        <v>Jul-2024</v>
      </c>
      <c r="P42" s="22" t="s">
        <v>1628</v>
      </c>
      <c r="Q42" s="22" t="s">
        <v>1531</v>
      </c>
      <c r="R42" s="22" t="s">
        <v>262</v>
      </c>
      <c r="S42" s="22"/>
      <c r="T42" s="22"/>
      <c r="V42" s="25" t="s">
        <v>1230</v>
      </c>
      <c r="W42" s="6">
        <v>9</v>
      </c>
    </row>
    <row r="43" spans="1:23">
      <c r="A43" t="s">
        <v>1976</v>
      </c>
      <c r="B43" s="8">
        <v>45241</v>
      </c>
      <c r="C43" t="s">
        <v>952</v>
      </c>
      <c r="D43" t="s">
        <v>1617</v>
      </c>
      <c r="E43" t="s">
        <v>1889</v>
      </c>
      <c r="F43">
        <v>3</v>
      </c>
      <c r="G43" s="10">
        <v>342.47</v>
      </c>
      <c r="H43" s="13">
        <v>0.08</v>
      </c>
      <c r="I43" t="s">
        <v>1933</v>
      </c>
      <c r="J43" s="16">
        <v>945.21720000000016</v>
      </c>
      <c r="K43" s="19">
        <f t="shared" si="0"/>
        <v>2125048.6548000006</v>
      </c>
      <c r="L43" s="22">
        <f t="shared" si="1"/>
        <v>1084.7619473200616</v>
      </c>
      <c r="M43" s="22">
        <f t="shared" si="2"/>
        <v>682</v>
      </c>
      <c r="N43" s="22" t="str">
        <f t="shared" si="3"/>
        <v>Low Value</v>
      </c>
      <c r="O43" s="22" t="str">
        <f t="shared" si="4"/>
        <v>Nov-2023</v>
      </c>
      <c r="P43" s="22" t="s">
        <v>1618</v>
      </c>
      <c r="Q43" s="22" t="s">
        <v>1536</v>
      </c>
      <c r="R43" s="22" t="s">
        <v>953</v>
      </c>
      <c r="S43" s="22"/>
      <c r="T43" s="22"/>
      <c r="V43" s="26" t="s">
        <v>1936</v>
      </c>
      <c r="W43" s="6">
        <v>4</v>
      </c>
    </row>
    <row r="44" spans="1:23">
      <c r="A44" t="s">
        <v>1977</v>
      </c>
      <c r="B44" s="8">
        <v>45649</v>
      </c>
      <c r="C44" t="s">
        <v>1049</v>
      </c>
      <c r="D44" t="s">
        <v>1636</v>
      </c>
      <c r="E44" t="s">
        <v>1893</v>
      </c>
      <c r="F44">
        <v>2</v>
      </c>
      <c r="G44" s="10">
        <v>915.15</v>
      </c>
      <c r="H44" s="13">
        <v>0.16</v>
      </c>
      <c r="I44" t="s">
        <v>1933</v>
      </c>
      <c r="J44" s="16">
        <v>1537.452</v>
      </c>
      <c r="K44" s="19">
        <f t="shared" si="0"/>
        <v>2124103.4376000003</v>
      </c>
      <c r="L44" s="22">
        <f t="shared" si="1"/>
        <v>1084.8332163432076</v>
      </c>
      <c r="M44" s="22">
        <f t="shared" si="2"/>
        <v>681</v>
      </c>
      <c r="N44" s="22" t="str">
        <f t="shared" si="3"/>
        <v>High Value</v>
      </c>
      <c r="O44" s="22" t="str">
        <f t="shared" si="4"/>
        <v>Dec-2024</v>
      </c>
      <c r="P44" s="22" t="s">
        <v>1637</v>
      </c>
      <c r="Q44" s="22" t="s">
        <v>1560</v>
      </c>
      <c r="R44" s="22" t="s">
        <v>1050</v>
      </c>
      <c r="S44" s="22"/>
      <c r="T44" s="22"/>
      <c r="V44" s="26" t="s">
        <v>1931</v>
      </c>
      <c r="W44" s="6">
        <v>1</v>
      </c>
    </row>
    <row r="45" spans="1:23">
      <c r="A45" t="s">
        <v>1978</v>
      </c>
      <c r="B45" s="8">
        <v>45677</v>
      </c>
      <c r="C45" t="s">
        <v>301</v>
      </c>
      <c r="D45" t="s">
        <v>1649</v>
      </c>
      <c r="E45" t="s">
        <v>1914</v>
      </c>
      <c r="F45" s="5">
        <v>3</v>
      </c>
      <c r="G45" s="10">
        <v>863.11</v>
      </c>
      <c r="H45" s="13">
        <v>0.28000000000000003</v>
      </c>
      <c r="I45" t="s">
        <v>1933</v>
      </c>
      <c r="J45" s="16">
        <v>1864.3176000000001</v>
      </c>
      <c r="K45" s="19">
        <f t="shared" si="0"/>
        <v>2122565.9856000002</v>
      </c>
      <c r="L45" s="22">
        <f t="shared" si="1"/>
        <v>1084.6019343893715</v>
      </c>
      <c r="M45" s="22">
        <f t="shared" si="2"/>
        <v>680</v>
      </c>
      <c r="N45" s="22" t="str">
        <f t="shared" si="3"/>
        <v>High Value</v>
      </c>
      <c r="O45" s="22" t="str">
        <f t="shared" si="4"/>
        <v>Jan-2025</v>
      </c>
      <c r="P45" s="22" t="s">
        <v>1650</v>
      </c>
      <c r="Q45" s="22" t="s">
        <v>1560</v>
      </c>
      <c r="R45" s="22" t="s">
        <v>302</v>
      </c>
      <c r="S45" s="22"/>
      <c r="T45" s="22"/>
      <c r="V45" s="26" t="s">
        <v>1933</v>
      </c>
      <c r="W45" s="6">
        <v>4</v>
      </c>
    </row>
    <row r="46" spans="1:23">
      <c r="A46" t="s">
        <v>1979</v>
      </c>
      <c r="B46" s="8">
        <v>45538</v>
      </c>
      <c r="C46" t="s">
        <v>661</v>
      </c>
      <c r="D46" t="s">
        <v>1681</v>
      </c>
      <c r="E46" t="s">
        <v>1901</v>
      </c>
      <c r="F46">
        <v>2</v>
      </c>
      <c r="G46" s="10">
        <v>209.32</v>
      </c>
      <c r="H46" s="13">
        <v>0.23</v>
      </c>
      <c r="I46" t="s">
        <v>1936</v>
      </c>
      <c r="J46" s="16">
        <v>322.3528</v>
      </c>
      <c r="K46" s="19">
        <f t="shared" si="0"/>
        <v>2120701.6680000001</v>
      </c>
      <c r="L46" s="22">
        <f t="shared" si="1"/>
        <v>1084.2033067484663</v>
      </c>
      <c r="M46" s="22">
        <f t="shared" si="2"/>
        <v>679</v>
      </c>
      <c r="N46" s="22" t="str">
        <f t="shared" si="3"/>
        <v>Low Value</v>
      </c>
      <c r="O46" s="22" t="str">
        <f t="shared" si="4"/>
        <v>Sep-2024</v>
      </c>
      <c r="P46" s="22" t="s">
        <v>1682</v>
      </c>
      <c r="Q46" s="22" t="s">
        <v>1531</v>
      </c>
      <c r="R46" s="22" t="s">
        <v>662</v>
      </c>
      <c r="S46" s="22"/>
      <c r="T46" s="22"/>
      <c r="V46" s="25" t="s">
        <v>732</v>
      </c>
      <c r="W46" s="6">
        <v>9</v>
      </c>
    </row>
    <row r="47" spans="1:23">
      <c r="A47" t="s">
        <v>1980</v>
      </c>
      <c r="B47" s="8">
        <v>45606</v>
      </c>
      <c r="C47" t="s">
        <v>1439</v>
      </c>
      <c r="D47" t="s">
        <v>1731</v>
      </c>
      <c r="E47" t="s">
        <v>1889</v>
      </c>
      <c r="F47">
        <v>4</v>
      </c>
      <c r="G47" s="10">
        <v>288.60000000000002</v>
      </c>
      <c r="H47" s="13">
        <v>0.09</v>
      </c>
      <c r="I47" t="s">
        <v>1933</v>
      </c>
      <c r="J47" s="16">
        <v>1050.5039999999999</v>
      </c>
      <c r="K47" s="19">
        <f t="shared" si="0"/>
        <v>2120379.3152000001</v>
      </c>
      <c r="L47" s="22">
        <f t="shared" si="1"/>
        <v>1084.5930001023019</v>
      </c>
      <c r="M47" s="22">
        <f t="shared" si="2"/>
        <v>679</v>
      </c>
      <c r="N47" s="22" t="str">
        <f t="shared" si="3"/>
        <v>High Value</v>
      </c>
      <c r="O47" s="22" t="str">
        <f t="shared" si="4"/>
        <v>Nov-2024</v>
      </c>
      <c r="P47" s="22" t="s">
        <v>1732</v>
      </c>
      <c r="Q47" s="22" t="s">
        <v>1555</v>
      </c>
      <c r="R47" s="22" t="s">
        <v>1440</v>
      </c>
      <c r="S47" s="22"/>
      <c r="T47" s="22"/>
      <c r="V47" s="26" t="s">
        <v>1936</v>
      </c>
      <c r="W47" s="6">
        <v>2</v>
      </c>
    </row>
    <row r="48" spans="1:23">
      <c r="A48" t="s">
        <v>1981</v>
      </c>
      <c r="B48" s="8">
        <v>45570</v>
      </c>
      <c r="C48" t="s">
        <v>255</v>
      </c>
      <c r="D48" t="s">
        <v>1789</v>
      </c>
      <c r="E48" t="s">
        <v>1911</v>
      </c>
      <c r="F48">
        <v>1</v>
      </c>
      <c r="G48" s="10">
        <v>418.69</v>
      </c>
      <c r="H48" s="13">
        <v>0.06</v>
      </c>
      <c r="I48" t="s">
        <v>1933</v>
      </c>
      <c r="J48" s="16">
        <v>393.5686</v>
      </c>
      <c r="K48" s="19">
        <f t="shared" si="0"/>
        <v>2119328.8112000003</v>
      </c>
      <c r="L48" s="22">
        <f t="shared" si="1"/>
        <v>1084.6104458546572</v>
      </c>
      <c r="M48" s="22">
        <f t="shared" si="2"/>
        <v>678</v>
      </c>
      <c r="N48" s="22" t="str">
        <f t="shared" si="3"/>
        <v>Low Value</v>
      </c>
      <c r="O48" s="22" t="str">
        <f t="shared" si="4"/>
        <v>Oct-2024</v>
      </c>
      <c r="P48" s="22" t="s">
        <v>1790</v>
      </c>
      <c r="Q48" s="22" t="s">
        <v>1560</v>
      </c>
      <c r="R48" s="22" t="s">
        <v>256</v>
      </c>
      <c r="S48" s="22"/>
      <c r="T48" s="22"/>
      <c r="V48" s="26" t="s">
        <v>1931</v>
      </c>
      <c r="W48" s="6">
        <v>3</v>
      </c>
    </row>
    <row r="49" spans="1:23">
      <c r="A49" t="s">
        <v>1982</v>
      </c>
      <c r="B49" s="8">
        <v>45466</v>
      </c>
      <c r="C49" t="s">
        <v>43</v>
      </c>
      <c r="D49" t="s">
        <v>1639</v>
      </c>
      <c r="E49" t="s">
        <v>1899</v>
      </c>
      <c r="F49">
        <v>1</v>
      </c>
      <c r="G49" s="10">
        <v>135.78</v>
      </c>
      <c r="H49" s="13">
        <v>0.14000000000000001</v>
      </c>
      <c r="I49" t="s">
        <v>1933</v>
      </c>
      <c r="J49" s="16">
        <v>116.77079999999999</v>
      </c>
      <c r="K49" s="19">
        <f t="shared" si="0"/>
        <v>2118935.2426000005</v>
      </c>
      <c r="L49" s="22">
        <f t="shared" si="1"/>
        <v>1084.9642819252435</v>
      </c>
      <c r="M49" s="22">
        <f t="shared" si="2"/>
        <v>677</v>
      </c>
      <c r="N49" s="22" t="str">
        <f t="shared" si="3"/>
        <v>Low Value</v>
      </c>
      <c r="O49" s="22" t="str">
        <f t="shared" si="4"/>
        <v>Jun-2024</v>
      </c>
      <c r="P49" s="22" t="s">
        <v>1640</v>
      </c>
      <c r="Q49" s="22" t="s">
        <v>1560</v>
      </c>
      <c r="R49" s="22" t="s">
        <v>44</v>
      </c>
      <c r="S49" s="22"/>
      <c r="T49" s="22"/>
      <c r="V49" s="26" t="s">
        <v>1933</v>
      </c>
      <c r="W49" s="6">
        <v>4</v>
      </c>
    </row>
    <row r="50" spans="1:23">
      <c r="A50" t="s">
        <v>1983</v>
      </c>
      <c r="B50" s="8">
        <v>45218</v>
      </c>
      <c r="C50" t="s">
        <v>661</v>
      </c>
      <c r="D50" t="s">
        <v>1684</v>
      </c>
      <c r="E50" t="s">
        <v>1914</v>
      </c>
      <c r="F50">
        <v>1</v>
      </c>
      <c r="G50" s="10">
        <v>517.13</v>
      </c>
      <c r="H50" s="13">
        <v>0.28000000000000003</v>
      </c>
      <c r="I50" t="s">
        <v>1931</v>
      </c>
      <c r="J50" s="16">
        <v>372.33359999999999</v>
      </c>
      <c r="K50" s="19">
        <f t="shared" si="0"/>
        <v>2118818.4718000004</v>
      </c>
      <c r="L50" s="22">
        <f t="shared" si="1"/>
        <v>1085.4602826844264</v>
      </c>
      <c r="M50" s="22">
        <f t="shared" si="2"/>
        <v>676</v>
      </c>
      <c r="N50" s="22" t="str">
        <f t="shared" si="3"/>
        <v>Low Value</v>
      </c>
      <c r="O50" s="22" t="str">
        <f t="shared" si="4"/>
        <v>Oct-2023</v>
      </c>
      <c r="P50" s="22" t="s">
        <v>1685</v>
      </c>
      <c r="Q50" s="22" t="s">
        <v>1569</v>
      </c>
      <c r="R50" s="22" t="s">
        <v>662</v>
      </c>
      <c r="S50" s="22"/>
      <c r="T50" s="22"/>
      <c r="V50" s="25" t="s">
        <v>219</v>
      </c>
      <c r="W50" s="6">
        <v>13</v>
      </c>
    </row>
    <row r="51" spans="1:23">
      <c r="A51" t="s">
        <v>1984</v>
      </c>
      <c r="B51" s="8">
        <v>45607</v>
      </c>
      <c r="C51" t="s">
        <v>1297</v>
      </c>
      <c r="D51" t="s">
        <v>1610</v>
      </c>
      <c r="E51" t="s">
        <v>1911</v>
      </c>
      <c r="F51">
        <v>2</v>
      </c>
      <c r="G51" s="10">
        <v>384.66</v>
      </c>
      <c r="H51" s="13">
        <v>0.08</v>
      </c>
      <c r="I51" t="s">
        <v>1936</v>
      </c>
      <c r="J51" s="16">
        <v>707.77440000000013</v>
      </c>
      <c r="K51" s="19">
        <f t="shared" si="0"/>
        <v>2118446.1382000004</v>
      </c>
      <c r="L51" s="22">
        <f t="shared" si="1"/>
        <v>1085.8258012301385</v>
      </c>
      <c r="M51" s="22">
        <f t="shared" si="2"/>
        <v>676</v>
      </c>
      <c r="N51" s="22" t="str">
        <f t="shared" si="3"/>
        <v>Low Value</v>
      </c>
      <c r="O51" s="22" t="str">
        <f t="shared" si="4"/>
        <v>Nov-2024</v>
      </c>
      <c r="P51" s="22" t="s">
        <v>1611</v>
      </c>
      <c r="Q51" s="22" t="s">
        <v>1560</v>
      </c>
      <c r="R51" s="22" t="s">
        <v>3958</v>
      </c>
      <c r="S51" s="22"/>
      <c r="T51" s="22"/>
      <c r="V51" s="26" t="s">
        <v>1936</v>
      </c>
      <c r="W51" s="6">
        <v>7</v>
      </c>
    </row>
    <row r="52" spans="1:23">
      <c r="A52" t="s">
        <v>1985</v>
      </c>
      <c r="B52" s="8">
        <v>45291</v>
      </c>
      <c r="C52" t="s">
        <v>255</v>
      </c>
      <c r="D52" t="s">
        <v>1710</v>
      </c>
      <c r="E52" t="s">
        <v>1893</v>
      </c>
      <c r="F52">
        <v>3</v>
      </c>
      <c r="G52" s="10">
        <v>83.7</v>
      </c>
      <c r="H52" s="13">
        <v>0.24</v>
      </c>
      <c r="I52" t="s">
        <v>1933</v>
      </c>
      <c r="J52" s="16">
        <v>190.83600000000001</v>
      </c>
      <c r="K52" s="19">
        <f t="shared" si="0"/>
        <v>2117738.3638000004</v>
      </c>
      <c r="L52" s="22">
        <f t="shared" si="1"/>
        <v>1086.0196737435899</v>
      </c>
      <c r="M52" s="22">
        <f t="shared" si="2"/>
        <v>676</v>
      </c>
      <c r="N52" s="22" t="str">
        <f t="shared" si="3"/>
        <v>Low Value</v>
      </c>
      <c r="O52" s="22" t="str">
        <f t="shared" si="4"/>
        <v>Dec-2023</v>
      </c>
      <c r="P52" s="22" t="s">
        <v>1711</v>
      </c>
      <c r="Q52" s="22" t="s">
        <v>1569</v>
      </c>
      <c r="R52" s="22" t="s">
        <v>256</v>
      </c>
      <c r="S52" s="22"/>
      <c r="T52" s="22"/>
      <c r="V52" s="26" t="s">
        <v>1931</v>
      </c>
      <c r="W52" s="6">
        <v>4</v>
      </c>
    </row>
    <row r="53" spans="1:23">
      <c r="A53" t="s">
        <v>1986</v>
      </c>
      <c r="B53" s="8">
        <v>45689</v>
      </c>
      <c r="C53" t="s">
        <v>479</v>
      </c>
      <c r="D53" t="s">
        <v>1762</v>
      </c>
      <c r="E53" t="s">
        <v>1886</v>
      </c>
      <c r="F53">
        <v>3</v>
      </c>
      <c r="G53" s="10">
        <v>76.569999999999993</v>
      </c>
      <c r="H53" s="13">
        <v>0.26</v>
      </c>
      <c r="I53" t="s">
        <v>1931</v>
      </c>
      <c r="J53" s="16">
        <v>169.9854</v>
      </c>
      <c r="K53" s="19">
        <f t="shared" si="0"/>
        <v>2117547.5278000007</v>
      </c>
      <c r="L53" s="22">
        <f t="shared" si="1"/>
        <v>1086.4789778347874</v>
      </c>
      <c r="M53" s="22">
        <f t="shared" si="2"/>
        <v>675</v>
      </c>
      <c r="N53" s="22" t="str">
        <f t="shared" si="3"/>
        <v>Low Value</v>
      </c>
      <c r="O53" s="22" t="str">
        <f t="shared" si="4"/>
        <v>Feb-2025</v>
      </c>
      <c r="P53" s="22" t="s">
        <v>1763</v>
      </c>
      <c r="Q53" s="22" t="s">
        <v>1536</v>
      </c>
      <c r="R53" s="22" t="s">
        <v>480</v>
      </c>
      <c r="S53" s="22"/>
      <c r="T53" s="22"/>
      <c r="V53" s="26" t="s">
        <v>1933</v>
      </c>
      <c r="W53" s="6">
        <v>2</v>
      </c>
    </row>
    <row r="54" spans="1:23">
      <c r="A54" t="s">
        <v>1987</v>
      </c>
      <c r="B54" s="8">
        <v>45894</v>
      </c>
      <c r="C54" t="s">
        <v>497</v>
      </c>
      <c r="D54" t="s">
        <v>1822</v>
      </c>
      <c r="E54" t="s">
        <v>1883</v>
      </c>
      <c r="F54">
        <v>3</v>
      </c>
      <c r="G54" s="11">
        <v>162.02109999999999</v>
      </c>
      <c r="H54" s="14">
        <v>0</v>
      </c>
      <c r="I54" t="s">
        <v>1931</v>
      </c>
      <c r="J54" s="16">
        <v>486.06330000000003</v>
      </c>
      <c r="K54" s="19">
        <f t="shared" si="0"/>
        <v>2117377.5424000002</v>
      </c>
      <c r="L54" s="22">
        <f t="shared" si="1"/>
        <v>1086.9494570841889</v>
      </c>
      <c r="M54" s="22">
        <f t="shared" si="2"/>
        <v>675</v>
      </c>
      <c r="N54" s="22" t="str">
        <f t="shared" si="3"/>
        <v>Low Value</v>
      </c>
      <c r="O54" s="22" t="str">
        <f t="shared" si="4"/>
        <v>Aug-2025</v>
      </c>
      <c r="P54" s="22" t="s">
        <v>1823</v>
      </c>
      <c r="Q54" s="22" t="s">
        <v>1555</v>
      </c>
      <c r="R54" s="22" t="s">
        <v>498</v>
      </c>
      <c r="S54" s="22"/>
      <c r="T54" s="22"/>
      <c r="V54" s="25" t="s">
        <v>1504</v>
      </c>
      <c r="W54" s="6">
        <v>10</v>
      </c>
    </row>
    <row r="55" spans="1:23">
      <c r="A55" t="s">
        <v>1988</v>
      </c>
      <c r="B55" s="8">
        <v>45677</v>
      </c>
      <c r="C55" t="s">
        <v>1017</v>
      </c>
      <c r="D55" t="s">
        <v>1607</v>
      </c>
      <c r="E55" t="s">
        <v>1889</v>
      </c>
      <c r="F55">
        <v>1</v>
      </c>
      <c r="G55" s="10">
        <v>900.35</v>
      </c>
      <c r="H55" s="13">
        <v>0.13</v>
      </c>
      <c r="I55" t="s">
        <v>1936</v>
      </c>
      <c r="J55" s="16">
        <v>783.30449999999996</v>
      </c>
      <c r="K55" s="19">
        <f t="shared" si="0"/>
        <v>2116891.4791000001</v>
      </c>
      <c r="L55" s="22">
        <f t="shared" si="1"/>
        <v>1087.2580786337955</v>
      </c>
      <c r="M55" s="22">
        <f t="shared" si="2"/>
        <v>675</v>
      </c>
      <c r="N55" s="22" t="str">
        <f t="shared" si="3"/>
        <v>Low Value</v>
      </c>
      <c r="O55" s="22" t="str">
        <f t="shared" si="4"/>
        <v>Jan-2025</v>
      </c>
      <c r="P55" s="22" t="s">
        <v>1608</v>
      </c>
      <c r="Q55" s="22" t="s">
        <v>1569</v>
      </c>
      <c r="R55" s="22" t="s">
        <v>3953</v>
      </c>
      <c r="S55" s="22"/>
      <c r="T55" s="22"/>
      <c r="V55" s="26" t="s">
        <v>1936</v>
      </c>
      <c r="W55" s="6">
        <v>3</v>
      </c>
    </row>
    <row r="56" spans="1:23">
      <c r="A56" t="s">
        <v>1989</v>
      </c>
      <c r="B56" s="8">
        <v>45706</v>
      </c>
      <c r="C56" t="s">
        <v>336</v>
      </c>
      <c r="D56" t="s">
        <v>1672</v>
      </c>
      <c r="E56" t="s">
        <v>1896</v>
      </c>
      <c r="F56">
        <v>4</v>
      </c>
      <c r="G56" s="10">
        <v>428.09</v>
      </c>
      <c r="H56" s="13">
        <v>7.0000000000000007E-2</v>
      </c>
      <c r="I56" t="s">
        <v>1931</v>
      </c>
      <c r="J56" s="16">
        <v>1592.4947999999999</v>
      </c>
      <c r="K56" s="19">
        <f t="shared" si="0"/>
        <v>2116108.1746000005</v>
      </c>
      <c r="L56" s="22">
        <f t="shared" si="1"/>
        <v>1087.4142726618707</v>
      </c>
      <c r="M56" s="22">
        <f t="shared" si="2"/>
        <v>675</v>
      </c>
      <c r="N56" s="22" t="str">
        <f t="shared" si="3"/>
        <v>High Value</v>
      </c>
      <c r="O56" s="22" t="str">
        <f t="shared" si="4"/>
        <v>Feb-2025</v>
      </c>
      <c r="P56" s="22" t="s">
        <v>1673</v>
      </c>
      <c r="Q56" s="22" t="s">
        <v>1531</v>
      </c>
      <c r="R56" s="22" t="s">
        <v>337</v>
      </c>
      <c r="S56" s="22"/>
      <c r="T56" s="22"/>
      <c r="V56" s="26" t="s">
        <v>1931</v>
      </c>
      <c r="W56" s="6">
        <v>7</v>
      </c>
    </row>
    <row r="57" spans="1:23">
      <c r="A57" t="s">
        <v>1990</v>
      </c>
      <c r="B57" s="8">
        <v>45589</v>
      </c>
      <c r="C57" t="s">
        <v>1285</v>
      </c>
      <c r="D57" t="s">
        <v>1700</v>
      </c>
      <c r="E57" t="s">
        <v>1899</v>
      </c>
      <c r="F57">
        <v>2</v>
      </c>
      <c r="G57" s="10">
        <v>559.71</v>
      </c>
      <c r="H57" s="13">
        <v>0.3</v>
      </c>
      <c r="I57" t="s">
        <v>1936</v>
      </c>
      <c r="J57" s="16">
        <v>783.59400000000005</v>
      </c>
      <c r="K57" s="19">
        <f t="shared" si="0"/>
        <v>2114515.6798</v>
      </c>
      <c r="L57" s="22">
        <f t="shared" si="1"/>
        <v>1087.1545911568123</v>
      </c>
      <c r="M57" s="22">
        <f t="shared" si="2"/>
        <v>675</v>
      </c>
      <c r="N57" s="22" t="str">
        <f t="shared" si="3"/>
        <v>Low Value</v>
      </c>
      <c r="O57" s="22" t="str">
        <f t="shared" si="4"/>
        <v>Oct-2024</v>
      </c>
      <c r="P57" s="22" t="s">
        <v>1701</v>
      </c>
      <c r="Q57" s="22" t="s">
        <v>1555</v>
      </c>
      <c r="R57" s="22" t="s">
        <v>1286</v>
      </c>
      <c r="S57" s="22"/>
      <c r="T57" s="22"/>
      <c r="V57" s="25" t="s">
        <v>111</v>
      </c>
      <c r="W57" s="6">
        <v>13</v>
      </c>
    </row>
    <row r="58" spans="1:23">
      <c r="A58" t="s">
        <v>1991</v>
      </c>
      <c r="B58" s="8">
        <v>45282</v>
      </c>
      <c r="C58" t="s">
        <v>289</v>
      </c>
      <c r="D58" t="s">
        <v>1652</v>
      </c>
      <c r="E58" t="s">
        <v>1883</v>
      </c>
      <c r="F58">
        <v>2</v>
      </c>
      <c r="G58" s="10">
        <v>833.7</v>
      </c>
      <c r="H58" s="13">
        <v>0.06</v>
      </c>
      <c r="I58" t="s">
        <v>1933</v>
      </c>
      <c r="J58" s="16">
        <v>1567.356</v>
      </c>
      <c r="K58" s="19">
        <f t="shared" si="0"/>
        <v>2113732.0858</v>
      </c>
      <c r="L58" s="22">
        <f t="shared" si="1"/>
        <v>1087.3107437242797</v>
      </c>
      <c r="M58" s="22">
        <f t="shared" si="2"/>
        <v>675</v>
      </c>
      <c r="N58" s="22" t="str">
        <f t="shared" si="3"/>
        <v>High Value</v>
      </c>
      <c r="O58" s="22" t="str">
        <f t="shared" si="4"/>
        <v>Dec-2023</v>
      </c>
      <c r="P58" s="22" t="s">
        <v>1653</v>
      </c>
      <c r="Q58" s="22" t="s">
        <v>1531</v>
      </c>
      <c r="R58" s="22" t="s">
        <v>290</v>
      </c>
      <c r="S58" s="22"/>
      <c r="T58" s="22"/>
      <c r="V58" s="26" t="s">
        <v>1936</v>
      </c>
      <c r="W58" s="6">
        <v>4</v>
      </c>
    </row>
    <row r="59" spans="1:23">
      <c r="A59" t="s">
        <v>1992</v>
      </c>
      <c r="B59" s="8">
        <v>45462</v>
      </c>
      <c r="C59" t="s">
        <v>1430</v>
      </c>
      <c r="D59" t="s">
        <v>1693</v>
      </c>
      <c r="E59" t="s">
        <v>1906</v>
      </c>
      <c r="F59">
        <v>2</v>
      </c>
      <c r="G59" s="10">
        <v>680.16</v>
      </c>
      <c r="H59" s="13">
        <v>0.28000000000000003</v>
      </c>
      <c r="I59" t="s">
        <v>1931</v>
      </c>
      <c r="J59" s="16">
        <v>979.43039999999996</v>
      </c>
      <c r="K59" s="19">
        <f t="shared" si="0"/>
        <v>2112164.7297999999</v>
      </c>
      <c r="L59" s="22">
        <f t="shared" si="1"/>
        <v>1087.063679773546</v>
      </c>
      <c r="M59" s="22">
        <f t="shared" si="2"/>
        <v>674</v>
      </c>
      <c r="N59" s="22" t="str">
        <f t="shared" si="3"/>
        <v>Low Value</v>
      </c>
      <c r="O59" s="22" t="str">
        <f t="shared" si="4"/>
        <v>Jun-2024</v>
      </c>
      <c r="P59" s="22" t="s">
        <v>1694</v>
      </c>
      <c r="Q59" s="22" t="s">
        <v>1555</v>
      </c>
      <c r="R59" s="22" t="s">
        <v>1431</v>
      </c>
      <c r="S59" s="22"/>
      <c r="T59" s="22"/>
      <c r="V59" s="26" t="s">
        <v>1933</v>
      </c>
      <c r="W59" s="6">
        <v>9</v>
      </c>
    </row>
    <row r="60" spans="1:23">
      <c r="A60" t="s">
        <v>1993</v>
      </c>
      <c r="B60" s="8">
        <v>45633</v>
      </c>
      <c r="C60" t="s">
        <v>1250</v>
      </c>
      <c r="D60" t="s">
        <v>1590</v>
      </c>
      <c r="E60" t="s">
        <v>1886</v>
      </c>
      <c r="F60">
        <v>4</v>
      </c>
      <c r="G60" s="10">
        <v>733.42</v>
      </c>
      <c r="H60" s="14">
        <v>0.13</v>
      </c>
      <c r="I60" t="s">
        <v>1933</v>
      </c>
      <c r="J60" s="16">
        <v>2552.3015999999998</v>
      </c>
      <c r="K60" s="19">
        <f t="shared" si="0"/>
        <v>2111185.2993999999</v>
      </c>
      <c r="L60" s="22">
        <f t="shared" si="1"/>
        <v>1087.119103707518</v>
      </c>
      <c r="M60" s="22">
        <f t="shared" si="2"/>
        <v>674</v>
      </c>
      <c r="N60" s="22" t="str">
        <f t="shared" si="3"/>
        <v>High Value</v>
      </c>
      <c r="O60" s="22" t="str">
        <f t="shared" si="4"/>
        <v>Dec-2024</v>
      </c>
      <c r="P60" s="22" t="s">
        <v>1591</v>
      </c>
      <c r="Q60" s="22" t="s">
        <v>1531</v>
      </c>
      <c r="R60" s="22" t="s">
        <v>1251</v>
      </c>
      <c r="S60" s="22"/>
      <c r="T60" s="22"/>
      <c r="V60" s="25" t="s">
        <v>36</v>
      </c>
      <c r="W60" s="6">
        <v>12</v>
      </c>
    </row>
    <row r="61" spans="1:23">
      <c r="A61" t="s">
        <v>1994</v>
      </c>
      <c r="B61" s="8">
        <v>45257</v>
      </c>
      <c r="C61" t="s">
        <v>1142</v>
      </c>
      <c r="D61" t="s">
        <v>1822</v>
      </c>
      <c r="E61" t="s">
        <v>1899</v>
      </c>
      <c r="F61">
        <v>1</v>
      </c>
      <c r="G61" s="10">
        <v>996.33</v>
      </c>
      <c r="H61" s="13">
        <v>0.23</v>
      </c>
      <c r="I61" t="s">
        <v>1933</v>
      </c>
      <c r="J61" s="16">
        <v>767.17410000000007</v>
      </c>
      <c r="K61" s="19">
        <f t="shared" si="0"/>
        <v>2108632.9978</v>
      </c>
      <c r="L61" s="22">
        <f t="shared" si="1"/>
        <v>1086.3642441009788</v>
      </c>
      <c r="M61" s="22">
        <f t="shared" si="2"/>
        <v>673</v>
      </c>
      <c r="N61" s="22" t="str">
        <f t="shared" si="3"/>
        <v>Low Value</v>
      </c>
      <c r="O61" s="22" t="str">
        <f t="shared" si="4"/>
        <v>Nov-2023</v>
      </c>
      <c r="P61" s="22" t="s">
        <v>1823</v>
      </c>
      <c r="Q61" s="22" t="s">
        <v>1555</v>
      </c>
      <c r="R61" s="22" t="s">
        <v>1143</v>
      </c>
      <c r="S61" s="22"/>
      <c r="T61" s="22"/>
      <c r="V61" s="26" t="s">
        <v>1936</v>
      </c>
      <c r="W61" s="6">
        <v>3</v>
      </c>
    </row>
    <row r="62" spans="1:23">
      <c r="A62" t="s">
        <v>1995</v>
      </c>
      <c r="B62" s="8">
        <v>45854</v>
      </c>
      <c r="C62" t="s">
        <v>1262</v>
      </c>
      <c r="D62" t="s">
        <v>1642</v>
      </c>
      <c r="E62" t="s">
        <v>1896</v>
      </c>
      <c r="F62">
        <v>1</v>
      </c>
      <c r="G62" s="10">
        <v>198.83</v>
      </c>
      <c r="H62" s="13">
        <v>0.09</v>
      </c>
      <c r="I62" t="s">
        <v>1936</v>
      </c>
      <c r="J62" s="16">
        <v>180.93530000000001</v>
      </c>
      <c r="K62" s="19">
        <f t="shared" si="0"/>
        <v>2107865.8237000001</v>
      </c>
      <c r="L62" s="22">
        <f t="shared" si="1"/>
        <v>1086.5287751030928</v>
      </c>
      <c r="M62" s="22">
        <f t="shared" si="2"/>
        <v>672</v>
      </c>
      <c r="N62" s="22" t="str">
        <f t="shared" si="3"/>
        <v>Low Value</v>
      </c>
      <c r="O62" s="22" t="str">
        <f t="shared" si="4"/>
        <v>Jul-2025</v>
      </c>
      <c r="P62" s="22" t="s">
        <v>1643</v>
      </c>
      <c r="Q62" s="22" t="s">
        <v>1569</v>
      </c>
      <c r="R62" s="22" t="s">
        <v>1263</v>
      </c>
      <c r="S62" s="22"/>
      <c r="T62" s="22"/>
      <c r="V62" s="26" t="s">
        <v>1931</v>
      </c>
      <c r="W62" s="6">
        <v>2</v>
      </c>
    </row>
    <row r="63" spans="1:23">
      <c r="A63" t="s">
        <v>1996</v>
      </c>
      <c r="B63" s="8">
        <v>45716</v>
      </c>
      <c r="C63" t="s">
        <v>768</v>
      </c>
      <c r="D63" t="s">
        <v>1603</v>
      </c>
      <c r="E63" t="s">
        <v>1886</v>
      </c>
      <c r="F63">
        <v>1</v>
      </c>
      <c r="G63" s="10">
        <v>374.92</v>
      </c>
      <c r="H63" s="13">
        <v>0.18</v>
      </c>
      <c r="I63" t="s">
        <v>1933</v>
      </c>
      <c r="J63" s="16">
        <v>307.43439999999998</v>
      </c>
      <c r="K63" s="19">
        <f t="shared" si="0"/>
        <v>2107684.8884000001</v>
      </c>
      <c r="L63" s="22">
        <f t="shared" si="1"/>
        <v>1086.9958166064982</v>
      </c>
      <c r="M63" s="22">
        <f t="shared" si="2"/>
        <v>672</v>
      </c>
      <c r="N63" s="22" t="str">
        <f t="shared" si="3"/>
        <v>Low Value</v>
      </c>
      <c r="O63" s="22" t="str">
        <f t="shared" si="4"/>
        <v>Feb-2025</v>
      </c>
      <c r="P63" s="22" t="s">
        <v>1604</v>
      </c>
      <c r="Q63" s="22" t="s">
        <v>1569</v>
      </c>
      <c r="R63" s="22" t="s">
        <v>769</v>
      </c>
      <c r="S63" s="22"/>
      <c r="T63" s="22"/>
      <c r="V63" s="26" t="s">
        <v>1933</v>
      </c>
      <c r="W63" s="6">
        <v>7</v>
      </c>
    </row>
    <row r="64" spans="1:23">
      <c r="A64" t="s">
        <v>1997</v>
      </c>
      <c r="B64" s="8">
        <v>45515</v>
      </c>
      <c r="C64" t="s">
        <v>1943</v>
      </c>
      <c r="D64" t="s">
        <v>1834</v>
      </c>
      <c r="E64" t="s">
        <v>1911</v>
      </c>
      <c r="F64">
        <v>1</v>
      </c>
      <c r="G64" s="10">
        <v>468.94</v>
      </c>
      <c r="H64" s="13">
        <v>0.12</v>
      </c>
      <c r="I64" t="s">
        <v>1931</v>
      </c>
      <c r="J64" s="16">
        <v>412.66719999999998</v>
      </c>
      <c r="K64" s="19">
        <f t="shared" si="0"/>
        <v>2107377.4540000004</v>
      </c>
      <c r="L64" s="22">
        <f t="shared" si="1"/>
        <v>1087.3980670794635</v>
      </c>
      <c r="M64" s="22">
        <f t="shared" si="2"/>
        <v>671</v>
      </c>
      <c r="N64" s="22" t="str">
        <f t="shared" si="3"/>
        <v>Low Value</v>
      </c>
      <c r="O64" s="22" t="str">
        <f t="shared" si="4"/>
        <v>Aug-2024</v>
      </c>
      <c r="P64" s="22" t="s">
        <v>1835</v>
      </c>
      <c r="Q64" s="22" t="s">
        <v>1531</v>
      </c>
      <c r="R64" s="22" t="s">
        <v>1422</v>
      </c>
      <c r="S64" s="22"/>
      <c r="T64" s="22"/>
      <c r="V64" s="25" t="s">
        <v>245</v>
      </c>
      <c r="W64" s="6">
        <v>23</v>
      </c>
    </row>
    <row r="65" spans="1:23">
      <c r="A65" t="s">
        <v>1998</v>
      </c>
      <c r="B65" s="8">
        <v>45927</v>
      </c>
      <c r="C65" t="s">
        <v>431</v>
      </c>
      <c r="D65" t="s">
        <v>1822</v>
      </c>
      <c r="E65" t="s">
        <v>1901</v>
      </c>
      <c r="F65">
        <v>2</v>
      </c>
      <c r="G65" s="10">
        <v>121.37</v>
      </c>
      <c r="H65" s="13">
        <v>0.05</v>
      </c>
      <c r="I65" t="s">
        <v>1931</v>
      </c>
      <c r="J65" s="16">
        <v>230.60300000000001</v>
      </c>
      <c r="K65" s="19">
        <f t="shared" si="0"/>
        <v>2106964.7868000004</v>
      </c>
      <c r="L65" s="22">
        <f t="shared" si="1"/>
        <v>1087.7464051626228</v>
      </c>
      <c r="M65" s="22">
        <f t="shared" si="2"/>
        <v>671</v>
      </c>
      <c r="N65" s="22" t="str">
        <f t="shared" si="3"/>
        <v>Low Value</v>
      </c>
      <c r="O65" s="22" t="str">
        <f t="shared" si="4"/>
        <v>Sep-2025</v>
      </c>
      <c r="P65" s="22" t="s">
        <v>1823</v>
      </c>
      <c r="Q65" s="22" t="s">
        <v>1555</v>
      </c>
      <c r="R65" s="22" t="s">
        <v>432</v>
      </c>
      <c r="S65" s="22"/>
      <c r="T65" s="22"/>
      <c r="V65" s="26" t="s">
        <v>1936</v>
      </c>
      <c r="W65" s="6">
        <v>12</v>
      </c>
    </row>
    <row r="66" spans="1:23">
      <c r="A66" t="s">
        <v>1999</v>
      </c>
      <c r="B66" s="8">
        <v>45914</v>
      </c>
      <c r="C66" t="s">
        <v>815</v>
      </c>
      <c r="D66" t="s">
        <v>1713</v>
      </c>
      <c r="E66" t="s">
        <v>1896</v>
      </c>
      <c r="F66">
        <v>3</v>
      </c>
      <c r="G66" s="10">
        <v>480.06</v>
      </c>
      <c r="H66" s="13">
        <v>0.01</v>
      </c>
      <c r="I66" t="s">
        <v>1931</v>
      </c>
      <c r="J66" s="17">
        <v>1425.7782</v>
      </c>
      <c r="K66" s="19">
        <f t="shared" ref="K66:K129" si="5">SUM(J66:J2065)</f>
        <v>2106734.1838000002</v>
      </c>
      <c r="L66" s="22">
        <f t="shared" ref="L66:L129" si="6">AVERAGE(J66:J2065)</f>
        <v>1088.1891445247936</v>
      </c>
      <c r="M66" s="22">
        <f t="shared" ref="M66:M129" si="7">COUNTIF(I66:I2065,"PayPal")</f>
        <v>671</v>
      </c>
      <c r="N66" s="22" t="str">
        <f t="shared" ref="N66:N129" si="8">IF(J66&gt;=1000,"High Value","Low Value")</f>
        <v>High Value</v>
      </c>
      <c r="O66" s="22" t="str">
        <f t="shared" ref="O66:O129" si="9">TEXT(B66,"mmm-yyyy")</f>
        <v>Sep-2025</v>
      </c>
      <c r="P66" s="22" t="s">
        <v>1714</v>
      </c>
      <c r="Q66" s="22" t="s">
        <v>1536</v>
      </c>
      <c r="R66" s="22" t="s">
        <v>816</v>
      </c>
      <c r="S66" s="22"/>
      <c r="T66" s="22"/>
      <c r="V66" s="26" t="s">
        <v>1931</v>
      </c>
      <c r="W66" s="6">
        <v>2</v>
      </c>
    </row>
    <row r="67" spans="1:23">
      <c r="A67" t="s">
        <v>2000</v>
      </c>
      <c r="B67" s="8">
        <v>45290</v>
      </c>
      <c r="C67" t="s">
        <v>539</v>
      </c>
      <c r="D67" t="s">
        <v>1852</v>
      </c>
      <c r="E67" t="s">
        <v>1914</v>
      </c>
      <c r="F67">
        <v>2</v>
      </c>
      <c r="G67" s="10">
        <v>856.57</v>
      </c>
      <c r="H67" s="13">
        <v>0.24</v>
      </c>
      <c r="I67" t="s">
        <v>1931</v>
      </c>
      <c r="J67" s="17">
        <v>1301.9864</v>
      </c>
      <c r="K67" s="19">
        <f t="shared" si="5"/>
        <v>2105308.4056000002</v>
      </c>
      <c r="L67" s="22">
        <f t="shared" si="6"/>
        <v>1088.0146798966409</v>
      </c>
      <c r="M67" s="22">
        <f t="shared" si="7"/>
        <v>671</v>
      </c>
      <c r="N67" s="22" t="str">
        <f t="shared" si="8"/>
        <v>High Value</v>
      </c>
      <c r="O67" s="22" t="str">
        <f t="shared" si="9"/>
        <v>Dec-2023</v>
      </c>
      <c r="P67" s="22" t="s">
        <v>1853</v>
      </c>
      <c r="Q67" s="22" t="s">
        <v>1560</v>
      </c>
      <c r="R67" s="22" t="s">
        <v>540</v>
      </c>
      <c r="S67" s="22"/>
      <c r="T67" s="22"/>
      <c r="V67" s="26" t="s">
        <v>1933</v>
      </c>
      <c r="W67" s="6">
        <v>9</v>
      </c>
    </row>
    <row r="68" spans="1:23">
      <c r="A68" t="s">
        <v>2001</v>
      </c>
      <c r="B68" s="8">
        <v>45213</v>
      </c>
      <c r="C68" t="s">
        <v>857</v>
      </c>
      <c r="D68" t="s">
        <v>1786</v>
      </c>
      <c r="E68" t="s">
        <v>1868</v>
      </c>
      <c r="F68">
        <v>4</v>
      </c>
      <c r="G68" s="10">
        <v>814.25</v>
      </c>
      <c r="H68" s="13">
        <v>0.18</v>
      </c>
      <c r="I68" t="s">
        <v>1931</v>
      </c>
      <c r="J68" s="17">
        <v>2670.74</v>
      </c>
      <c r="K68" s="19">
        <f t="shared" si="5"/>
        <v>2104006.4192000004</v>
      </c>
      <c r="L68" s="22">
        <f t="shared" si="6"/>
        <v>1087.9040430196485</v>
      </c>
      <c r="M68" s="22">
        <f t="shared" si="7"/>
        <v>671</v>
      </c>
      <c r="N68" s="22" t="str">
        <f t="shared" si="8"/>
        <v>High Value</v>
      </c>
      <c r="O68" s="22" t="str">
        <f t="shared" si="9"/>
        <v>Oct-2023</v>
      </c>
      <c r="P68" s="22" t="s">
        <v>1787</v>
      </c>
      <c r="Q68" s="22" t="s">
        <v>1531</v>
      </c>
      <c r="R68" s="22" t="s">
        <v>858</v>
      </c>
      <c r="S68" s="22"/>
      <c r="T68" s="22"/>
      <c r="V68" s="25" t="s">
        <v>337</v>
      </c>
      <c r="W68" s="6">
        <v>15</v>
      </c>
    </row>
    <row r="69" spans="1:23">
      <c r="A69" t="s">
        <v>2002</v>
      </c>
      <c r="B69" s="8">
        <v>45255</v>
      </c>
      <c r="C69" t="s">
        <v>1476</v>
      </c>
      <c r="D69" t="s">
        <v>1579</v>
      </c>
      <c r="E69" t="s">
        <v>1868</v>
      </c>
      <c r="F69">
        <v>1</v>
      </c>
      <c r="G69" s="10">
        <v>989.17</v>
      </c>
      <c r="H69" s="13">
        <v>0.2</v>
      </c>
      <c r="I69" t="s">
        <v>1933</v>
      </c>
      <c r="J69" s="17">
        <v>791.33600000000001</v>
      </c>
      <c r="K69" s="19">
        <f t="shared" si="5"/>
        <v>2101335.6792000006</v>
      </c>
      <c r="L69" s="22">
        <f t="shared" si="6"/>
        <v>1087.0851935851013</v>
      </c>
      <c r="M69" s="22">
        <f t="shared" si="7"/>
        <v>671</v>
      </c>
      <c r="N69" s="22" t="str">
        <f t="shared" si="8"/>
        <v>Low Value</v>
      </c>
      <c r="O69" s="22" t="str">
        <f t="shared" si="9"/>
        <v>Nov-2023</v>
      </c>
      <c r="P69" s="22" t="s">
        <v>1580</v>
      </c>
      <c r="Q69" s="22" t="s">
        <v>1555</v>
      </c>
      <c r="R69" s="22" t="s">
        <v>1266</v>
      </c>
      <c r="S69" s="22"/>
      <c r="T69" s="22"/>
      <c r="V69" s="26" t="s">
        <v>1931</v>
      </c>
      <c r="W69" s="6">
        <v>6</v>
      </c>
    </row>
    <row r="70" spans="1:23">
      <c r="A70" t="s">
        <v>2003</v>
      </c>
      <c r="B70" s="8">
        <v>45270</v>
      </c>
      <c r="C70" t="s">
        <v>1157</v>
      </c>
      <c r="D70" t="s">
        <v>1771</v>
      </c>
      <c r="E70" t="s">
        <v>1896</v>
      </c>
      <c r="F70">
        <v>4</v>
      </c>
      <c r="G70" s="10">
        <v>62.48</v>
      </c>
      <c r="H70" s="13">
        <v>0.18</v>
      </c>
      <c r="I70" t="s">
        <v>1931</v>
      </c>
      <c r="J70" s="17">
        <v>204.93440000000001</v>
      </c>
      <c r="K70" s="19">
        <f t="shared" si="5"/>
        <v>2100544.3432000009</v>
      </c>
      <c r="L70" s="22">
        <f t="shared" si="6"/>
        <v>1087.2382728778473</v>
      </c>
      <c r="M70" s="22">
        <f t="shared" si="7"/>
        <v>670</v>
      </c>
      <c r="N70" s="22" t="str">
        <f t="shared" si="8"/>
        <v>Low Value</v>
      </c>
      <c r="O70" s="22" t="str">
        <f t="shared" si="9"/>
        <v>Dec-2023</v>
      </c>
      <c r="P70" s="22" t="s">
        <v>1772</v>
      </c>
      <c r="Q70" s="22" t="s">
        <v>1569</v>
      </c>
      <c r="R70" s="22" t="s">
        <v>1158</v>
      </c>
      <c r="S70" s="22"/>
      <c r="T70" s="22"/>
      <c r="V70" s="26" t="s">
        <v>1933</v>
      </c>
      <c r="W70" s="6">
        <v>9</v>
      </c>
    </row>
    <row r="71" spans="1:23">
      <c r="A71" t="s">
        <v>2004</v>
      </c>
      <c r="B71" s="8">
        <v>45897</v>
      </c>
      <c r="C71" t="s">
        <v>1304</v>
      </c>
      <c r="D71" t="s">
        <v>1583</v>
      </c>
      <c r="E71" t="s">
        <v>1911</v>
      </c>
      <c r="F71">
        <v>4</v>
      </c>
      <c r="G71" s="10">
        <v>561.24</v>
      </c>
      <c r="H71" s="13">
        <v>0.24</v>
      </c>
      <c r="I71" t="s">
        <v>1931</v>
      </c>
      <c r="J71" s="17">
        <v>1706.1695999999999</v>
      </c>
      <c r="K71" s="19">
        <f t="shared" si="5"/>
        <v>2100339.4088000008</v>
      </c>
      <c r="L71" s="22">
        <f t="shared" si="6"/>
        <v>1087.6951883997933</v>
      </c>
      <c r="M71" s="22">
        <f t="shared" si="7"/>
        <v>670</v>
      </c>
      <c r="N71" s="22" t="str">
        <f t="shared" si="8"/>
        <v>High Value</v>
      </c>
      <c r="O71" s="22" t="str">
        <f t="shared" si="9"/>
        <v>Aug-2025</v>
      </c>
      <c r="P71" s="22" t="s">
        <v>1584</v>
      </c>
      <c r="Q71" s="22" t="s">
        <v>1531</v>
      </c>
      <c r="R71" s="22" t="s">
        <v>1305</v>
      </c>
      <c r="S71" s="22"/>
      <c r="T71" s="22"/>
      <c r="V71" s="25" t="s">
        <v>380</v>
      </c>
      <c r="W71" s="6">
        <v>15</v>
      </c>
    </row>
    <row r="72" spans="1:23">
      <c r="A72" t="s">
        <v>2005</v>
      </c>
      <c r="B72" s="8">
        <v>45849</v>
      </c>
      <c r="C72" t="s">
        <v>215</v>
      </c>
      <c r="D72" t="s">
        <v>1734</v>
      </c>
      <c r="E72" t="s">
        <v>1880</v>
      </c>
      <c r="F72">
        <v>3</v>
      </c>
      <c r="G72" s="10">
        <v>92.24</v>
      </c>
      <c r="H72" s="13">
        <v>0.28000000000000003</v>
      </c>
      <c r="I72" t="s">
        <v>1936</v>
      </c>
      <c r="J72" s="17">
        <v>199.23839999999998</v>
      </c>
      <c r="K72" s="19">
        <f t="shared" si="5"/>
        <v>2098633.2392000007</v>
      </c>
      <c r="L72" s="22">
        <f t="shared" si="6"/>
        <v>1087.3747353367878</v>
      </c>
      <c r="M72" s="22">
        <f t="shared" si="7"/>
        <v>670</v>
      </c>
      <c r="N72" s="22" t="str">
        <f t="shared" si="8"/>
        <v>Low Value</v>
      </c>
      <c r="O72" s="22" t="str">
        <f t="shared" si="9"/>
        <v>Jul-2025</v>
      </c>
      <c r="P72" s="22" t="s">
        <v>1735</v>
      </c>
      <c r="Q72" s="22" t="s">
        <v>1555</v>
      </c>
      <c r="R72" s="22" t="s">
        <v>216</v>
      </c>
      <c r="S72" s="22"/>
      <c r="T72" s="22"/>
      <c r="V72" s="26" t="s">
        <v>1936</v>
      </c>
      <c r="W72" s="6">
        <v>6</v>
      </c>
    </row>
    <row r="73" spans="1:23">
      <c r="A73" t="s">
        <v>2006</v>
      </c>
      <c r="B73" s="8">
        <v>45889</v>
      </c>
      <c r="C73" t="s">
        <v>557</v>
      </c>
      <c r="D73" t="s">
        <v>1771</v>
      </c>
      <c r="E73" t="s">
        <v>1864</v>
      </c>
      <c r="F73">
        <v>2</v>
      </c>
      <c r="G73" s="10">
        <v>668.3</v>
      </c>
      <c r="H73" s="13">
        <v>7.0000000000000007E-2</v>
      </c>
      <c r="I73" t="s">
        <v>1931</v>
      </c>
      <c r="J73" s="17">
        <v>1243.038</v>
      </c>
      <c r="K73" s="19">
        <f t="shared" si="5"/>
        <v>2098434.0008000005</v>
      </c>
      <c r="L73" s="22">
        <f t="shared" si="6"/>
        <v>1087.8351481596685</v>
      </c>
      <c r="M73" s="22">
        <f t="shared" si="7"/>
        <v>670</v>
      </c>
      <c r="N73" s="22" t="str">
        <f t="shared" si="8"/>
        <v>High Value</v>
      </c>
      <c r="O73" s="22" t="str">
        <f t="shared" si="9"/>
        <v>Aug-2025</v>
      </c>
      <c r="P73" s="22" t="s">
        <v>1772</v>
      </c>
      <c r="Q73" s="22" t="s">
        <v>1569</v>
      </c>
      <c r="R73" s="22" t="s">
        <v>558</v>
      </c>
      <c r="S73" s="22"/>
      <c r="T73" s="22"/>
      <c r="V73" s="26" t="s">
        <v>1933</v>
      </c>
      <c r="W73" s="6">
        <v>9</v>
      </c>
    </row>
    <row r="74" spans="1:23">
      <c r="A74" t="s">
        <v>2007</v>
      </c>
      <c r="B74" s="8">
        <v>45533</v>
      </c>
      <c r="C74" t="s">
        <v>1265</v>
      </c>
      <c r="D74" t="s">
        <v>1665</v>
      </c>
      <c r="E74" t="s">
        <v>1880</v>
      </c>
      <c r="F74">
        <v>1</v>
      </c>
      <c r="G74" s="10">
        <v>553.82000000000005</v>
      </c>
      <c r="H74" s="13">
        <v>0.09</v>
      </c>
      <c r="I74" t="s">
        <v>1931</v>
      </c>
      <c r="J74" s="17">
        <v>503.97620000000012</v>
      </c>
      <c r="K74" s="19">
        <f t="shared" si="5"/>
        <v>2097190.9628000008</v>
      </c>
      <c r="L74" s="22">
        <f t="shared" si="6"/>
        <v>1087.7546487551872</v>
      </c>
      <c r="M74" s="22">
        <f t="shared" si="7"/>
        <v>670</v>
      </c>
      <c r="N74" s="22" t="str">
        <f t="shared" si="8"/>
        <v>Low Value</v>
      </c>
      <c r="O74" s="22" t="str">
        <f t="shared" si="9"/>
        <v>Aug-2024</v>
      </c>
      <c r="P74" s="22" t="s">
        <v>1666</v>
      </c>
      <c r="Q74" s="22" t="s">
        <v>1569</v>
      </c>
      <c r="R74" s="22" t="s">
        <v>1266</v>
      </c>
      <c r="S74" s="22"/>
      <c r="T74" s="22"/>
      <c r="V74" s="25" t="s">
        <v>566</v>
      </c>
      <c r="W74" s="6">
        <v>18</v>
      </c>
    </row>
    <row r="75" spans="1:23">
      <c r="A75" t="s">
        <v>2008</v>
      </c>
      <c r="B75" s="8">
        <v>45626</v>
      </c>
      <c r="C75" t="s">
        <v>146</v>
      </c>
      <c r="D75" t="s">
        <v>1687</v>
      </c>
      <c r="E75" t="s">
        <v>1899</v>
      </c>
      <c r="F75">
        <v>2</v>
      </c>
      <c r="G75" s="10">
        <v>556.42999999999995</v>
      </c>
      <c r="H75" s="13">
        <v>0.13</v>
      </c>
      <c r="I75" t="s">
        <v>1931</v>
      </c>
      <c r="J75" s="17">
        <v>968.18819999999994</v>
      </c>
      <c r="K75" s="19">
        <f t="shared" si="5"/>
        <v>2096686.9866000009</v>
      </c>
      <c r="L75" s="22">
        <f t="shared" si="6"/>
        <v>1088.0575955371048</v>
      </c>
      <c r="M75" s="22">
        <f t="shared" si="7"/>
        <v>670</v>
      </c>
      <c r="N75" s="22" t="str">
        <f t="shared" si="8"/>
        <v>Low Value</v>
      </c>
      <c r="O75" s="22" t="str">
        <f t="shared" si="9"/>
        <v>Nov-2024</v>
      </c>
      <c r="P75" s="22" t="s">
        <v>1688</v>
      </c>
      <c r="Q75" s="22" t="s">
        <v>1569</v>
      </c>
      <c r="R75" s="22" t="s">
        <v>147</v>
      </c>
      <c r="S75" s="22"/>
      <c r="T75" s="22"/>
      <c r="V75" s="26" t="s">
        <v>1936</v>
      </c>
      <c r="W75" s="6">
        <v>6</v>
      </c>
    </row>
    <row r="76" spans="1:23">
      <c r="A76" t="s">
        <v>2009</v>
      </c>
      <c r="B76" s="8">
        <v>45942</v>
      </c>
      <c r="C76" t="s">
        <v>868</v>
      </c>
      <c r="D76" t="s">
        <v>1607</v>
      </c>
      <c r="E76" t="s">
        <v>1889</v>
      </c>
      <c r="F76">
        <v>1</v>
      </c>
      <c r="G76" s="10">
        <v>184.98</v>
      </c>
      <c r="H76" s="13">
        <v>0.1</v>
      </c>
      <c r="I76" t="s">
        <v>1936</v>
      </c>
      <c r="J76" s="17">
        <v>166.482</v>
      </c>
      <c r="K76" s="19">
        <f t="shared" si="5"/>
        <v>2095718.7984000009</v>
      </c>
      <c r="L76" s="22">
        <f t="shared" si="6"/>
        <v>1088.1198330218074</v>
      </c>
      <c r="M76" s="22">
        <f t="shared" si="7"/>
        <v>670</v>
      </c>
      <c r="N76" s="22" t="str">
        <f t="shared" si="8"/>
        <v>Low Value</v>
      </c>
      <c r="O76" s="22" t="str">
        <f t="shared" si="9"/>
        <v>Oct-2025</v>
      </c>
      <c r="P76" s="22" t="s">
        <v>1608</v>
      </c>
      <c r="Q76" s="22" t="s">
        <v>1569</v>
      </c>
      <c r="R76" s="22" t="s">
        <v>869</v>
      </c>
      <c r="S76" s="22"/>
      <c r="T76" s="22"/>
      <c r="V76" s="26" t="s">
        <v>1931</v>
      </c>
      <c r="W76" s="6">
        <v>6</v>
      </c>
    </row>
    <row r="77" spans="1:23">
      <c r="A77" t="s">
        <v>2010</v>
      </c>
      <c r="B77" s="8">
        <v>45500</v>
      </c>
      <c r="C77" t="s">
        <v>140</v>
      </c>
      <c r="D77" t="s">
        <v>1846</v>
      </c>
      <c r="E77" t="s">
        <v>1901</v>
      </c>
      <c r="F77">
        <v>4</v>
      </c>
      <c r="G77" s="10">
        <v>700.18</v>
      </c>
      <c r="H77" s="13">
        <v>0.23</v>
      </c>
      <c r="I77" t="s">
        <v>1931</v>
      </c>
      <c r="J77" s="17">
        <v>2156.5544</v>
      </c>
      <c r="K77" s="19">
        <f t="shared" si="5"/>
        <v>2095552.3164000008</v>
      </c>
      <c r="L77" s="22">
        <f t="shared" si="6"/>
        <v>1088.5986059220784</v>
      </c>
      <c r="M77" s="22">
        <f t="shared" si="7"/>
        <v>670</v>
      </c>
      <c r="N77" s="22" t="str">
        <f t="shared" si="8"/>
        <v>High Value</v>
      </c>
      <c r="O77" s="22" t="str">
        <f t="shared" si="9"/>
        <v>Jul-2024</v>
      </c>
      <c r="P77" s="22" t="s">
        <v>1847</v>
      </c>
      <c r="Q77" s="22" t="s">
        <v>1569</v>
      </c>
      <c r="R77" s="22" t="s">
        <v>141</v>
      </c>
      <c r="S77" s="22"/>
      <c r="T77" s="22"/>
      <c r="V77" s="26" t="s">
        <v>1933</v>
      </c>
      <c r="W77" s="6">
        <v>6</v>
      </c>
    </row>
    <row r="78" spans="1:23">
      <c r="A78" t="s">
        <v>2011</v>
      </c>
      <c r="B78" s="8">
        <v>45285</v>
      </c>
      <c r="C78" t="s">
        <v>85</v>
      </c>
      <c r="D78" t="s">
        <v>1783</v>
      </c>
      <c r="E78" t="s">
        <v>1896</v>
      </c>
      <c r="F78">
        <v>2</v>
      </c>
      <c r="G78" s="10">
        <v>686.31</v>
      </c>
      <c r="H78" s="13">
        <v>0.25</v>
      </c>
      <c r="I78" t="s">
        <v>1931</v>
      </c>
      <c r="J78" s="17">
        <v>1029.4649999999999</v>
      </c>
      <c r="K78" s="19">
        <f t="shared" si="5"/>
        <v>2093395.7620000006</v>
      </c>
      <c r="L78" s="22">
        <f t="shared" si="6"/>
        <v>1088.0435353430357</v>
      </c>
      <c r="M78" s="22">
        <f t="shared" si="7"/>
        <v>670</v>
      </c>
      <c r="N78" s="22" t="str">
        <f t="shared" si="8"/>
        <v>High Value</v>
      </c>
      <c r="O78" s="22" t="str">
        <f t="shared" si="9"/>
        <v>Dec-2023</v>
      </c>
      <c r="P78" s="22" t="s">
        <v>1784</v>
      </c>
      <c r="Q78" s="22" t="s">
        <v>1531</v>
      </c>
      <c r="R78" s="22" t="s">
        <v>86</v>
      </c>
      <c r="S78" s="22"/>
      <c r="T78" s="22"/>
      <c r="V78" s="25" t="s">
        <v>1460</v>
      </c>
      <c r="W78" s="6">
        <v>15</v>
      </c>
    </row>
    <row r="79" spans="1:23">
      <c r="A79" t="s">
        <v>2012</v>
      </c>
      <c r="B79" s="8">
        <v>45800</v>
      </c>
      <c r="C79" t="s">
        <v>39</v>
      </c>
      <c r="D79" t="s">
        <v>1755</v>
      </c>
      <c r="E79" t="s">
        <v>1908</v>
      </c>
      <c r="F79">
        <v>1</v>
      </c>
      <c r="G79" s="10">
        <v>687.82</v>
      </c>
      <c r="H79" s="13">
        <v>0.27</v>
      </c>
      <c r="I79" t="s">
        <v>1936</v>
      </c>
      <c r="J79" s="17">
        <v>502.10860000000002</v>
      </c>
      <c r="K79" s="19">
        <f t="shared" si="5"/>
        <v>2092366.297000001</v>
      </c>
      <c r="L79" s="22">
        <f t="shared" si="6"/>
        <v>1088.0739973998966</v>
      </c>
      <c r="M79" s="22">
        <f t="shared" si="7"/>
        <v>670</v>
      </c>
      <c r="N79" s="22" t="str">
        <f t="shared" si="8"/>
        <v>Low Value</v>
      </c>
      <c r="O79" s="22" t="str">
        <f t="shared" si="9"/>
        <v>May-2025</v>
      </c>
      <c r="P79" s="22" t="s">
        <v>1756</v>
      </c>
      <c r="Q79" s="22" t="s">
        <v>1531</v>
      </c>
      <c r="R79" s="22" t="s">
        <v>40</v>
      </c>
      <c r="S79" s="22"/>
      <c r="T79" s="22"/>
      <c r="V79" s="26" t="s">
        <v>1936</v>
      </c>
      <c r="W79" s="6">
        <v>6</v>
      </c>
    </row>
    <row r="80" spans="1:23">
      <c r="A80" t="s">
        <v>2013</v>
      </c>
      <c r="B80" s="8">
        <v>45609</v>
      </c>
      <c r="C80" t="s">
        <v>716</v>
      </c>
      <c r="D80" t="s">
        <v>1804</v>
      </c>
      <c r="E80" t="s">
        <v>1889</v>
      </c>
      <c r="F80">
        <v>2</v>
      </c>
      <c r="G80" s="10">
        <v>900.55</v>
      </c>
      <c r="H80" s="13">
        <v>0.16</v>
      </c>
      <c r="I80" t="s">
        <v>1931</v>
      </c>
      <c r="J80" s="17">
        <v>1512.924</v>
      </c>
      <c r="K80" s="19">
        <f t="shared" si="5"/>
        <v>2091864.188400001</v>
      </c>
      <c r="L80" s="22">
        <f t="shared" si="6"/>
        <v>1088.3788701352762</v>
      </c>
      <c r="M80" s="22">
        <f t="shared" si="7"/>
        <v>670</v>
      </c>
      <c r="N80" s="22" t="str">
        <f t="shared" si="8"/>
        <v>High Value</v>
      </c>
      <c r="O80" s="22" t="str">
        <f t="shared" si="9"/>
        <v>Nov-2024</v>
      </c>
      <c r="P80" s="22" t="s">
        <v>1805</v>
      </c>
      <c r="Q80" s="22" t="s">
        <v>1555</v>
      </c>
      <c r="R80" s="22" t="s">
        <v>717</v>
      </c>
      <c r="S80" s="22"/>
      <c r="T80" s="22"/>
      <c r="V80" s="26" t="s">
        <v>1933</v>
      </c>
      <c r="W80" s="6">
        <v>9</v>
      </c>
    </row>
    <row r="81" spans="1:23">
      <c r="A81" t="s">
        <v>2014</v>
      </c>
      <c r="B81" s="8">
        <v>45268</v>
      </c>
      <c r="C81" t="s">
        <v>397</v>
      </c>
      <c r="D81" t="s">
        <v>1610</v>
      </c>
      <c r="E81" t="s">
        <v>1868</v>
      </c>
      <c r="F81">
        <v>1</v>
      </c>
      <c r="G81" s="10">
        <v>341.17</v>
      </c>
      <c r="H81" s="13">
        <v>0.15</v>
      </c>
      <c r="I81" t="s">
        <v>1931</v>
      </c>
      <c r="J81" s="17">
        <v>289.99450000000002</v>
      </c>
      <c r="K81" s="19">
        <f t="shared" si="5"/>
        <v>2090351.2644000009</v>
      </c>
      <c r="L81" s="22">
        <f t="shared" si="6"/>
        <v>1088.1578679854247</v>
      </c>
      <c r="M81" s="22">
        <f t="shared" si="7"/>
        <v>670</v>
      </c>
      <c r="N81" s="22" t="str">
        <f t="shared" si="8"/>
        <v>Low Value</v>
      </c>
      <c r="O81" s="22" t="str">
        <f t="shared" si="9"/>
        <v>Dec-2023</v>
      </c>
      <c r="P81" s="22" t="s">
        <v>1611</v>
      </c>
      <c r="Q81" s="22" t="s">
        <v>1560</v>
      </c>
      <c r="R81" s="22" t="s">
        <v>398</v>
      </c>
      <c r="S81" s="22"/>
      <c r="T81" s="22"/>
      <c r="V81" s="25" t="s">
        <v>645</v>
      </c>
      <c r="W81" s="6">
        <v>13</v>
      </c>
    </row>
    <row r="82" spans="1:23">
      <c r="A82" t="s">
        <v>2015</v>
      </c>
      <c r="B82" s="8">
        <v>45885</v>
      </c>
      <c r="C82" t="s">
        <v>580</v>
      </c>
      <c r="D82" t="s">
        <v>1710</v>
      </c>
      <c r="E82" t="s">
        <v>1889</v>
      </c>
      <c r="F82">
        <v>1</v>
      </c>
      <c r="G82" s="10">
        <v>442.27</v>
      </c>
      <c r="H82" s="13">
        <v>0.06</v>
      </c>
      <c r="I82" t="s">
        <v>1936</v>
      </c>
      <c r="J82" s="17">
        <v>415.73379999999997</v>
      </c>
      <c r="K82" s="19">
        <f t="shared" si="5"/>
        <v>2090061.2699000009</v>
      </c>
      <c r="L82" s="22">
        <f t="shared" si="6"/>
        <v>1088.5735780729171</v>
      </c>
      <c r="M82" s="22">
        <f t="shared" si="7"/>
        <v>670</v>
      </c>
      <c r="N82" s="22" t="str">
        <f t="shared" si="8"/>
        <v>Low Value</v>
      </c>
      <c r="O82" s="22" t="str">
        <f t="shared" si="9"/>
        <v>Aug-2025</v>
      </c>
      <c r="P82" s="22" t="s">
        <v>1711</v>
      </c>
      <c r="Q82" s="22" t="s">
        <v>1569</v>
      </c>
      <c r="R82" s="22" t="s">
        <v>581</v>
      </c>
      <c r="S82" s="22"/>
      <c r="T82" s="22"/>
      <c r="V82" s="26" t="s">
        <v>1936</v>
      </c>
      <c r="W82" s="6">
        <v>3</v>
      </c>
    </row>
    <row r="83" spans="1:23">
      <c r="A83" t="s">
        <v>2016</v>
      </c>
      <c r="B83" s="8">
        <v>45616</v>
      </c>
      <c r="C83" t="s">
        <v>810</v>
      </c>
      <c r="D83" t="s">
        <v>1768</v>
      </c>
      <c r="E83" t="s">
        <v>1893</v>
      </c>
      <c r="F83">
        <v>1</v>
      </c>
      <c r="G83" s="10">
        <v>363.73</v>
      </c>
      <c r="H83" s="13">
        <v>0.25</v>
      </c>
      <c r="I83" t="s">
        <v>1933</v>
      </c>
      <c r="J83" s="17">
        <v>272.79750000000001</v>
      </c>
      <c r="K83" s="19">
        <f t="shared" si="5"/>
        <v>2089645.5361000011</v>
      </c>
      <c r="L83" s="22">
        <f t="shared" si="6"/>
        <v>1088.924198071913</v>
      </c>
      <c r="M83" s="22">
        <f t="shared" si="7"/>
        <v>670</v>
      </c>
      <c r="N83" s="22" t="str">
        <f t="shared" si="8"/>
        <v>Low Value</v>
      </c>
      <c r="O83" s="22" t="str">
        <f t="shared" si="9"/>
        <v>Nov-2024</v>
      </c>
      <c r="P83" s="22" t="s">
        <v>1769</v>
      </c>
      <c r="Q83" s="22" t="s">
        <v>1555</v>
      </c>
      <c r="R83" s="22" t="s">
        <v>3949</v>
      </c>
      <c r="S83" s="22"/>
      <c r="T83" s="22"/>
      <c r="V83" s="26" t="s">
        <v>1931</v>
      </c>
      <c r="W83" s="6">
        <v>10</v>
      </c>
    </row>
    <row r="84" spans="1:23">
      <c r="A84" t="s">
        <v>2017</v>
      </c>
      <c r="B84" s="8">
        <v>45518</v>
      </c>
      <c r="C84" t="s">
        <v>1175</v>
      </c>
      <c r="D84" t="s">
        <v>1828</v>
      </c>
      <c r="E84" t="s">
        <v>1914</v>
      </c>
      <c r="F84">
        <v>2</v>
      </c>
      <c r="G84" s="10">
        <v>601.33000000000004</v>
      </c>
      <c r="H84" s="13">
        <v>0.16</v>
      </c>
      <c r="I84" t="s">
        <v>1933</v>
      </c>
      <c r="J84" s="17">
        <v>1010.2344000000001</v>
      </c>
      <c r="K84" s="19">
        <f t="shared" si="5"/>
        <v>2089372.738600001</v>
      </c>
      <c r="L84" s="22">
        <f t="shared" si="6"/>
        <v>1089.3497072992707</v>
      </c>
      <c r="M84" s="22">
        <f t="shared" si="7"/>
        <v>669</v>
      </c>
      <c r="N84" s="22" t="str">
        <f t="shared" si="8"/>
        <v>High Value</v>
      </c>
      <c r="O84" s="22" t="str">
        <f t="shared" si="9"/>
        <v>Aug-2024</v>
      </c>
      <c r="P84" s="22" t="s">
        <v>1829</v>
      </c>
      <c r="Q84" s="22" t="s">
        <v>1536</v>
      </c>
      <c r="R84" s="22" t="s">
        <v>1176</v>
      </c>
      <c r="S84" s="22"/>
      <c r="T84" s="22"/>
      <c r="V84" s="25" t="s">
        <v>259</v>
      </c>
      <c r="W84" s="6">
        <v>7</v>
      </c>
    </row>
    <row r="85" spans="1:23">
      <c r="A85" t="s">
        <v>2018</v>
      </c>
      <c r="B85" s="8">
        <v>45427</v>
      </c>
      <c r="C85" t="s">
        <v>1247</v>
      </c>
      <c r="D85" t="s">
        <v>1597</v>
      </c>
      <c r="E85" t="s">
        <v>1917</v>
      </c>
      <c r="F85">
        <v>4</v>
      </c>
      <c r="G85" s="10">
        <v>34.39</v>
      </c>
      <c r="H85" s="13">
        <v>0.03</v>
      </c>
      <c r="I85" t="s">
        <v>1933</v>
      </c>
      <c r="J85" s="17">
        <v>133.4332</v>
      </c>
      <c r="K85" s="19">
        <f t="shared" si="5"/>
        <v>2088362.5042000008</v>
      </c>
      <c r="L85" s="22">
        <f t="shared" si="6"/>
        <v>1089.3909776734486</v>
      </c>
      <c r="M85" s="22">
        <f t="shared" si="7"/>
        <v>668</v>
      </c>
      <c r="N85" s="22" t="str">
        <f t="shared" si="8"/>
        <v>Low Value</v>
      </c>
      <c r="O85" s="22" t="str">
        <f t="shared" si="9"/>
        <v>May-2024</v>
      </c>
      <c r="P85" s="22" t="s">
        <v>1598</v>
      </c>
      <c r="Q85" s="22" t="s">
        <v>1569</v>
      </c>
      <c r="R85" s="22" t="s">
        <v>1248</v>
      </c>
      <c r="S85" s="22"/>
      <c r="T85" s="22"/>
      <c r="V85" s="26" t="s">
        <v>1936</v>
      </c>
      <c r="W85" s="6">
        <v>7</v>
      </c>
    </row>
    <row r="86" spans="1:23">
      <c r="A86" t="s">
        <v>2019</v>
      </c>
      <c r="B86" s="8">
        <v>45268</v>
      </c>
      <c r="C86" t="s">
        <v>1304</v>
      </c>
      <c r="D86" t="s">
        <v>1690</v>
      </c>
      <c r="E86" t="s">
        <v>1914</v>
      </c>
      <c r="F86">
        <v>1</v>
      </c>
      <c r="G86" s="10">
        <v>773.57</v>
      </c>
      <c r="H86" s="13">
        <v>0.05</v>
      </c>
      <c r="I86" t="s">
        <v>1936</v>
      </c>
      <c r="J86" s="17">
        <v>734.89150000000006</v>
      </c>
      <c r="K86" s="19">
        <f t="shared" si="5"/>
        <v>2088229.0710000009</v>
      </c>
      <c r="L86" s="22">
        <f t="shared" si="6"/>
        <v>1089.8899117954077</v>
      </c>
      <c r="M86" s="22">
        <f t="shared" si="7"/>
        <v>667</v>
      </c>
      <c r="N86" s="22" t="str">
        <f t="shared" si="8"/>
        <v>Low Value</v>
      </c>
      <c r="O86" s="22" t="str">
        <f t="shared" si="9"/>
        <v>Dec-2023</v>
      </c>
      <c r="P86" s="22" t="s">
        <v>1691</v>
      </c>
      <c r="Q86" s="22" t="s">
        <v>1536</v>
      </c>
      <c r="R86" s="22" t="s">
        <v>1305</v>
      </c>
      <c r="S86" s="22"/>
      <c r="T86" s="22"/>
      <c r="V86" s="25" t="s">
        <v>1194</v>
      </c>
      <c r="W86" s="6">
        <v>18</v>
      </c>
    </row>
    <row r="87" spans="1:23">
      <c r="A87" t="s">
        <v>2020</v>
      </c>
      <c r="B87" s="8">
        <v>45282</v>
      </c>
      <c r="C87" t="s">
        <v>202</v>
      </c>
      <c r="D87" t="s">
        <v>1819</v>
      </c>
      <c r="E87" t="s">
        <v>1886</v>
      </c>
      <c r="F87">
        <v>4</v>
      </c>
      <c r="G87" s="10">
        <v>127.1</v>
      </c>
      <c r="H87" s="13">
        <v>0.24</v>
      </c>
      <c r="I87" t="s">
        <v>1936</v>
      </c>
      <c r="J87" s="17">
        <v>386.38400000000001</v>
      </c>
      <c r="K87" s="19">
        <f t="shared" si="5"/>
        <v>2087494.1795000008</v>
      </c>
      <c r="L87" s="22">
        <f t="shared" si="6"/>
        <v>1090.0752895561361</v>
      </c>
      <c r="M87" s="22">
        <f t="shared" si="7"/>
        <v>667</v>
      </c>
      <c r="N87" s="22" t="str">
        <f t="shared" si="8"/>
        <v>Low Value</v>
      </c>
      <c r="O87" s="22" t="str">
        <f t="shared" si="9"/>
        <v>Dec-2023</v>
      </c>
      <c r="P87" s="22" t="s">
        <v>1820</v>
      </c>
      <c r="Q87" s="22" t="s">
        <v>1569</v>
      </c>
      <c r="R87" s="22" t="s">
        <v>203</v>
      </c>
      <c r="S87" s="22"/>
      <c r="T87" s="22"/>
      <c r="V87" s="26" t="s">
        <v>1936</v>
      </c>
      <c r="W87" s="6">
        <v>8</v>
      </c>
    </row>
    <row r="88" spans="1:23">
      <c r="A88" t="s">
        <v>2021</v>
      </c>
      <c r="B88" s="8">
        <v>45545</v>
      </c>
      <c r="C88" t="s">
        <v>955</v>
      </c>
      <c r="D88" t="s">
        <v>1607</v>
      </c>
      <c r="E88" t="s">
        <v>1873</v>
      </c>
      <c r="F88">
        <v>3</v>
      </c>
      <c r="G88" s="10">
        <v>899.58</v>
      </c>
      <c r="H88" s="13">
        <v>0.28000000000000003</v>
      </c>
      <c r="I88" t="s">
        <v>1933</v>
      </c>
      <c r="J88" s="17">
        <v>1943.0927999999999</v>
      </c>
      <c r="K88" s="19">
        <f t="shared" si="5"/>
        <v>2087107.7955000009</v>
      </c>
      <c r="L88" s="22">
        <f t="shared" si="6"/>
        <v>1090.4429443573672</v>
      </c>
      <c r="M88" s="22">
        <f t="shared" si="7"/>
        <v>667</v>
      </c>
      <c r="N88" s="22" t="str">
        <f t="shared" si="8"/>
        <v>High Value</v>
      </c>
      <c r="O88" s="22" t="str">
        <f t="shared" si="9"/>
        <v>Sep-2024</v>
      </c>
      <c r="P88" s="22" t="s">
        <v>1608</v>
      </c>
      <c r="Q88" s="22" t="s">
        <v>1569</v>
      </c>
      <c r="R88" s="22" t="s">
        <v>956</v>
      </c>
      <c r="S88" s="22"/>
      <c r="T88" s="22"/>
      <c r="V88" s="26" t="s">
        <v>1931</v>
      </c>
      <c r="W88" s="6">
        <v>8</v>
      </c>
    </row>
    <row r="89" spans="1:23">
      <c r="A89" t="s">
        <v>2022</v>
      </c>
      <c r="B89" s="8">
        <v>45755</v>
      </c>
      <c r="C89" t="s">
        <v>1025</v>
      </c>
      <c r="D89" t="s">
        <v>1534</v>
      </c>
      <c r="E89" t="s">
        <v>1896</v>
      </c>
      <c r="F89">
        <v>3</v>
      </c>
      <c r="G89" s="10">
        <v>964.39</v>
      </c>
      <c r="H89" s="13">
        <v>0.04</v>
      </c>
      <c r="I89" t="s">
        <v>1931</v>
      </c>
      <c r="J89" s="17">
        <v>2777.4432000000002</v>
      </c>
      <c r="K89" s="19">
        <f t="shared" si="5"/>
        <v>2085164.702700001</v>
      </c>
      <c r="L89" s="22">
        <f t="shared" si="6"/>
        <v>1089.9972308938845</v>
      </c>
      <c r="M89" s="22">
        <f t="shared" si="7"/>
        <v>666</v>
      </c>
      <c r="N89" s="22" t="str">
        <f t="shared" si="8"/>
        <v>High Value</v>
      </c>
      <c r="O89" s="22" t="str">
        <f t="shared" si="9"/>
        <v>Apr-2025</v>
      </c>
      <c r="P89" s="22" t="s">
        <v>1535</v>
      </c>
      <c r="Q89" s="22" t="s">
        <v>1536</v>
      </c>
      <c r="R89" s="22" t="s">
        <v>1026</v>
      </c>
      <c r="S89" s="22"/>
      <c r="T89" s="22"/>
      <c r="V89" s="26" t="s">
        <v>1933</v>
      </c>
      <c r="W89" s="6">
        <v>2</v>
      </c>
    </row>
    <row r="90" spans="1:23">
      <c r="A90" t="s">
        <v>2023</v>
      </c>
      <c r="B90" s="8">
        <v>45588</v>
      </c>
      <c r="C90" t="s">
        <v>602</v>
      </c>
      <c r="D90" t="s">
        <v>1665</v>
      </c>
      <c r="E90" t="s">
        <v>1859</v>
      </c>
      <c r="F90">
        <v>2</v>
      </c>
      <c r="G90" s="10">
        <v>217.83</v>
      </c>
      <c r="H90" s="13">
        <v>0.14000000000000001</v>
      </c>
      <c r="I90" t="s">
        <v>1933</v>
      </c>
      <c r="J90" s="17">
        <v>374.66759999999999</v>
      </c>
      <c r="K90" s="19">
        <f t="shared" si="5"/>
        <v>2082387.2595000009</v>
      </c>
      <c r="L90" s="22">
        <f t="shared" si="6"/>
        <v>1089.1146754707117</v>
      </c>
      <c r="M90" s="22">
        <f t="shared" si="7"/>
        <v>666</v>
      </c>
      <c r="N90" s="22" t="str">
        <f t="shared" si="8"/>
        <v>Low Value</v>
      </c>
      <c r="O90" s="22" t="str">
        <f t="shared" si="9"/>
        <v>Oct-2024</v>
      </c>
      <c r="P90" s="22" t="s">
        <v>1666</v>
      </c>
      <c r="Q90" s="22" t="s">
        <v>1569</v>
      </c>
      <c r="R90" s="22" t="s">
        <v>603</v>
      </c>
      <c r="S90" s="22"/>
      <c r="T90" s="22"/>
      <c r="V90" s="25" t="s">
        <v>1020</v>
      </c>
      <c r="W90" s="6">
        <v>18</v>
      </c>
    </row>
    <row r="91" spans="1:23">
      <c r="A91" t="s">
        <v>2024</v>
      </c>
      <c r="B91" s="8">
        <v>45848</v>
      </c>
      <c r="C91" t="s">
        <v>482</v>
      </c>
      <c r="D91" t="s">
        <v>1597</v>
      </c>
      <c r="E91" t="s">
        <v>1864</v>
      </c>
      <c r="F91">
        <v>4</v>
      </c>
      <c r="G91" s="10">
        <v>187.71</v>
      </c>
      <c r="H91" s="13">
        <v>0.06</v>
      </c>
      <c r="I91" t="s">
        <v>1936</v>
      </c>
      <c r="J91" s="17">
        <v>705.78959999999995</v>
      </c>
      <c r="K91" s="19">
        <f t="shared" si="5"/>
        <v>2082012.5919000008</v>
      </c>
      <c r="L91" s="22">
        <f t="shared" si="6"/>
        <v>1089.488535792779</v>
      </c>
      <c r="M91" s="22">
        <f t="shared" si="7"/>
        <v>665</v>
      </c>
      <c r="N91" s="22" t="str">
        <f t="shared" si="8"/>
        <v>Low Value</v>
      </c>
      <c r="O91" s="22" t="str">
        <f t="shared" si="9"/>
        <v>Jul-2025</v>
      </c>
      <c r="P91" s="22" t="s">
        <v>1598</v>
      </c>
      <c r="Q91" s="22" t="s">
        <v>1569</v>
      </c>
      <c r="R91" s="22" t="s">
        <v>483</v>
      </c>
      <c r="S91" s="22"/>
      <c r="T91" s="22"/>
      <c r="V91" s="26" t="s">
        <v>1936</v>
      </c>
      <c r="W91" s="6">
        <v>10</v>
      </c>
    </row>
    <row r="92" spans="1:23">
      <c r="A92" t="s">
        <v>2025</v>
      </c>
      <c r="B92" s="8">
        <v>45577</v>
      </c>
      <c r="C92" t="s">
        <v>52</v>
      </c>
      <c r="D92" t="s">
        <v>1649</v>
      </c>
      <c r="E92" t="s">
        <v>1917</v>
      </c>
      <c r="F92">
        <v>2</v>
      </c>
      <c r="G92" s="10">
        <v>350.12</v>
      </c>
      <c r="H92" s="13">
        <v>0.12</v>
      </c>
      <c r="I92" t="s">
        <v>1936</v>
      </c>
      <c r="J92" s="17">
        <v>616.21119999999996</v>
      </c>
      <c r="K92" s="19">
        <f t="shared" si="5"/>
        <v>2081306.802300001</v>
      </c>
      <c r="L92" s="22">
        <f t="shared" si="6"/>
        <v>1089.6894252879586</v>
      </c>
      <c r="M92" s="22">
        <f t="shared" si="7"/>
        <v>665</v>
      </c>
      <c r="N92" s="22" t="str">
        <f t="shared" si="8"/>
        <v>Low Value</v>
      </c>
      <c r="O92" s="22" t="str">
        <f t="shared" si="9"/>
        <v>Oct-2024</v>
      </c>
      <c r="P92" s="22" t="s">
        <v>1650</v>
      </c>
      <c r="Q92" s="22" t="s">
        <v>1560</v>
      </c>
      <c r="R92" s="22" t="s">
        <v>53</v>
      </c>
      <c r="S92" s="22"/>
      <c r="T92" s="22"/>
      <c r="V92" s="26" t="s">
        <v>1931</v>
      </c>
      <c r="W92" s="6">
        <v>3</v>
      </c>
    </row>
    <row r="93" spans="1:23">
      <c r="A93" t="s">
        <v>2026</v>
      </c>
      <c r="B93" s="8">
        <v>45312</v>
      </c>
      <c r="C93" t="s">
        <v>1256</v>
      </c>
      <c r="D93" t="s">
        <v>1970</v>
      </c>
      <c r="E93" t="s">
        <v>1864</v>
      </c>
      <c r="F93">
        <v>4</v>
      </c>
      <c r="G93" s="10">
        <v>102.19</v>
      </c>
      <c r="H93" s="13">
        <v>0.17</v>
      </c>
      <c r="I93" t="s">
        <v>1933</v>
      </c>
      <c r="J93" s="17">
        <v>339.27080000000001</v>
      </c>
      <c r="K93" s="19">
        <f t="shared" si="5"/>
        <v>2080690.591100001</v>
      </c>
      <c r="L93" s="22">
        <f t="shared" si="6"/>
        <v>1089.9374495023578</v>
      </c>
      <c r="M93" s="22">
        <f t="shared" si="7"/>
        <v>665</v>
      </c>
      <c r="N93" s="22" t="str">
        <f t="shared" si="8"/>
        <v>Low Value</v>
      </c>
      <c r="O93" s="22" t="str">
        <f t="shared" si="9"/>
        <v>Jan-2024</v>
      </c>
      <c r="P93" s="22" t="s">
        <v>1594</v>
      </c>
      <c r="Q93" s="22" t="s">
        <v>1555</v>
      </c>
      <c r="R93" s="22" t="s">
        <v>1257</v>
      </c>
      <c r="S93" s="22"/>
      <c r="T93" s="22"/>
      <c r="V93" s="26" t="s">
        <v>1933</v>
      </c>
      <c r="W93" s="6">
        <v>5</v>
      </c>
    </row>
    <row r="94" spans="1:23">
      <c r="A94" t="s">
        <v>2027</v>
      </c>
      <c r="B94" s="8">
        <v>45350</v>
      </c>
      <c r="C94" t="s">
        <v>39</v>
      </c>
      <c r="D94" t="s">
        <v>1813</v>
      </c>
      <c r="E94" t="s">
        <v>1876</v>
      </c>
      <c r="F94">
        <v>1</v>
      </c>
      <c r="G94" s="10">
        <v>696.53</v>
      </c>
      <c r="H94" s="13">
        <v>0.17</v>
      </c>
      <c r="I94" t="s">
        <v>1931</v>
      </c>
      <c r="J94" s="17">
        <v>578.11989999999992</v>
      </c>
      <c r="K94" s="19">
        <f t="shared" si="5"/>
        <v>2080351.320300001</v>
      </c>
      <c r="L94" s="22">
        <f t="shared" si="6"/>
        <v>1090.3308806603779</v>
      </c>
      <c r="M94" s="22">
        <f t="shared" si="7"/>
        <v>664</v>
      </c>
      <c r="N94" s="22" t="str">
        <f t="shared" si="8"/>
        <v>Low Value</v>
      </c>
      <c r="O94" s="22" t="str">
        <f t="shared" si="9"/>
        <v>Feb-2024</v>
      </c>
      <c r="P94" s="22" t="s">
        <v>1814</v>
      </c>
      <c r="Q94" s="22" t="s">
        <v>1560</v>
      </c>
      <c r="R94" s="22" t="s">
        <v>40</v>
      </c>
      <c r="S94" s="22"/>
      <c r="T94" s="22"/>
      <c r="V94" s="25" t="s">
        <v>964</v>
      </c>
      <c r="W94" s="6">
        <v>5</v>
      </c>
    </row>
    <row r="95" spans="1:23">
      <c r="A95" t="s">
        <v>2028</v>
      </c>
      <c r="B95" s="8">
        <v>45657</v>
      </c>
      <c r="C95" t="s">
        <v>238</v>
      </c>
      <c r="D95" t="s">
        <v>1603</v>
      </c>
      <c r="E95" t="s">
        <v>1876</v>
      </c>
      <c r="F95">
        <v>2</v>
      </c>
      <c r="G95" s="10">
        <v>327.52</v>
      </c>
      <c r="H95" s="13">
        <v>0.15</v>
      </c>
      <c r="I95" t="s">
        <v>1933</v>
      </c>
      <c r="J95" s="17">
        <v>556.78399999999999</v>
      </c>
      <c r="K95" s="19">
        <f t="shared" si="5"/>
        <v>2079773.2004000009</v>
      </c>
      <c r="L95" s="22">
        <f t="shared" si="6"/>
        <v>1090.5994758259051</v>
      </c>
      <c r="M95" s="22">
        <f t="shared" si="7"/>
        <v>664</v>
      </c>
      <c r="N95" s="22" t="str">
        <f t="shared" si="8"/>
        <v>Low Value</v>
      </c>
      <c r="O95" s="22" t="str">
        <f t="shared" si="9"/>
        <v>Dec-2024</v>
      </c>
      <c r="P95" s="22" t="s">
        <v>1604</v>
      </c>
      <c r="Q95" s="22" t="s">
        <v>1569</v>
      </c>
      <c r="R95" s="22" t="s">
        <v>239</v>
      </c>
      <c r="S95" s="22"/>
      <c r="T95" s="22"/>
      <c r="V95" s="26" t="s">
        <v>1936</v>
      </c>
      <c r="W95" s="6">
        <v>4</v>
      </c>
    </row>
    <row r="96" spans="1:23">
      <c r="A96" t="s">
        <v>2029</v>
      </c>
      <c r="B96" s="8">
        <v>45530</v>
      </c>
      <c r="C96" t="s">
        <v>940</v>
      </c>
      <c r="D96" t="s">
        <v>1846</v>
      </c>
      <c r="E96" t="s">
        <v>1920</v>
      </c>
      <c r="F96">
        <v>2</v>
      </c>
      <c r="G96" s="10">
        <v>569.36</v>
      </c>
      <c r="H96" s="13">
        <v>0.01</v>
      </c>
      <c r="I96" t="s">
        <v>1933</v>
      </c>
      <c r="J96" s="17">
        <v>1127.3327999999999</v>
      </c>
      <c r="K96" s="19">
        <f t="shared" si="5"/>
        <v>2079216.4164000012</v>
      </c>
      <c r="L96" s="22">
        <f t="shared" si="6"/>
        <v>1090.8795469045126</v>
      </c>
      <c r="M96" s="22">
        <f t="shared" si="7"/>
        <v>663</v>
      </c>
      <c r="N96" s="22" t="str">
        <f t="shared" si="8"/>
        <v>High Value</v>
      </c>
      <c r="O96" s="22" t="str">
        <f t="shared" si="9"/>
        <v>Aug-2024</v>
      </c>
      <c r="P96" s="22" t="s">
        <v>1847</v>
      </c>
      <c r="Q96" s="22" t="s">
        <v>1569</v>
      </c>
      <c r="R96" s="22" t="s">
        <v>941</v>
      </c>
      <c r="S96" s="22"/>
      <c r="T96" s="22"/>
      <c r="V96" s="26" t="s">
        <v>1931</v>
      </c>
      <c r="W96" s="6">
        <v>1</v>
      </c>
    </row>
    <row r="97" spans="1:23">
      <c r="A97" t="s">
        <v>2030</v>
      </c>
      <c r="B97" s="8">
        <v>45556</v>
      </c>
      <c r="C97" t="s">
        <v>1008</v>
      </c>
      <c r="D97" t="s">
        <v>1852</v>
      </c>
      <c r="E97" t="s">
        <v>1883</v>
      </c>
      <c r="F97">
        <v>2</v>
      </c>
      <c r="G97" s="10">
        <v>68.290000000000006</v>
      </c>
      <c r="H97" s="13">
        <v>0.14000000000000001</v>
      </c>
      <c r="I97" t="s">
        <v>1936</v>
      </c>
      <c r="J97" s="16">
        <v>117.4588</v>
      </c>
      <c r="K97" s="19">
        <f t="shared" si="5"/>
        <v>2078089.0836000012</v>
      </c>
      <c r="L97" s="22">
        <f t="shared" si="6"/>
        <v>1090.8604113385834</v>
      </c>
      <c r="M97" s="22">
        <f t="shared" si="7"/>
        <v>662</v>
      </c>
      <c r="N97" s="22" t="str">
        <f t="shared" si="8"/>
        <v>Low Value</v>
      </c>
      <c r="O97" s="22" t="str">
        <f t="shared" si="9"/>
        <v>Sep-2024</v>
      </c>
      <c r="P97" s="22" t="s">
        <v>1853</v>
      </c>
      <c r="Q97" s="22" t="s">
        <v>1560</v>
      </c>
      <c r="R97" s="22" t="s">
        <v>1009</v>
      </c>
      <c r="S97" s="22"/>
      <c r="T97" s="22"/>
      <c r="V97" s="25" t="s">
        <v>1068</v>
      </c>
      <c r="W97" s="6">
        <v>4</v>
      </c>
    </row>
    <row r="98" spans="1:23">
      <c r="A98" t="s">
        <v>2031</v>
      </c>
      <c r="B98" s="8">
        <v>45523</v>
      </c>
      <c r="C98" t="s">
        <v>783</v>
      </c>
      <c r="D98" t="s">
        <v>1704</v>
      </c>
      <c r="E98" t="s">
        <v>1896</v>
      </c>
      <c r="F98">
        <v>1</v>
      </c>
      <c r="G98" s="10">
        <v>842.9</v>
      </c>
      <c r="H98" s="13">
        <v>0.06</v>
      </c>
      <c r="I98" t="s">
        <v>1936</v>
      </c>
      <c r="J98" s="16">
        <v>792.32599999999991</v>
      </c>
      <c r="K98" s="19">
        <f t="shared" si="5"/>
        <v>2077971.6248000013</v>
      </c>
      <c r="L98" s="22">
        <f t="shared" si="6"/>
        <v>1091.371651680673</v>
      </c>
      <c r="M98" s="22">
        <f t="shared" si="7"/>
        <v>662</v>
      </c>
      <c r="N98" s="22" t="str">
        <f t="shared" si="8"/>
        <v>Low Value</v>
      </c>
      <c r="O98" s="22" t="str">
        <f t="shared" si="9"/>
        <v>Aug-2024</v>
      </c>
      <c r="P98" s="22" t="s">
        <v>1705</v>
      </c>
      <c r="Q98" s="22" t="s">
        <v>1569</v>
      </c>
      <c r="R98" s="22" t="s">
        <v>784</v>
      </c>
      <c r="S98" s="22"/>
      <c r="T98" s="22"/>
      <c r="V98" s="26" t="s">
        <v>1936</v>
      </c>
      <c r="W98" s="6">
        <v>2</v>
      </c>
    </row>
    <row r="99" spans="1:23">
      <c r="A99" t="s">
        <v>2032</v>
      </c>
      <c r="B99" s="8">
        <v>45587</v>
      </c>
      <c r="C99" t="s">
        <v>910</v>
      </c>
      <c r="D99" t="s">
        <v>2033</v>
      </c>
      <c r="E99" t="s">
        <v>1873</v>
      </c>
      <c r="F99">
        <v>3</v>
      </c>
      <c r="G99" s="10">
        <v>751.94</v>
      </c>
      <c r="H99" s="13">
        <v>0.26</v>
      </c>
      <c r="I99" t="s">
        <v>1933</v>
      </c>
      <c r="J99" s="16">
        <v>1669.3068000000001</v>
      </c>
      <c r="K99" s="19">
        <f t="shared" si="5"/>
        <v>2077179.2988000012</v>
      </c>
      <c r="L99" s="22">
        <f t="shared" si="6"/>
        <v>1091.5287960063065</v>
      </c>
      <c r="M99" s="22">
        <f t="shared" si="7"/>
        <v>662</v>
      </c>
      <c r="N99" s="22" t="str">
        <f t="shared" si="8"/>
        <v>High Value</v>
      </c>
      <c r="O99" s="22" t="str">
        <f t="shared" si="9"/>
        <v>Oct-2024</v>
      </c>
      <c r="P99" s="22" t="s">
        <v>1543</v>
      </c>
      <c r="Q99" s="22" t="s">
        <v>1536</v>
      </c>
      <c r="R99" s="22" t="s">
        <v>911</v>
      </c>
      <c r="S99" s="22"/>
      <c r="T99" s="22"/>
      <c r="V99" s="26" t="s">
        <v>1931</v>
      </c>
      <c r="W99" s="6">
        <v>2</v>
      </c>
    </row>
    <row r="100" spans="1:23">
      <c r="A100" t="s">
        <v>2034</v>
      </c>
      <c r="B100" s="8">
        <v>45580</v>
      </c>
      <c r="C100" t="s">
        <v>447</v>
      </c>
      <c r="D100" t="s">
        <v>1722</v>
      </c>
      <c r="E100" t="s">
        <v>1886</v>
      </c>
      <c r="F100">
        <v>4</v>
      </c>
      <c r="G100" s="10">
        <v>476.28</v>
      </c>
      <c r="H100" s="13">
        <v>0.17</v>
      </c>
      <c r="I100" t="s">
        <v>1931</v>
      </c>
      <c r="J100" s="16">
        <v>1581.2496000000001</v>
      </c>
      <c r="K100" s="19">
        <f t="shared" si="5"/>
        <v>2075509.992000001</v>
      </c>
      <c r="L100" s="22">
        <f t="shared" si="6"/>
        <v>1091.2250220820194</v>
      </c>
      <c r="M100" s="22">
        <f t="shared" si="7"/>
        <v>661</v>
      </c>
      <c r="N100" s="22" t="str">
        <f t="shared" si="8"/>
        <v>High Value</v>
      </c>
      <c r="O100" s="22" t="str">
        <f t="shared" si="9"/>
        <v>Oct-2024</v>
      </c>
      <c r="P100" s="22" t="s">
        <v>1723</v>
      </c>
      <c r="Q100" s="22" t="s">
        <v>1560</v>
      </c>
      <c r="R100" s="22" t="s">
        <v>448</v>
      </c>
      <c r="S100" s="22"/>
      <c r="T100" s="22"/>
      <c r="V100" s="25" t="s">
        <v>653</v>
      </c>
      <c r="W100" s="6">
        <v>11</v>
      </c>
    </row>
    <row r="101" spans="1:23">
      <c r="A101" t="s">
        <v>2035</v>
      </c>
      <c r="B101" s="8">
        <v>45479</v>
      </c>
      <c r="C101" t="s">
        <v>1019</v>
      </c>
      <c r="D101" t="s">
        <v>1716</v>
      </c>
      <c r="E101" t="s">
        <v>1873</v>
      </c>
      <c r="F101">
        <v>3</v>
      </c>
      <c r="G101" s="10">
        <v>541.99</v>
      </c>
      <c r="H101" s="13">
        <v>0.24</v>
      </c>
      <c r="I101" t="s">
        <v>1936</v>
      </c>
      <c r="J101" s="16">
        <v>1235.7372</v>
      </c>
      <c r="K101" s="19">
        <f t="shared" si="5"/>
        <v>2073928.742400001</v>
      </c>
      <c r="L101" s="22">
        <f t="shared" si="6"/>
        <v>1090.9672500789063</v>
      </c>
      <c r="M101" s="22">
        <f t="shared" si="7"/>
        <v>661</v>
      </c>
      <c r="N101" s="22" t="str">
        <f t="shared" si="8"/>
        <v>High Value</v>
      </c>
      <c r="O101" s="22" t="str">
        <f t="shared" si="9"/>
        <v>Jul-2024</v>
      </c>
      <c r="P101" s="22" t="s">
        <v>1717</v>
      </c>
      <c r="Q101" s="22" t="s">
        <v>1569</v>
      </c>
      <c r="R101" s="22" t="s">
        <v>1020</v>
      </c>
      <c r="S101" s="22"/>
      <c r="T101" s="22"/>
      <c r="V101" s="26" t="s">
        <v>1936</v>
      </c>
      <c r="W101" s="6">
        <v>3</v>
      </c>
    </row>
    <row r="102" spans="1:23">
      <c r="A102" t="s">
        <v>2036</v>
      </c>
      <c r="B102" s="8">
        <v>45677</v>
      </c>
      <c r="C102" t="s">
        <v>1148</v>
      </c>
      <c r="D102" t="s">
        <v>1649</v>
      </c>
      <c r="E102" t="s">
        <v>1880</v>
      </c>
      <c r="F102">
        <v>2</v>
      </c>
      <c r="G102" s="10">
        <v>401.5</v>
      </c>
      <c r="H102" s="13">
        <v>0.18</v>
      </c>
      <c r="I102" t="s">
        <v>1931</v>
      </c>
      <c r="J102" s="16">
        <v>658.46</v>
      </c>
      <c r="K102" s="19">
        <f t="shared" si="5"/>
        <v>2072693.0052000009</v>
      </c>
      <c r="L102" s="22">
        <f t="shared" si="6"/>
        <v>1090.8910553684216</v>
      </c>
      <c r="M102" s="22">
        <f t="shared" si="7"/>
        <v>661</v>
      </c>
      <c r="N102" s="22" t="str">
        <f t="shared" si="8"/>
        <v>Low Value</v>
      </c>
      <c r="O102" s="22" t="str">
        <f t="shared" si="9"/>
        <v>Jan-2025</v>
      </c>
      <c r="P102" s="22" t="s">
        <v>1650</v>
      </c>
      <c r="Q102" s="22" t="s">
        <v>1560</v>
      </c>
      <c r="R102" s="22" t="s">
        <v>1149</v>
      </c>
      <c r="S102" s="22"/>
      <c r="T102" s="22"/>
      <c r="V102" s="26" t="s">
        <v>1931</v>
      </c>
      <c r="W102" s="6">
        <v>4</v>
      </c>
    </row>
    <row r="103" spans="1:23">
      <c r="A103" t="s">
        <v>2037</v>
      </c>
      <c r="B103" s="8">
        <v>45453</v>
      </c>
      <c r="C103" t="s">
        <v>301</v>
      </c>
      <c r="D103" t="s">
        <v>1624</v>
      </c>
      <c r="E103" t="s">
        <v>1904</v>
      </c>
      <c r="F103">
        <v>3</v>
      </c>
      <c r="G103" s="10">
        <v>359.56</v>
      </c>
      <c r="H103" s="13">
        <v>0.17</v>
      </c>
      <c r="I103" t="s">
        <v>1933</v>
      </c>
      <c r="J103" s="16">
        <v>895.30439999999999</v>
      </c>
      <c r="K103" s="19">
        <f t="shared" si="5"/>
        <v>2072034.545200001</v>
      </c>
      <c r="L103" s="22">
        <f t="shared" si="6"/>
        <v>1091.1187705107957</v>
      </c>
      <c r="M103" s="22">
        <f t="shared" si="7"/>
        <v>661</v>
      </c>
      <c r="N103" s="22" t="str">
        <f t="shared" si="8"/>
        <v>Low Value</v>
      </c>
      <c r="O103" s="22" t="str">
        <f t="shared" si="9"/>
        <v>Jun-2024</v>
      </c>
      <c r="P103" s="22" t="s">
        <v>1625</v>
      </c>
      <c r="Q103" s="22" t="s">
        <v>1536</v>
      </c>
      <c r="R103" s="22" t="s">
        <v>302</v>
      </c>
      <c r="S103" s="22"/>
      <c r="T103" s="22"/>
      <c r="V103" s="26" t="s">
        <v>1933</v>
      </c>
      <c r="W103" s="6">
        <v>4</v>
      </c>
    </row>
    <row r="104" spans="1:23">
      <c r="A104" t="s">
        <v>2038</v>
      </c>
      <c r="B104" s="8">
        <v>45552</v>
      </c>
      <c r="C104" t="s">
        <v>342</v>
      </c>
      <c r="D104" t="s">
        <v>1795</v>
      </c>
      <c r="E104" t="s">
        <v>1901</v>
      </c>
      <c r="F104">
        <v>2</v>
      </c>
      <c r="G104" s="10">
        <v>471.88</v>
      </c>
      <c r="H104" s="13">
        <v>0.24</v>
      </c>
      <c r="I104" t="s">
        <v>1933</v>
      </c>
      <c r="J104" s="16">
        <v>717.25760000000002</v>
      </c>
      <c r="K104" s="19">
        <f t="shared" si="5"/>
        <v>2071139.240800001</v>
      </c>
      <c r="L104" s="22">
        <f t="shared" si="6"/>
        <v>1091.2219393045316</v>
      </c>
      <c r="M104" s="22">
        <f t="shared" si="7"/>
        <v>660</v>
      </c>
      <c r="N104" s="22" t="str">
        <f t="shared" si="8"/>
        <v>Low Value</v>
      </c>
      <c r="O104" s="22" t="str">
        <f t="shared" si="9"/>
        <v>Sep-2024</v>
      </c>
      <c r="P104" s="22" t="s">
        <v>1796</v>
      </c>
      <c r="Q104" s="22" t="s">
        <v>1560</v>
      </c>
      <c r="R104" s="22" t="s">
        <v>343</v>
      </c>
      <c r="S104" s="22"/>
      <c r="T104" s="22"/>
      <c r="V104" s="25" t="s">
        <v>639</v>
      </c>
      <c r="W104" s="6">
        <v>7</v>
      </c>
    </row>
    <row r="105" spans="1:23">
      <c r="A105" t="s">
        <v>2039</v>
      </c>
      <c r="B105" s="8">
        <v>45907</v>
      </c>
      <c r="C105" t="s">
        <v>599</v>
      </c>
      <c r="D105" t="s">
        <v>1652</v>
      </c>
      <c r="E105" t="s">
        <v>1876</v>
      </c>
      <c r="F105">
        <v>4</v>
      </c>
      <c r="G105" s="10">
        <v>925.19</v>
      </c>
      <c r="H105" s="13">
        <v>0.19</v>
      </c>
      <c r="I105" t="s">
        <v>1933</v>
      </c>
      <c r="J105" s="16">
        <v>2997.615600000001</v>
      </c>
      <c r="K105" s="19">
        <f t="shared" si="5"/>
        <v>2070421.9832000011</v>
      </c>
      <c r="L105" s="22">
        <f t="shared" si="6"/>
        <v>1091.4190739061683</v>
      </c>
      <c r="M105" s="22">
        <f t="shared" si="7"/>
        <v>659</v>
      </c>
      <c r="N105" s="22" t="str">
        <f t="shared" si="8"/>
        <v>High Value</v>
      </c>
      <c r="O105" s="22" t="str">
        <f t="shared" si="9"/>
        <v>Sep-2025</v>
      </c>
      <c r="P105" s="22" t="s">
        <v>1653</v>
      </c>
      <c r="Q105" s="22" t="s">
        <v>1531</v>
      </c>
      <c r="R105" s="22" t="s">
        <v>600</v>
      </c>
      <c r="S105" s="22"/>
      <c r="T105" s="22"/>
      <c r="V105" s="26" t="s">
        <v>1936</v>
      </c>
      <c r="W105" s="6">
        <v>4</v>
      </c>
    </row>
    <row r="106" spans="1:23">
      <c r="A106" t="s">
        <v>2040</v>
      </c>
      <c r="B106" s="8">
        <v>45330</v>
      </c>
      <c r="C106" t="s">
        <v>121</v>
      </c>
      <c r="D106" t="s">
        <v>1813</v>
      </c>
      <c r="E106" t="s">
        <v>1899</v>
      </c>
      <c r="F106">
        <v>2</v>
      </c>
      <c r="G106" s="10">
        <v>879.63</v>
      </c>
      <c r="H106" s="13">
        <v>7.0000000000000007E-2</v>
      </c>
      <c r="I106" t="s">
        <v>1936</v>
      </c>
      <c r="J106" s="16">
        <v>1636.1117999999999</v>
      </c>
      <c r="K106" s="19">
        <f t="shared" si="5"/>
        <v>2067424.3676000009</v>
      </c>
      <c r="L106" s="22">
        <f t="shared" si="6"/>
        <v>1090.4136959915618</v>
      </c>
      <c r="M106" s="22">
        <f t="shared" si="7"/>
        <v>658</v>
      </c>
      <c r="N106" s="22" t="str">
        <f t="shared" si="8"/>
        <v>High Value</v>
      </c>
      <c r="O106" s="22" t="str">
        <f t="shared" si="9"/>
        <v>Feb-2024</v>
      </c>
      <c r="P106" s="22" t="s">
        <v>1814</v>
      </c>
      <c r="Q106" s="22" t="s">
        <v>1560</v>
      </c>
      <c r="R106" s="22" t="s">
        <v>122</v>
      </c>
      <c r="S106" s="22"/>
      <c r="T106" s="22"/>
      <c r="V106" s="26" t="s">
        <v>1933</v>
      </c>
      <c r="W106" s="6">
        <v>3</v>
      </c>
    </row>
    <row r="107" spans="1:23">
      <c r="A107" t="s">
        <v>2041</v>
      </c>
      <c r="B107" s="8">
        <v>45214</v>
      </c>
      <c r="C107" t="s">
        <v>19</v>
      </c>
      <c r="D107" t="s">
        <v>1792</v>
      </c>
      <c r="E107" t="s">
        <v>1914</v>
      </c>
      <c r="F107">
        <v>2</v>
      </c>
      <c r="G107" s="10">
        <v>418.23</v>
      </c>
      <c r="H107" s="13">
        <v>0.28000000000000003</v>
      </c>
      <c r="I107" t="s">
        <v>1931</v>
      </c>
      <c r="J107" s="16">
        <v>602.25120000000004</v>
      </c>
      <c r="K107" s="19">
        <f t="shared" si="5"/>
        <v>2065788.2558000009</v>
      </c>
      <c r="L107" s="22">
        <f t="shared" si="6"/>
        <v>1090.1257286543539</v>
      </c>
      <c r="M107" s="22">
        <f t="shared" si="7"/>
        <v>658</v>
      </c>
      <c r="N107" s="22" t="str">
        <f t="shared" si="8"/>
        <v>Low Value</v>
      </c>
      <c r="O107" s="22" t="str">
        <f t="shared" si="9"/>
        <v>Oct-2023</v>
      </c>
      <c r="P107" s="22" t="s">
        <v>1793</v>
      </c>
      <c r="Q107" s="22" t="s">
        <v>1560</v>
      </c>
      <c r="R107" s="22" t="s">
        <v>3940</v>
      </c>
      <c r="S107" s="22"/>
      <c r="T107" s="22"/>
      <c r="V107" s="25" t="s">
        <v>726</v>
      </c>
      <c r="W107" s="6">
        <v>5</v>
      </c>
    </row>
    <row r="108" spans="1:23">
      <c r="A108" t="s">
        <v>2042</v>
      </c>
      <c r="B108" s="8">
        <v>45891</v>
      </c>
      <c r="C108" t="s">
        <v>857</v>
      </c>
      <c r="D108" t="s">
        <v>1603</v>
      </c>
      <c r="E108" t="s">
        <v>1917</v>
      </c>
      <c r="F108">
        <v>3</v>
      </c>
      <c r="G108" s="10">
        <v>551.72</v>
      </c>
      <c r="H108" s="13">
        <v>0.03</v>
      </c>
      <c r="I108" t="s">
        <v>1936</v>
      </c>
      <c r="J108" s="16">
        <v>1605.5052000000001</v>
      </c>
      <c r="K108" s="19">
        <f t="shared" si="5"/>
        <v>2065186.004600001</v>
      </c>
      <c r="L108" s="22">
        <f t="shared" si="6"/>
        <v>1090.3833181626194</v>
      </c>
      <c r="M108" s="22">
        <f t="shared" si="7"/>
        <v>658</v>
      </c>
      <c r="N108" s="22" t="str">
        <f t="shared" si="8"/>
        <v>High Value</v>
      </c>
      <c r="O108" s="22" t="str">
        <f t="shared" si="9"/>
        <v>Aug-2025</v>
      </c>
      <c r="P108" s="22" t="s">
        <v>1604</v>
      </c>
      <c r="Q108" s="22" t="s">
        <v>1569</v>
      </c>
      <c r="R108" s="22" t="s">
        <v>858</v>
      </c>
      <c r="S108" s="22"/>
      <c r="T108" s="22"/>
      <c r="V108" s="26" t="s">
        <v>1931</v>
      </c>
      <c r="W108" s="6">
        <v>4</v>
      </c>
    </row>
    <row r="109" spans="1:23">
      <c r="A109" t="s">
        <v>2043</v>
      </c>
      <c r="B109" s="8">
        <v>45323</v>
      </c>
      <c r="C109" t="s">
        <v>1058</v>
      </c>
      <c r="D109" t="s">
        <v>1813</v>
      </c>
      <c r="E109" t="s">
        <v>1886</v>
      </c>
      <c r="F109">
        <v>4</v>
      </c>
      <c r="G109" s="10">
        <v>525.61</v>
      </c>
      <c r="H109" s="13">
        <v>0.02</v>
      </c>
      <c r="I109" t="s">
        <v>1933</v>
      </c>
      <c r="J109" s="16">
        <v>2060.3912</v>
      </c>
      <c r="K109" s="19">
        <f t="shared" si="5"/>
        <v>2063580.4994000013</v>
      </c>
      <c r="L109" s="22">
        <f t="shared" si="6"/>
        <v>1090.1111988378243</v>
      </c>
      <c r="M109" s="22">
        <f t="shared" si="7"/>
        <v>658</v>
      </c>
      <c r="N109" s="22" t="str">
        <f t="shared" si="8"/>
        <v>High Value</v>
      </c>
      <c r="O109" s="22" t="str">
        <f t="shared" si="9"/>
        <v>Feb-2024</v>
      </c>
      <c r="P109" s="22" t="s">
        <v>1814</v>
      </c>
      <c r="Q109" s="22" t="s">
        <v>1560</v>
      </c>
      <c r="R109" s="22" t="s">
        <v>1059</v>
      </c>
      <c r="S109" s="22"/>
      <c r="T109" s="22"/>
      <c r="V109" s="26" t="s">
        <v>1933</v>
      </c>
      <c r="W109" s="6">
        <v>1</v>
      </c>
    </row>
    <row r="110" spans="1:23">
      <c r="A110" t="s">
        <v>2044</v>
      </c>
      <c r="B110" s="8">
        <v>45785</v>
      </c>
      <c r="C110" t="s">
        <v>159</v>
      </c>
      <c r="D110" t="s">
        <v>1614</v>
      </c>
      <c r="E110" t="s">
        <v>1904</v>
      </c>
      <c r="F110">
        <v>3</v>
      </c>
      <c r="G110" s="10">
        <v>815.3</v>
      </c>
      <c r="H110" s="13">
        <v>0.03</v>
      </c>
      <c r="I110" t="s">
        <v>1931</v>
      </c>
      <c r="J110" s="16">
        <v>2372.5230000000001</v>
      </c>
      <c r="K110" s="19">
        <f t="shared" si="5"/>
        <v>2061520.1082000011</v>
      </c>
      <c r="L110" s="22">
        <f t="shared" si="6"/>
        <v>1089.5983658562373</v>
      </c>
      <c r="M110" s="22">
        <f t="shared" si="7"/>
        <v>657</v>
      </c>
      <c r="N110" s="22" t="str">
        <f t="shared" si="8"/>
        <v>High Value</v>
      </c>
      <c r="O110" s="22" t="str">
        <f t="shared" si="9"/>
        <v>May-2025</v>
      </c>
      <c r="P110" s="22" t="s">
        <v>1615</v>
      </c>
      <c r="Q110" s="22" t="s">
        <v>1569</v>
      </c>
      <c r="R110" s="22" t="s">
        <v>160</v>
      </c>
      <c r="S110" s="22"/>
      <c r="T110" s="22"/>
      <c r="V110" s="25" t="s">
        <v>401</v>
      </c>
      <c r="W110" s="6">
        <v>10</v>
      </c>
    </row>
    <row r="111" spans="1:23">
      <c r="A111" t="s">
        <v>2045</v>
      </c>
      <c r="B111" s="8">
        <v>45738</v>
      </c>
      <c r="C111" t="s">
        <v>694</v>
      </c>
      <c r="D111" t="s">
        <v>1828</v>
      </c>
      <c r="E111" t="s">
        <v>1859</v>
      </c>
      <c r="F111">
        <v>3</v>
      </c>
      <c r="G111" s="10">
        <v>376.46</v>
      </c>
      <c r="H111" s="13">
        <v>0.09</v>
      </c>
      <c r="I111" t="s">
        <v>1936</v>
      </c>
      <c r="J111" s="16">
        <v>1027.7357999999999</v>
      </c>
      <c r="K111" s="19">
        <f t="shared" si="5"/>
        <v>2059147.585200001</v>
      </c>
      <c r="L111" s="22">
        <f t="shared" si="6"/>
        <v>1088.9199287149661</v>
      </c>
      <c r="M111" s="22">
        <f t="shared" si="7"/>
        <v>657</v>
      </c>
      <c r="N111" s="22" t="str">
        <f t="shared" si="8"/>
        <v>High Value</v>
      </c>
      <c r="O111" s="22" t="str">
        <f t="shared" si="9"/>
        <v>Mar-2025</v>
      </c>
      <c r="P111" s="22" t="s">
        <v>1829</v>
      </c>
      <c r="Q111" s="22" t="s">
        <v>1536</v>
      </c>
      <c r="R111" s="22" t="s">
        <v>695</v>
      </c>
      <c r="S111" s="22"/>
      <c r="T111" s="22"/>
      <c r="V111" s="26" t="s">
        <v>1936</v>
      </c>
      <c r="W111" s="6">
        <v>5</v>
      </c>
    </row>
    <row r="112" spans="1:23">
      <c r="A112" t="s">
        <v>2046</v>
      </c>
      <c r="B112" s="8">
        <v>45851</v>
      </c>
      <c r="C112" t="s">
        <v>39</v>
      </c>
      <c r="D112" t="s">
        <v>1678</v>
      </c>
      <c r="E112" t="s">
        <v>1889</v>
      </c>
      <c r="F112">
        <v>4</v>
      </c>
      <c r="G112" s="10">
        <v>239.83</v>
      </c>
      <c r="H112" s="13">
        <v>0.08</v>
      </c>
      <c r="I112" t="s">
        <v>1931</v>
      </c>
      <c r="J112" s="16">
        <v>882.57440000000008</v>
      </c>
      <c r="K112" s="19">
        <f t="shared" si="5"/>
        <v>2058119.8494000009</v>
      </c>
      <c r="L112" s="22">
        <f t="shared" si="6"/>
        <v>1088.9523012698417</v>
      </c>
      <c r="M112" s="22">
        <f t="shared" si="7"/>
        <v>657</v>
      </c>
      <c r="N112" s="22" t="str">
        <f t="shared" si="8"/>
        <v>Low Value</v>
      </c>
      <c r="O112" s="22" t="str">
        <f t="shared" si="9"/>
        <v>Jul-2025</v>
      </c>
      <c r="P112" s="22" t="s">
        <v>1679</v>
      </c>
      <c r="Q112" s="22" t="s">
        <v>1531</v>
      </c>
      <c r="R112" s="22" t="s">
        <v>40</v>
      </c>
      <c r="S112" s="22"/>
      <c r="T112" s="22"/>
      <c r="V112" s="26" t="s">
        <v>1931</v>
      </c>
      <c r="W112" s="6">
        <v>2</v>
      </c>
    </row>
    <row r="113" spans="1:23">
      <c r="A113" t="s">
        <v>2047</v>
      </c>
      <c r="B113" s="8">
        <v>45798</v>
      </c>
      <c r="C113" t="s">
        <v>409</v>
      </c>
      <c r="D113" t="s">
        <v>1825</v>
      </c>
      <c r="E113" t="s">
        <v>1873</v>
      </c>
      <c r="F113">
        <v>2</v>
      </c>
      <c r="G113" s="10">
        <v>845.71</v>
      </c>
      <c r="H113" s="13">
        <v>0.01</v>
      </c>
      <c r="I113" t="s">
        <v>1933</v>
      </c>
      <c r="J113" s="16">
        <v>1674.5057999999999</v>
      </c>
      <c r="K113" s="19">
        <f t="shared" si="5"/>
        <v>2057237.2750000011</v>
      </c>
      <c r="L113" s="22">
        <f t="shared" si="6"/>
        <v>1089.0615537321339</v>
      </c>
      <c r="M113" s="22">
        <f t="shared" si="7"/>
        <v>657</v>
      </c>
      <c r="N113" s="22" t="str">
        <f t="shared" si="8"/>
        <v>High Value</v>
      </c>
      <c r="O113" s="22" t="str">
        <f t="shared" si="9"/>
        <v>May-2025</v>
      </c>
      <c r="P113" s="22" t="s">
        <v>1826</v>
      </c>
      <c r="Q113" s="22" t="s">
        <v>1531</v>
      </c>
      <c r="R113" s="22" t="s">
        <v>410</v>
      </c>
      <c r="S113" s="22"/>
      <c r="T113" s="22"/>
      <c r="V113" s="26" t="s">
        <v>1933</v>
      </c>
      <c r="W113" s="6">
        <v>3</v>
      </c>
    </row>
    <row r="114" spans="1:23">
      <c r="A114" t="s">
        <v>2048</v>
      </c>
      <c r="B114" s="8">
        <v>45705</v>
      </c>
      <c r="C114" t="s">
        <v>310</v>
      </c>
      <c r="D114" t="s">
        <v>1783</v>
      </c>
      <c r="E114" t="s">
        <v>1904</v>
      </c>
      <c r="F114">
        <v>3</v>
      </c>
      <c r="G114" s="10">
        <v>948.69</v>
      </c>
      <c r="H114" s="13">
        <v>0.28999999999999998</v>
      </c>
      <c r="I114" t="s">
        <v>1931</v>
      </c>
      <c r="J114" s="16">
        <v>2020.7097000000001</v>
      </c>
      <c r="K114" s="19">
        <f t="shared" si="5"/>
        <v>2055562.7692000009</v>
      </c>
      <c r="L114" s="22">
        <f t="shared" si="6"/>
        <v>1088.7514667372886</v>
      </c>
      <c r="M114" s="22">
        <f t="shared" si="7"/>
        <v>656</v>
      </c>
      <c r="N114" s="22" t="str">
        <f t="shared" si="8"/>
        <v>High Value</v>
      </c>
      <c r="O114" s="22" t="str">
        <f t="shared" si="9"/>
        <v>Feb-2025</v>
      </c>
      <c r="P114" s="22" t="s">
        <v>1784</v>
      </c>
      <c r="Q114" s="22" t="s">
        <v>1531</v>
      </c>
      <c r="R114" s="22" t="s">
        <v>3947</v>
      </c>
      <c r="S114" s="22"/>
      <c r="T114" s="22"/>
      <c r="V114" s="25" t="s">
        <v>683</v>
      </c>
      <c r="W114" s="6">
        <v>15</v>
      </c>
    </row>
    <row r="115" spans="1:23">
      <c r="A115" t="s">
        <v>2049</v>
      </c>
      <c r="B115" s="8">
        <v>45413</v>
      </c>
      <c r="C115" t="s">
        <v>1430</v>
      </c>
      <c r="D115" t="s">
        <v>1630</v>
      </c>
      <c r="E115" t="s">
        <v>1896</v>
      </c>
      <c r="F115">
        <v>1</v>
      </c>
      <c r="G115" s="10">
        <v>281.97000000000003</v>
      </c>
      <c r="H115" s="13">
        <v>0.2</v>
      </c>
      <c r="I115" t="s">
        <v>1933</v>
      </c>
      <c r="J115" s="16">
        <v>225.57599999999999</v>
      </c>
      <c r="K115" s="19">
        <f t="shared" si="5"/>
        <v>2053542.0595000009</v>
      </c>
      <c r="L115" s="22">
        <f t="shared" si="6"/>
        <v>1088.2575832008483</v>
      </c>
      <c r="M115" s="22">
        <f t="shared" si="7"/>
        <v>656</v>
      </c>
      <c r="N115" s="22" t="str">
        <f t="shared" si="8"/>
        <v>Low Value</v>
      </c>
      <c r="O115" s="22" t="str">
        <f t="shared" si="9"/>
        <v>May-2024</v>
      </c>
      <c r="P115" s="22" t="s">
        <v>1631</v>
      </c>
      <c r="Q115" s="22" t="s">
        <v>1560</v>
      </c>
      <c r="R115" s="22" t="s">
        <v>1431</v>
      </c>
      <c r="S115" s="22"/>
      <c r="T115" s="22"/>
      <c r="V115" s="26" t="s">
        <v>1936</v>
      </c>
      <c r="W115" s="6">
        <v>8</v>
      </c>
    </row>
    <row r="116" spans="1:23">
      <c r="A116" t="s">
        <v>2050</v>
      </c>
      <c r="B116" s="8">
        <v>45482</v>
      </c>
      <c r="C116" t="s">
        <v>509</v>
      </c>
      <c r="D116" t="s">
        <v>1828</v>
      </c>
      <c r="E116" t="s">
        <v>1876</v>
      </c>
      <c r="F116">
        <v>2</v>
      </c>
      <c r="G116" s="10">
        <v>731.01</v>
      </c>
      <c r="H116" s="13">
        <v>0.05</v>
      </c>
      <c r="I116" t="s">
        <v>1933</v>
      </c>
      <c r="J116" s="16">
        <v>1388.9190000000001</v>
      </c>
      <c r="K116" s="19">
        <f t="shared" si="5"/>
        <v>2053316.4835000008</v>
      </c>
      <c r="L116" s="22">
        <f t="shared" si="6"/>
        <v>1088.714996553553</v>
      </c>
      <c r="M116" s="22">
        <f t="shared" si="7"/>
        <v>655</v>
      </c>
      <c r="N116" s="22" t="str">
        <f t="shared" si="8"/>
        <v>High Value</v>
      </c>
      <c r="O116" s="22" t="str">
        <f t="shared" si="9"/>
        <v>Jul-2024</v>
      </c>
      <c r="P116" s="22" t="s">
        <v>1829</v>
      </c>
      <c r="Q116" s="22" t="s">
        <v>1536</v>
      </c>
      <c r="R116" s="22" t="s">
        <v>510</v>
      </c>
      <c r="S116" s="22"/>
      <c r="T116" s="22"/>
      <c r="V116" s="26" t="s">
        <v>1931</v>
      </c>
      <c r="W116" s="6">
        <v>2</v>
      </c>
    </row>
    <row r="117" spans="1:23">
      <c r="A117" t="s">
        <v>2051</v>
      </c>
      <c r="B117" s="8">
        <v>45925</v>
      </c>
      <c r="C117" t="s">
        <v>821</v>
      </c>
      <c r="D117" t="s">
        <v>1810</v>
      </c>
      <c r="E117" t="s">
        <v>1886</v>
      </c>
      <c r="F117">
        <v>4</v>
      </c>
      <c r="G117" s="10">
        <v>930.85</v>
      </c>
      <c r="H117" s="13">
        <v>0.13</v>
      </c>
      <c r="I117" t="s">
        <v>1933</v>
      </c>
      <c r="J117" s="16">
        <v>3239.3580000000002</v>
      </c>
      <c r="K117" s="19">
        <f t="shared" si="5"/>
        <v>2051927.5645000008</v>
      </c>
      <c r="L117" s="22">
        <f t="shared" si="6"/>
        <v>1088.5557371352788</v>
      </c>
      <c r="M117" s="22">
        <f t="shared" si="7"/>
        <v>654</v>
      </c>
      <c r="N117" s="22" t="str">
        <f t="shared" si="8"/>
        <v>High Value</v>
      </c>
      <c r="O117" s="22" t="str">
        <f t="shared" si="9"/>
        <v>Sep-2025</v>
      </c>
      <c r="P117" s="22" t="s">
        <v>1811</v>
      </c>
      <c r="Q117" s="22" t="s">
        <v>1536</v>
      </c>
      <c r="R117" s="22" t="s">
        <v>822</v>
      </c>
      <c r="S117" s="22"/>
      <c r="T117" s="22"/>
      <c r="V117" s="26" t="s">
        <v>1933</v>
      </c>
      <c r="W117" s="6">
        <v>5</v>
      </c>
    </row>
    <row r="118" spans="1:23">
      <c r="A118" t="s">
        <v>2052</v>
      </c>
      <c r="B118" s="8">
        <v>45420</v>
      </c>
      <c r="C118" t="s">
        <v>1294</v>
      </c>
      <c r="D118" t="s">
        <v>2033</v>
      </c>
      <c r="E118" t="s">
        <v>1889</v>
      </c>
      <c r="F118">
        <v>4</v>
      </c>
      <c r="G118" s="10">
        <v>770.77</v>
      </c>
      <c r="H118" s="13">
        <v>0.22</v>
      </c>
      <c r="I118" t="s">
        <v>1931</v>
      </c>
      <c r="J118" s="16">
        <v>2404.8024</v>
      </c>
      <c r="K118" s="19">
        <f t="shared" si="5"/>
        <v>2048688.2065000006</v>
      </c>
      <c r="L118" s="22">
        <f t="shared" si="6"/>
        <v>1087.4141223460724</v>
      </c>
      <c r="M118" s="22">
        <f t="shared" si="7"/>
        <v>653</v>
      </c>
      <c r="N118" s="22" t="str">
        <f t="shared" si="8"/>
        <v>High Value</v>
      </c>
      <c r="O118" s="22" t="str">
        <f t="shared" si="9"/>
        <v>May-2024</v>
      </c>
      <c r="P118" s="22" t="s">
        <v>1543</v>
      </c>
      <c r="Q118" s="22" t="s">
        <v>1536</v>
      </c>
      <c r="R118" s="22" t="s">
        <v>1295</v>
      </c>
      <c r="S118" s="22"/>
      <c r="T118" s="22"/>
      <c r="V118" s="25" t="s">
        <v>890</v>
      </c>
      <c r="W118" s="6">
        <v>10</v>
      </c>
    </row>
    <row r="119" spans="1:23">
      <c r="A119" t="s">
        <v>2053</v>
      </c>
      <c r="B119" s="8">
        <v>45554</v>
      </c>
      <c r="C119" t="s">
        <v>244</v>
      </c>
      <c r="D119" t="s">
        <v>1690</v>
      </c>
      <c r="E119" t="s">
        <v>1876</v>
      </c>
      <c r="F119">
        <v>3</v>
      </c>
      <c r="G119" s="10">
        <v>479.63</v>
      </c>
      <c r="H119" s="13">
        <v>0.3</v>
      </c>
      <c r="I119" t="s">
        <v>1933</v>
      </c>
      <c r="J119" s="16">
        <v>1007.223</v>
      </c>
      <c r="K119" s="19">
        <f t="shared" si="5"/>
        <v>2046283.4041000006</v>
      </c>
      <c r="L119" s="22">
        <f t="shared" si="6"/>
        <v>1086.7145003186408</v>
      </c>
      <c r="M119" s="22">
        <f t="shared" si="7"/>
        <v>653</v>
      </c>
      <c r="N119" s="22" t="str">
        <f t="shared" si="8"/>
        <v>High Value</v>
      </c>
      <c r="O119" s="22" t="str">
        <f t="shared" si="9"/>
        <v>Sep-2024</v>
      </c>
      <c r="P119" s="22" t="s">
        <v>1691</v>
      </c>
      <c r="Q119" s="22" t="s">
        <v>1536</v>
      </c>
      <c r="R119" s="22" t="s">
        <v>245</v>
      </c>
      <c r="S119" s="22"/>
      <c r="T119" s="22"/>
      <c r="V119" s="26" t="s">
        <v>1936</v>
      </c>
      <c r="W119" s="6">
        <v>6</v>
      </c>
    </row>
    <row r="120" spans="1:23">
      <c r="A120" t="s">
        <v>2054</v>
      </c>
      <c r="B120" s="8">
        <v>45405</v>
      </c>
      <c r="C120" t="s">
        <v>367</v>
      </c>
      <c r="D120" t="s">
        <v>1668</v>
      </c>
      <c r="E120" t="s">
        <v>1899</v>
      </c>
      <c r="F120">
        <v>1</v>
      </c>
      <c r="G120" s="10">
        <v>165</v>
      </c>
      <c r="H120" s="13">
        <v>0.3</v>
      </c>
      <c r="I120" t="s">
        <v>1936</v>
      </c>
      <c r="J120" s="16">
        <v>115.5</v>
      </c>
      <c r="K120" s="19">
        <f t="shared" si="5"/>
        <v>2045276.1811000006</v>
      </c>
      <c r="L120" s="22">
        <f t="shared" si="6"/>
        <v>1086.7567380977687</v>
      </c>
      <c r="M120" s="22">
        <f t="shared" si="7"/>
        <v>652</v>
      </c>
      <c r="N120" s="22" t="str">
        <f t="shared" si="8"/>
        <v>Low Value</v>
      </c>
      <c r="O120" s="22" t="str">
        <f t="shared" si="9"/>
        <v>Apr-2024</v>
      </c>
      <c r="P120" s="22" t="s">
        <v>1669</v>
      </c>
      <c r="Q120" s="22" t="s">
        <v>1531</v>
      </c>
      <c r="R120" s="22" t="s">
        <v>368</v>
      </c>
      <c r="S120" s="22"/>
      <c r="T120" s="22"/>
      <c r="V120" s="26" t="s">
        <v>1931</v>
      </c>
      <c r="W120" s="6">
        <v>4</v>
      </c>
    </row>
    <row r="121" spans="1:23">
      <c r="A121" t="s">
        <v>2055</v>
      </c>
      <c r="B121" s="8">
        <v>45503</v>
      </c>
      <c r="C121" t="s">
        <v>527</v>
      </c>
      <c r="D121" t="s">
        <v>1603</v>
      </c>
      <c r="E121" t="s">
        <v>1889</v>
      </c>
      <c r="F121">
        <v>2</v>
      </c>
      <c r="G121" s="10">
        <v>151.51</v>
      </c>
      <c r="H121" s="13">
        <v>0.28999999999999998</v>
      </c>
      <c r="I121" t="s">
        <v>1936</v>
      </c>
      <c r="J121" s="16">
        <v>215.14420000000001</v>
      </c>
      <c r="K121" s="19">
        <f t="shared" si="5"/>
        <v>2045160.6811000006</v>
      </c>
      <c r="L121" s="22">
        <f t="shared" si="6"/>
        <v>1087.2730893673581</v>
      </c>
      <c r="M121" s="22">
        <f t="shared" si="7"/>
        <v>652</v>
      </c>
      <c r="N121" s="22" t="str">
        <f t="shared" si="8"/>
        <v>Low Value</v>
      </c>
      <c r="O121" s="22" t="str">
        <f t="shared" si="9"/>
        <v>Jul-2024</v>
      </c>
      <c r="P121" s="22" t="s">
        <v>1604</v>
      </c>
      <c r="Q121" s="22" t="s">
        <v>1569</v>
      </c>
      <c r="R121" s="22" t="s">
        <v>528</v>
      </c>
      <c r="S121" s="22"/>
      <c r="T121" s="22"/>
      <c r="V121" s="25" t="s">
        <v>555</v>
      </c>
      <c r="W121" s="6">
        <v>6</v>
      </c>
    </row>
    <row r="122" spans="1:23">
      <c r="A122" t="s">
        <v>2056</v>
      </c>
      <c r="B122" s="8">
        <v>45274</v>
      </c>
      <c r="C122" t="s">
        <v>744</v>
      </c>
      <c r="D122" t="s">
        <v>1642</v>
      </c>
      <c r="E122" t="s">
        <v>1914</v>
      </c>
      <c r="F122">
        <v>2</v>
      </c>
      <c r="G122" s="10">
        <v>872.93</v>
      </c>
      <c r="H122" s="13">
        <v>0.28999999999999998</v>
      </c>
      <c r="I122" t="s">
        <v>1936</v>
      </c>
      <c r="J122" s="16">
        <v>1239.5606</v>
      </c>
      <c r="K122" s="19">
        <f t="shared" si="5"/>
        <v>2044945.5369000006</v>
      </c>
      <c r="L122" s="22">
        <f t="shared" si="6"/>
        <v>1087.7369877127662</v>
      </c>
      <c r="M122" s="22">
        <f t="shared" si="7"/>
        <v>652</v>
      </c>
      <c r="N122" s="22" t="str">
        <f t="shared" si="8"/>
        <v>High Value</v>
      </c>
      <c r="O122" s="22" t="str">
        <f t="shared" si="9"/>
        <v>Dec-2023</v>
      </c>
      <c r="P122" s="22" t="s">
        <v>1643</v>
      </c>
      <c r="Q122" s="22" t="s">
        <v>1569</v>
      </c>
      <c r="R122" s="22" t="s">
        <v>745</v>
      </c>
      <c r="S122" s="22"/>
      <c r="T122" s="22"/>
      <c r="V122" s="26" t="s">
        <v>1936</v>
      </c>
      <c r="W122" s="6">
        <v>3</v>
      </c>
    </row>
    <row r="123" spans="1:23">
      <c r="A123" t="s">
        <v>2057</v>
      </c>
      <c r="B123" s="8">
        <v>45558</v>
      </c>
      <c r="C123" t="s">
        <v>842</v>
      </c>
      <c r="D123" t="s">
        <v>1614</v>
      </c>
      <c r="E123" t="s">
        <v>1896</v>
      </c>
      <c r="F123">
        <v>3</v>
      </c>
      <c r="G123" s="10">
        <v>432.4</v>
      </c>
      <c r="H123" s="13">
        <v>0.04</v>
      </c>
      <c r="I123" t="s">
        <v>1931</v>
      </c>
      <c r="J123" s="16">
        <v>1245.3119999999999</v>
      </c>
      <c r="K123" s="19">
        <f t="shared" si="5"/>
        <v>2043705.9763000004</v>
      </c>
      <c r="L123" s="22">
        <f t="shared" si="6"/>
        <v>1087.6561874933477</v>
      </c>
      <c r="M123" s="22">
        <f t="shared" si="7"/>
        <v>652</v>
      </c>
      <c r="N123" s="22" t="str">
        <f t="shared" si="8"/>
        <v>High Value</v>
      </c>
      <c r="O123" s="22" t="str">
        <f t="shared" si="9"/>
        <v>Sep-2024</v>
      </c>
      <c r="P123" s="22" t="s">
        <v>1615</v>
      </c>
      <c r="Q123" s="22" t="s">
        <v>1569</v>
      </c>
      <c r="R123" s="22" t="s">
        <v>843</v>
      </c>
      <c r="S123" s="22"/>
      <c r="T123" s="22"/>
      <c r="V123" s="26" t="s">
        <v>1931</v>
      </c>
      <c r="W123" s="6">
        <v>3</v>
      </c>
    </row>
    <row r="124" spans="1:23">
      <c r="A124" t="s">
        <v>2058</v>
      </c>
      <c r="B124" s="8">
        <v>45886</v>
      </c>
      <c r="C124" t="s">
        <v>1058</v>
      </c>
      <c r="D124" t="s">
        <v>1704</v>
      </c>
      <c r="E124" t="s">
        <v>1886</v>
      </c>
      <c r="F124">
        <v>2</v>
      </c>
      <c r="G124" s="10">
        <v>197.76</v>
      </c>
      <c r="H124" s="13">
        <v>0.04</v>
      </c>
      <c r="I124" t="s">
        <v>1931</v>
      </c>
      <c r="J124" s="16">
        <v>379.69920000000002</v>
      </c>
      <c r="K124" s="19">
        <f t="shared" si="5"/>
        <v>2042460.6643000005</v>
      </c>
      <c r="L124" s="22">
        <f t="shared" si="6"/>
        <v>1087.5722387113954</v>
      </c>
      <c r="M124" s="22">
        <f t="shared" si="7"/>
        <v>652</v>
      </c>
      <c r="N124" s="22" t="str">
        <f t="shared" si="8"/>
        <v>Low Value</v>
      </c>
      <c r="O124" s="22" t="str">
        <f t="shared" si="9"/>
        <v>Aug-2025</v>
      </c>
      <c r="P124" s="22" t="s">
        <v>1705</v>
      </c>
      <c r="Q124" s="22" t="s">
        <v>1569</v>
      </c>
      <c r="R124" s="22" t="s">
        <v>1059</v>
      </c>
      <c r="S124" s="22"/>
      <c r="T124" s="22"/>
      <c r="V124" s="25" t="s">
        <v>183</v>
      </c>
      <c r="W124" s="6">
        <v>8</v>
      </c>
    </row>
    <row r="125" spans="1:23">
      <c r="A125" t="s">
        <v>2059</v>
      </c>
      <c r="B125" s="8">
        <v>45674</v>
      </c>
      <c r="C125" t="s">
        <v>1456</v>
      </c>
      <c r="D125" t="s">
        <v>1672</v>
      </c>
      <c r="E125" t="s">
        <v>1868</v>
      </c>
      <c r="F125">
        <v>3</v>
      </c>
      <c r="G125" s="10">
        <v>334.6</v>
      </c>
      <c r="H125" s="13">
        <v>0.11</v>
      </c>
      <c r="I125" t="s">
        <v>1933</v>
      </c>
      <c r="J125" s="16">
        <v>893.38200000000006</v>
      </c>
      <c r="K125" s="19">
        <f t="shared" si="5"/>
        <v>2042080.9651000004</v>
      </c>
      <c r="L125" s="22">
        <f t="shared" si="6"/>
        <v>1087.9493687266918</v>
      </c>
      <c r="M125" s="22">
        <f t="shared" si="7"/>
        <v>652</v>
      </c>
      <c r="N125" s="22" t="str">
        <f t="shared" si="8"/>
        <v>Low Value</v>
      </c>
      <c r="O125" s="22" t="str">
        <f t="shared" si="9"/>
        <v>Jan-2025</v>
      </c>
      <c r="P125" s="22" t="s">
        <v>1673</v>
      </c>
      <c r="Q125" s="22" t="s">
        <v>1531</v>
      </c>
      <c r="R125" s="22" t="s">
        <v>1457</v>
      </c>
      <c r="S125" s="22"/>
      <c r="T125" s="22"/>
      <c r="V125" s="26" t="s">
        <v>1933</v>
      </c>
      <c r="W125" s="6">
        <v>8</v>
      </c>
    </row>
    <row r="126" spans="1:23">
      <c r="A126" t="s">
        <v>2060</v>
      </c>
      <c r="B126" s="8">
        <v>45777</v>
      </c>
      <c r="C126" t="s">
        <v>310</v>
      </c>
      <c r="D126" t="s">
        <v>1586</v>
      </c>
      <c r="E126" t="s">
        <v>1873</v>
      </c>
      <c r="F126">
        <v>2</v>
      </c>
      <c r="G126" s="10">
        <v>44.35</v>
      </c>
      <c r="H126" s="13">
        <v>0.2</v>
      </c>
      <c r="I126" t="s">
        <v>1936</v>
      </c>
      <c r="J126" s="16">
        <v>70.960000000000008</v>
      </c>
      <c r="K126" s="19">
        <f t="shared" si="5"/>
        <v>2041187.5831000009</v>
      </c>
      <c r="L126" s="22">
        <f t="shared" si="6"/>
        <v>1088.0530826759066</v>
      </c>
      <c r="M126" s="22">
        <f t="shared" si="7"/>
        <v>651</v>
      </c>
      <c r="N126" s="22" t="str">
        <f t="shared" si="8"/>
        <v>Low Value</v>
      </c>
      <c r="O126" s="22" t="str">
        <f t="shared" si="9"/>
        <v>Apr-2025</v>
      </c>
      <c r="P126" s="22" t="s">
        <v>1587</v>
      </c>
      <c r="Q126" s="22" t="s">
        <v>1560</v>
      </c>
      <c r="R126" s="22" t="s">
        <v>3947</v>
      </c>
      <c r="S126" s="22"/>
      <c r="T126" s="22"/>
      <c r="V126" s="25" t="s">
        <v>1392</v>
      </c>
      <c r="W126" s="6">
        <v>17</v>
      </c>
    </row>
    <row r="127" spans="1:23">
      <c r="A127" t="s">
        <v>2061</v>
      </c>
      <c r="B127" s="8">
        <v>45598</v>
      </c>
      <c r="C127" t="s">
        <v>1517</v>
      </c>
      <c r="D127" t="s">
        <v>1563</v>
      </c>
      <c r="E127" t="s">
        <v>1883</v>
      </c>
      <c r="F127">
        <v>1</v>
      </c>
      <c r="G127" s="10">
        <v>846.31</v>
      </c>
      <c r="H127" s="13">
        <v>0.05</v>
      </c>
      <c r="I127" t="s">
        <v>1933</v>
      </c>
      <c r="J127" s="16">
        <v>803.9944999999999</v>
      </c>
      <c r="K127" s="19">
        <f t="shared" si="5"/>
        <v>2041116.6231000007</v>
      </c>
      <c r="L127" s="22">
        <f t="shared" si="6"/>
        <v>1088.5955323200003</v>
      </c>
      <c r="M127" s="22">
        <f t="shared" si="7"/>
        <v>651</v>
      </c>
      <c r="N127" s="22" t="str">
        <f t="shared" si="8"/>
        <v>Low Value</v>
      </c>
      <c r="O127" s="22" t="str">
        <f t="shared" si="9"/>
        <v>Nov-2024</v>
      </c>
      <c r="P127" s="22" t="s">
        <v>1564</v>
      </c>
      <c r="Q127" s="22" t="s">
        <v>1531</v>
      </c>
      <c r="R127" s="22" t="s">
        <v>1518</v>
      </c>
      <c r="S127" s="22"/>
      <c r="T127" s="22"/>
      <c r="V127" s="26" t="s">
        <v>1931</v>
      </c>
      <c r="W127" s="6">
        <v>9</v>
      </c>
    </row>
    <row r="128" spans="1:23">
      <c r="A128" t="s">
        <v>2062</v>
      </c>
      <c r="B128" s="8">
        <v>45884</v>
      </c>
      <c r="C128" t="s">
        <v>447</v>
      </c>
      <c r="D128" t="s">
        <v>1655</v>
      </c>
      <c r="E128" t="s">
        <v>1901</v>
      </c>
      <c r="F128">
        <v>1</v>
      </c>
      <c r="G128" s="10">
        <v>996.48</v>
      </c>
      <c r="H128" s="13">
        <v>7.0000000000000007E-2</v>
      </c>
      <c r="I128" t="s">
        <v>1936</v>
      </c>
      <c r="J128" s="16">
        <v>926.7263999999999</v>
      </c>
      <c r="K128" s="19">
        <f t="shared" si="5"/>
        <v>2040312.6286000009</v>
      </c>
      <c r="L128" s="22">
        <f t="shared" si="6"/>
        <v>1088.7474005336185</v>
      </c>
      <c r="M128" s="22">
        <f t="shared" si="7"/>
        <v>650</v>
      </c>
      <c r="N128" s="22" t="str">
        <f t="shared" si="8"/>
        <v>Low Value</v>
      </c>
      <c r="O128" s="22" t="str">
        <f t="shared" si="9"/>
        <v>Aug-2025</v>
      </c>
      <c r="P128" s="22" t="s">
        <v>1656</v>
      </c>
      <c r="Q128" s="22" t="s">
        <v>1560</v>
      </c>
      <c r="R128" s="22" t="s">
        <v>448</v>
      </c>
      <c r="S128" s="22"/>
      <c r="T128" s="22"/>
      <c r="V128" s="26" t="s">
        <v>1933</v>
      </c>
      <c r="W128" s="6">
        <v>8</v>
      </c>
    </row>
    <row r="129" spans="1:23">
      <c r="A129" t="s">
        <v>2063</v>
      </c>
      <c r="B129" s="8">
        <v>45916</v>
      </c>
      <c r="C129" t="s">
        <v>880</v>
      </c>
      <c r="D129" t="s">
        <v>1834</v>
      </c>
      <c r="E129" t="s">
        <v>1883</v>
      </c>
      <c r="F129">
        <v>3</v>
      </c>
      <c r="G129" s="10">
        <v>949.19</v>
      </c>
      <c r="H129" s="13">
        <v>0.03</v>
      </c>
      <c r="I129" t="s">
        <v>1936</v>
      </c>
      <c r="J129" s="16">
        <v>2762.1428999999998</v>
      </c>
      <c r="K129" s="19">
        <f t="shared" si="5"/>
        <v>2039385.9022000008</v>
      </c>
      <c r="L129" s="22">
        <f t="shared" si="6"/>
        <v>1088.8339040042717</v>
      </c>
      <c r="M129" s="22">
        <f t="shared" si="7"/>
        <v>650</v>
      </c>
      <c r="N129" s="22" t="str">
        <f t="shared" si="8"/>
        <v>High Value</v>
      </c>
      <c r="O129" s="22" t="str">
        <f t="shared" si="9"/>
        <v>Sep-2025</v>
      </c>
      <c r="P129" s="22" t="s">
        <v>1835</v>
      </c>
      <c r="Q129" s="22" t="s">
        <v>1531</v>
      </c>
      <c r="R129" s="22" t="s">
        <v>881</v>
      </c>
      <c r="S129" s="22"/>
      <c r="T129" s="22"/>
      <c r="V129" s="25" t="s">
        <v>878</v>
      </c>
      <c r="W129" s="6">
        <v>12</v>
      </c>
    </row>
    <row r="130" spans="1:23">
      <c r="A130" t="s">
        <v>2064</v>
      </c>
      <c r="B130" s="8">
        <v>45347</v>
      </c>
      <c r="C130" t="s">
        <v>1232</v>
      </c>
      <c r="D130" t="s">
        <v>1837</v>
      </c>
      <c r="E130" t="s">
        <v>1893</v>
      </c>
      <c r="F130">
        <v>2</v>
      </c>
      <c r="G130" s="10">
        <v>724.97</v>
      </c>
      <c r="H130" s="13">
        <v>0.1</v>
      </c>
      <c r="I130" t="s">
        <v>1931</v>
      </c>
      <c r="J130" s="16">
        <v>1304.9459999999999</v>
      </c>
      <c r="K130" s="19">
        <f t="shared" ref="K130:K193" si="10">SUM(J130:J2129)</f>
        <v>2036623.759300001</v>
      </c>
      <c r="L130" s="22">
        <f t="shared" ref="L130:L193" si="11">AVERAGE(J130:J2129)</f>
        <v>1087.9400423611116</v>
      </c>
      <c r="M130" s="22">
        <f t="shared" ref="M130:M193" si="12">COUNTIF(I130:I2129,"PayPal")</f>
        <v>650</v>
      </c>
      <c r="N130" s="22" t="str">
        <f t="shared" ref="N130:N193" si="13">IF(J130&gt;=1000,"High Value","Low Value")</f>
        <v>High Value</v>
      </c>
      <c r="O130" s="22" t="str">
        <f t="shared" ref="O130:O193" si="14">TEXT(B130,"mmm-yyyy")</f>
        <v>Feb-2024</v>
      </c>
      <c r="P130" s="22" t="s">
        <v>1838</v>
      </c>
      <c r="Q130" s="22" t="s">
        <v>1555</v>
      </c>
      <c r="R130" s="22" t="s">
        <v>3957</v>
      </c>
      <c r="S130" s="22"/>
      <c r="T130" s="22"/>
      <c r="V130" s="26" t="s">
        <v>1936</v>
      </c>
      <c r="W130" s="6">
        <v>2</v>
      </c>
    </row>
    <row r="131" spans="1:23">
      <c r="A131" t="s">
        <v>2065</v>
      </c>
      <c r="B131" s="8">
        <v>45723</v>
      </c>
      <c r="C131" t="s">
        <v>990</v>
      </c>
      <c r="D131" t="s">
        <v>1534</v>
      </c>
      <c r="E131" t="s">
        <v>1911</v>
      </c>
      <c r="F131">
        <v>1</v>
      </c>
      <c r="G131" s="10">
        <v>783.25</v>
      </c>
      <c r="H131" s="13">
        <v>0.3</v>
      </c>
      <c r="I131" t="s">
        <v>1931</v>
      </c>
      <c r="J131" s="16">
        <v>548.27499999999998</v>
      </c>
      <c r="K131" s="19">
        <f t="shared" si="10"/>
        <v>2035318.813300001</v>
      </c>
      <c r="L131" s="22">
        <f t="shared" si="11"/>
        <v>1087.8240584179589</v>
      </c>
      <c r="M131" s="22">
        <f t="shared" si="12"/>
        <v>650</v>
      </c>
      <c r="N131" s="22" t="str">
        <f t="shared" si="13"/>
        <v>Low Value</v>
      </c>
      <c r="O131" s="22" t="str">
        <f t="shared" si="14"/>
        <v>Mar-2025</v>
      </c>
      <c r="P131" s="22" t="s">
        <v>1535</v>
      </c>
      <c r="Q131" s="22" t="s">
        <v>1536</v>
      </c>
      <c r="R131" s="22" t="s">
        <v>991</v>
      </c>
      <c r="S131" s="22"/>
      <c r="T131" s="22"/>
      <c r="V131" s="26" t="s">
        <v>1931</v>
      </c>
      <c r="W131" s="6">
        <v>6</v>
      </c>
    </row>
    <row r="132" spans="1:23">
      <c r="A132" t="s">
        <v>2066</v>
      </c>
      <c r="B132" s="8">
        <v>45495</v>
      </c>
      <c r="C132" t="s">
        <v>1073</v>
      </c>
      <c r="D132" t="s">
        <v>1597</v>
      </c>
      <c r="E132" t="s">
        <v>1873</v>
      </c>
      <c r="F132">
        <v>1</v>
      </c>
      <c r="G132" s="10">
        <v>942.38</v>
      </c>
      <c r="H132" s="13">
        <v>0.17</v>
      </c>
      <c r="I132" t="s">
        <v>1931</v>
      </c>
      <c r="J132" s="16">
        <v>782.17539999999997</v>
      </c>
      <c r="K132" s="19">
        <f t="shared" si="10"/>
        <v>2034770.5383000011</v>
      </c>
      <c r="L132" s="22">
        <f t="shared" si="11"/>
        <v>1088.1125873262038</v>
      </c>
      <c r="M132" s="22">
        <f t="shared" si="12"/>
        <v>650</v>
      </c>
      <c r="N132" s="22" t="str">
        <f t="shared" si="13"/>
        <v>Low Value</v>
      </c>
      <c r="O132" s="22" t="str">
        <f t="shared" si="14"/>
        <v>Jul-2024</v>
      </c>
      <c r="P132" s="22" t="s">
        <v>1598</v>
      </c>
      <c r="Q132" s="22" t="s">
        <v>1569</v>
      </c>
      <c r="R132" s="22" t="s">
        <v>1074</v>
      </c>
      <c r="S132" s="22"/>
      <c r="T132" s="22"/>
      <c r="V132" s="26" t="s">
        <v>1933</v>
      </c>
      <c r="W132" s="6">
        <v>4</v>
      </c>
    </row>
    <row r="133" spans="1:23">
      <c r="A133" t="s">
        <v>2067</v>
      </c>
      <c r="B133" s="8">
        <v>45444</v>
      </c>
      <c r="C133" t="s">
        <v>1511</v>
      </c>
      <c r="D133" t="s">
        <v>1707</v>
      </c>
      <c r="E133" t="s">
        <v>1899</v>
      </c>
      <c r="F133">
        <v>3</v>
      </c>
      <c r="G133" s="10">
        <v>298.35000000000002</v>
      </c>
      <c r="H133" s="13">
        <v>0.05</v>
      </c>
      <c r="I133" t="s">
        <v>1936</v>
      </c>
      <c r="J133" s="16">
        <v>850.29750000000001</v>
      </c>
      <c r="K133" s="19">
        <f t="shared" si="10"/>
        <v>2033988.362900001</v>
      </c>
      <c r="L133" s="22">
        <f t="shared" si="11"/>
        <v>1088.2762776350994</v>
      </c>
      <c r="M133" s="22">
        <f t="shared" si="12"/>
        <v>650</v>
      </c>
      <c r="N133" s="22" t="str">
        <f t="shared" si="13"/>
        <v>Low Value</v>
      </c>
      <c r="O133" s="22" t="str">
        <f t="shared" si="14"/>
        <v>Jun-2024</v>
      </c>
      <c r="P133" s="22" t="s">
        <v>1708</v>
      </c>
      <c r="Q133" s="22" t="s">
        <v>1531</v>
      </c>
      <c r="R133" s="22" t="s">
        <v>1512</v>
      </c>
      <c r="S133" s="22"/>
      <c r="T133" s="22"/>
      <c r="V133" s="25" t="s">
        <v>1117</v>
      </c>
      <c r="W133" s="6">
        <v>2</v>
      </c>
    </row>
    <row r="134" spans="1:23">
      <c r="A134" t="s">
        <v>2068</v>
      </c>
      <c r="B134" s="8">
        <v>45662</v>
      </c>
      <c r="C134" t="s">
        <v>545</v>
      </c>
      <c r="D134" t="s">
        <v>1697</v>
      </c>
      <c r="E134" t="s">
        <v>1901</v>
      </c>
      <c r="F134">
        <v>4</v>
      </c>
      <c r="G134" s="10">
        <v>950.04</v>
      </c>
      <c r="H134" s="13">
        <v>0.13</v>
      </c>
      <c r="I134" t="s">
        <v>1933</v>
      </c>
      <c r="J134" s="16">
        <v>3306.1392000000001</v>
      </c>
      <c r="K134" s="19">
        <f t="shared" si="10"/>
        <v>2033138.0654000009</v>
      </c>
      <c r="L134" s="22">
        <f t="shared" si="11"/>
        <v>1088.4036752676664</v>
      </c>
      <c r="M134" s="22">
        <f t="shared" si="12"/>
        <v>650</v>
      </c>
      <c r="N134" s="22" t="str">
        <f t="shared" si="13"/>
        <v>High Value</v>
      </c>
      <c r="O134" s="22" t="str">
        <f t="shared" si="14"/>
        <v>Jan-2025</v>
      </c>
      <c r="P134" s="22" t="s">
        <v>1698</v>
      </c>
      <c r="Q134" s="22" t="s">
        <v>1531</v>
      </c>
      <c r="R134" s="22" t="s">
        <v>546</v>
      </c>
      <c r="S134" s="22"/>
      <c r="T134" s="22"/>
      <c r="V134" s="26" t="s">
        <v>1933</v>
      </c>
      <c r="W134" s="6">
        <v>2</v>
      </c>
    </row>
    <row r="135" spans="1:23">
      <c r="A135" t="s">
        <v>2069</v>
      </c>
      <c r="B135" s="8">
        <v>45910</v>
      </c>
      <c r="C135" t="s">
        <v>1031</v>
      </c>
      <c r="D135" t="s">
        <v>1725</v>
      </c>
      <c r="E135" t="s">
        <v>1876</v>
      </c>
      <c r="F135">
        <v>2</v>
      </c>
      <c r="G135" s="10">
        <v>267.19</v>
      </c>
      <c r="H135" s="13">
        <v>7.0000000000000007E-2</v>
      </c>
      <c r="I135" t="s">
        <v>1931</v>
      </c>
      <c r="J135" s="16">
        <v>496.97340000000003</v>
      </c>
      <c r="K135" s="19">
        <f t="shared" si="10"/>
        <v>2029831.9262000006</v>
      </c>
      <c r="L135" s="22">
        <f t="shared" si="11"/>
        <v>1087.2158147830748</v>
      </c>
      <c r="M135" s="22">
        <f t="shared" si="12"/>
        <v>649</v>
      </c>
      <c r="N135" s="22" t="str">
        <f t="shared" si="13"/>
        <v>Low Value</v>
      </c>
      <c r="O135" s="22" t="str">
        <f t="shared" si="14"/>
        <v>Sep-2025</v>
      </c>
      <c r="P135" s="22" t="s">
        <v>1726</v>
      </c>
      <c r="Q135" s="22" t="s">
        <v>1569</v>
      </c>
      <c r="R135" s="22" t="s">
        <v>1032</v>
      </c>
      <c r="S135" s="22"/>
      <c r="T135" s="22"/>
      <c r="V135" s="25" t="s">
        <v>68</v>
      </c>
      <c r="W135" s="6">
        <v>4</v>
      </c>
    </row>
    <row r="136" spans="1:23">
      <c r="A136" t="s">
        <v>2070</v>
      </c>
      <c r="B136" s="8">
        <v>45827</v>
      </c>
      <c r="C136" t="s">
        <v>655</v>
      </c>
      <c r="D136" t="s">
        <v>1816</v>
      </c>
      <c r="E136" t="s">
        <v>1908</v>
      </c>
      <c r="F136">
        <v>4</v>
      </c>
      <c r="G136" s="10">
        <v>72.63</v>
      </c>
      <c r="H136" s="13">
        <v>0.06</v>
      </c>
      <c r="I136" t="s">
        <v>1933</v>
      </c>
      <c r="J136" s="16">
        <v>273.08879999999999</v>
      </c>
      <c r="K136" s="19">
        <f t="shared" si="10"/>
        <v>2029334.9528000006</v>
      </c>
      <c r="L136" s="22">
        <f t="shared" si="11"/>
        <v>1087.5321290460881</v>
      </c>
      <c r="M136" s="22">
        <f t="shared" si="12"/>
        <v>649</v>
      </c>
      <c r="N136" s="22" t="str">
        <f t="shared" si="13"/>
        <v>Low Value</v>
      </c>
      <c r="O136" s="22" t="str">
        <f t="shared" si="14"/>
        <v>Jun-2025</v>
      </c>
      <c r="P136" s="22" t="s">
        <v>1817</v>
      </c>
      <c r="Q136" s="22" t="s">
        <v>1560</v>
      </c>
      <c r="R136" s="22" t="s">
        <v>656</v>
      </c>
      <c r="S136" s="22"/>
      <c r="T136" s="22"/>
      <c r="V136" s="26" t="s">
        <v>1931</v>
      </c>
      <c r="W136" s="6">
        <v>3</v>
      </c>
    </row>
    <row r="137" spans="1:23">
      <c r="A137" t="s">
        <v>2071</v>
      </c>
      <c r="B137" s="8">
        <v>45544</v>
      </c>
      <c r="C137" t="s">
        <v>1316</v>
      </c>
      <c r="D137" t="s">
        <v>1713</v>
      </c>
      <c r="E137" t="s">
        <v>1880</v>
      </c>
      <c r="F137">
        <v>3</v>
      </c>
      <c r="G137" s="10">
        <v>576.52</v>
      </c>
      <c r="H137" s="13">
        <v>0.22</v>
      </c>
      <c r="I137" t="s">
        <v>1936</v>
      </c>
      <c r="J137" s="16">
        <v>1349.0568000000001</v>
      </c>
      <c r="K137" s="19">
        <f t="shared" si="10"/>
        <v>2029061.8640000005</v>
      </c>
      <c r="L137" s="22">
        <f t="shared" si="11"/>
        <v>1087.9688278820379</v>
      </c>
      <c r="M137" s="22">
        <f t="shared" si="12"/>
        <v>648</v>
      </c>
      <c r="N137" s="22" t="str">
        <f t="shared" si="13"/>
        <v>High Value</v>
      </c>
      <c r="O137" s="22" t="str">
        <f t="shared" si="14"/>
        <v>Sep-2024</v>
      </c>
      <c r="P137" s="22" t="s">
        <v>1714</v>
      </c>
      <c r="Q137" s="22" t="s">
        <v>1536</v>
      </c>
      <c r="R137" s="22" t="s">
        <v>1317</v>
      </c>
      <c r="S137" s="22"/>
      <c r="T137" s="22"/>
      <c r="V137" s="26" t="s">
        <v>1933</v>
      </c>
      <c r="W137" s="6">
        <v>1</v>
      </c>
    </row>
    <row r="138" spans="1:23">
      <c r="A138" t="s">
        <v>2072</v>
      </c>
      <c r="B138" s="8">
        <v>45751</v>
      </c>
      <c r="C138" t="s">
        <v>1090</v>
      </c>
      <c r="D138" t="s">
        <v>1768</v>
      </c>
      <c r="E138" t="s">
        <v>1893</v>
      </c>
      <c r="F138">
        <v>3</v>
      </c>
      <c r="G138" s="10">
        <v>849.36</v>
      </c>
      <c r="H138" s="13">
        <v>0.03</v>
      </c>
      <c r="I138" t="s">
        <v>1931</v>
      </c>
      <c r="J138" s="16">
        <v>2471.6376</v>
      </c>
      <c r="K138" s="19">
        <f t="shared" si="10"/>
        <v>2027712.8072000006</v>
      </c>
      <c r="L138" s="22">
        <f t="shared" si="11"/>
        <v>1087.8287592274683</v>
      </c>
      <c r="M138" s="22">
        <f t="shared" si="12"/>
        <v>648</v>
      </c>
      <c r="N138" s="22" t="str">
        <f t="shared" si="13"/>
        <v>High Value</v>
      </c>
      <c r="O138" s="22" t="str">
        <f t="shared" si="14"/>
        <v>Apr-2025</v>
      </c>
      <c r="P138" s="22" t="s">
        <v>1769</v>
      </c>
      <c r="Q138" s="22" t="s">
        <v>1555</v>
      </c>
      <c r="R138" s="22" t="s">
        <v>1091</v>
      </c>
      <c r="S138" s="22"/>
      <c r="T138" s="22"/>
      <c r="V138" s="25" t="s">
        <v>636</v>
      </c>
      <c r="W138" s="6">
        <v>5</v>
      </c>
    </row>
    <row r="139" spans="1:23">
      <c r="A139" t="s">
        <v>2073</v>
      </c>
      <c r="B139" s="8">
        <v>45392</v>
      </c>
      <c r="C139" t="s">
        <v>1448</v>
      </c>
      <c r="D139" t="s">
        <v>1704</v>
      </c>
      <c r="E139" t="s">
        <v>1883</v>
      </c>
      <c r="F139">
        <v>1</v>
      </c>
      <c r="G139" s="10">
        <v>245.85</v>
      </c>
      <c r="H139" s="13">
        <v>0.18</v>
      </c>
      <c r="I139" t="s">
        <v>1936</v>
      </c>
      <c r="J139" s="16">
        <v>201.59700000000001</v>
      </c>
      <c r="K139" s="19">
        <f t="shared" si="10"/>
        <v>2025241.1696000004</v>
      </c>
      <c r="L139" s="22">
        <f t="shared" si="11"/>
        <v>1087.0859740203973</v>
      </c>
      <c r="M139" s="22">
        <f t="shared" si="12"/>
        <v>648</v>
      </c>
      <c r="N139" s="22" t="str">
        <f t="shared" si="13"/>
        <v>Low Value</v>
      </c>
      <c r="O139" s="22" t="str">
        <f t="shared" si="14"/>
        <v>Apr-2024</v>
      </c>
      <c r="P139" s="22" t="s">
        <v>1705</v>
      </c>
      <c r="Q139" s="22" t="s">
        <v>1569</v>
      </c>
      <c r="R139" s="22" t="s">
        <v>1449</v>
      </c>
      <c r="S139" s="22"/>
      <c r="T139" s="22"/>
      <c r="V139" s="26" t="s">
        <v>1931</v>
      </c>
      <c r="W139" s="6">
        <v>2</v>
      </c>
    </row>
    <row r="140" spans="1:23">
      <c r="A140" t="s">
        <v>2074</v>
      </c>
      <c r="B140" s="8">
        <v>45589</v>
      </c>
      <c r="C140" t="s">
        <v>587</v>
      </c>
      <c r="D140" t="s">
        <v>1846</v>
      </c>
      <c r="E140" t="s">
        <v>1896</v>
      </c>
      <c r="F140">
        <v>3</v>
      </c>
      <c r="G140" s="10">
        <v>237.68</v>
      </c>
      <c r="H140" s="13">
        <v>0.1</v>
      </c>
      <c r="I140" t="s">
        <v>1936</v>
      </c>
      <c r="J140" s="16">
        <v>641.73599999999999</v>
      </c>
      <c r="K140" s="19">
        <f t="shared" si="10"/>
        <v>2025039.5726000005</v>
      </c>
      <c r="L140" s="22">
        <f t="shared" si="11"/>
        <v>1087.5615320085933</v>
      </c>
      <c r="M140" s="22">
        <f t="shared" si="12"/>
        <v>648</v>
      </c>
      <c r="N140" s="22" t="str">
        <f t="shared" si="13"/>
        <v>Low Value</v>
      </c>
      <c r="O140" s="22" t="str">
        <f t="shared" si="14"/>
        <v>Oct-2024</v>
      </c>
      <c r="P140" s="22" t="s">
        <v>1847</v>
      </c>
      <c r="Q140" s="22" t="s">
        <v>1569</v>
      </c>
      <c r="R140" s="22" t="s">
        <v>588</v>
      </c>
      <c r="S140" s="22"/>
      <c r="T140" s="22"/>
      <c r="V140" s="26" t="s">
        <v>1933</v>
      </c>
      <c r="W140" s="6">
        <v>3</v>
      </c>
    </row>
    <row r="141" spans="1:23">
      <c r="A141" t="s">
        <v>2075</v>
      </c>
      <c r="B141" s="8">
        <v>45756</v>
      </c>
      <c r="C141" t="s">
        <v>1055</v>
      </c>
      <c r="D141" t="s">
        <v>1768</v>
      </c>
      <c r="E141" t="s">
        <v>1906</v>
      </c>
      <c r="F141">
        <v>4</v>
      </c>
      <c r="G141" s="10">
        <v>715.85</v>
      </c>
      <c r="H141" s="13">
        <v>0.25</v>
      </c>
      <c r="I141" t="s">
        <v>1933</v>
      </c>
      <c r="J141" s="16">
        <v>2147.5500000000002</v>
      </c>
      <c r="K141" s="19">
        <f t="shared" si="10"/>
        <v>2024397.8366000005</v>
      </c>
      <c r="L141" s="22">
        <f t="shared" si="11"/>
        <v>1087.8010943578724</v>
      </c>
      <c r="M141" s="22">
        <f t="shared" si="12"/>
        <v>648</v>
      </c>
      <c r="N141" s="22" t="str">
        <f t="shared" si="13"/>
        <v>High Value</v>
      </c>
      <c r="O141" s="22" t="str">
        <f t="shared" si="14"/>
        <v>Apr-2025</v>
      </c>
      <c r="P141" s="22" t="s">
        <v>1769</v>
      </c>
      <c r="Q141" s="22" t="s">
        <v>1555</v>
      </c>
      <c r="R141" s="22" t="s">
        <v>1056</v>
      </c>
      <c r="S141" s="22"/>
      <c r="T141" s="22"/>
      <c r="V141" s="25" t="s">
        <v>383</v>
      </c>
      <c r="W141" s="6">
        <v>17</v>
      </c>
    </row>
    <row r="142" spans="1:23">
      <c r="A142" t="s">
        <v>2076</v>
      </c>
      <c r="B142" s="8">
        <v>45255</v>
      </c>
      <c r="C142" t="s">
        <v>565</v>
      </c>
      <c r="D142" t="s">
        <v>1825</v>
      </c>
      <c r="E142" t="s">
        <v>1880</v>
      </c>
      <c r="F142">
        <v>2</v>
      </c>
      <c r="G142" s="10">
        <v>478.85</v>
      </c>
      <c r="H142" s="13">
        <v>0.01</v>
      </c>
      <c r="I142" t="s">
        <v>1936</v>
      </c>
      <c r="J142" s="16">
        <v>948.12300000000005</v>
      </c>
      <c r="K142" s="19">
        <f t="shared" si="10"/>
        <v>2022250.2866000007</v>
      </c>
      <c r="L142" s="22">
        <f t="shared" si="11"/>
        <v>1087.2313368817208</v>
      </c>
      <c r="M142" s="22">
        <f t="shared" si="12"/>
        <v>647</v>
      </c>
      <c r="N142" s="22" t="str">
        <f t="shared" si="13"/>
        <v>Low Value</v>
      </c>
      <c r="O142" s="22" t="str">
        <f t="shared" si="14"/>
        <v>Nov-2023</v>
      </c>
      <c r="P142" s="22" t="s">
        <v>1826</v>
      </c>
      <c r="Q142" s="22" t="s">
        <v>1531</v>
      </c>
      <c r="R142" s="22" t="s">
        <v>566</v>
      </c>
      <c r="S142" s="22"/>
      <c r="T142" s="22"/>
      <c r="V142" s="26" t="s">
        <v>1936</v>
      </c>
      <c r="W142" s="6">
        <v>9</v>
      </c>
    </row>
    <row r="143" spans="1:23">
      <c r="A143" t="s">
        <v>2077</v>
      </c>
      <c r="B143" s="8">
        <v>45718</v>
      </c>
      <c r="C143" t="s">
        <v>391</v>
      </c>
      <c r="D143" t="s">
        <v>1693</v>
      </c>
      <c r="E143" t="s">
        <v>1859</v>
      </c>
      <c r="F143">
        <v>1</v>
      </c>
      <c r="G143" s="10">
        <v>503.95</v>
      </c>
      <c r="H143" s="13">
        <v>0.26</v>
      </c>
      <c r="I143" t="s">
        <v>1936</v>
      </c>
      <c r="J143" s="16">
        <v>372.923</v>
      </c>
      <c r="K143" s="19">
        <f t="shared" si="10"/>
        <v>2021302.1636000008</v>
      </c>
      <c r="L143" s="22">
        <f t="shared" si="11"/>
        <v>1087.3061665411515</v>
      </c>
      <c r="M143" s="22">
        <f t="shared" si="12"/>
        <v>647</v>
      </c>
      <c r="N143" s="22" t="str">
        <f t="shared" si="13"/>
        <v>Low Value</v>
      </c>
      <c r="O143" s="22" t="str">
        <f t="shared" si="14"/>
        <v>Mar-2025</v>
      </c>
      <c r="P143" s="22" t="s">
        <v>1694</v>
      </c>
      <c r="Q143" s="22" t="s">
        <v>1555</v>
      </c>
      <c r="R143" s="22" t="s">
        <v>392</v>
      </c>
      <c r="S143" s="22"/>
      <c r="T143" s="22"/>
      <c r="V143" s="26" t="s">
        <v>1931</v>
      </c>
      <c r="W143" s="6">
        <v>4</v>
      </c>
    </row>
    <row r="144" spans="1:23">
      <c r="A144" t="s">
        <v>2078</v>
      </c>
      <c r="B144" s="8">
        <v>45573</v>
      </c>
      <c r="C144" t="s">
        <v>1236</v>
      </c>
      <c r="D144" t="s">
        <v>1752</v>
      </c>
      <c r="E144" t="s">
        <v>1901</v>
      </c>
      <c r="F144">
        <v>2</v>
      </c>
      <c r="G144" s="10">
        <v>975.48</v>
      </c>
      <c r="H144" s="13">
        <v>0.26</v>
      </c>
      <c r="I144" t="s">
        <v>1936</v>
      </c>
      <c r="J144" s="16">
        <v>1443.7103999999999</v>
      </c>
      <c r="K144" s="19">
        <f t="shared" si="10"/>
        <v>2020929.2406000008</v>
      </c>
      <c r="L144" s="22">
        <f t="shared" si="11"/>
        <v>1087.6906569429498</v>
      </c>
      <c r="M144" s="22">
        <f t="shared" si="12"/>
        <v>647</v>
      </c>
      <c r="N144" s="22" t="str">
        <f t="shared" si="13"/>
        <v>High Value</v>
      </c>
      <c r="O144" s="22" t="str">
        <f t="shared" si="14"/>
        <v>Oct-2024</v>
      </c>
      <c r="P144" s="22" t="s">
        <v>1753</v>
      </c>
      <c r="Q144" s="22" t="s">
        <v>1555</v>
      </c>
      <c r="R144" s="22" t="s">
        <v>1237</v>
      </c>
      <c r="S144" s="22"/>
      <c r="T144" s="22"/>
      <c r="V144" s="26" t="s">
        <v>1933</v>
      </c>
      <c r="W144" s="6">
        <v>4</v>
      </c>
    </row>
    <row r="145" spans="1:23">
      <c r="A145" t="s">
        <v>2079</v>
      </c>
      <c r="B145" s="8">
        <v>45884</v>
      </c>
      <c r="C145" t="s">
        <v>1242</v>
      </c>
      <c r="D145" t="s">
        <v>1652</v>
      </c>
      <c r="E145" t="s">
        <v>1911</v>
      </c>
      <c r="F145">
        <v>4</v>
      </c>
      <c r="G145" s="10">
        <v>450.12</v>
      </c>
      <c r="H145" s="13">
        <v>0.28999999999999998</v>
      </c>
      <c r="I145" t="s">
        <v>1936</v>
      </c>
      <c r="J145" s="16">
        <v>1278.3407999999999</v>
      </c>
      <c r="K145" s="19">
        <f t="shared" si="10"/>
        <v>2019485.5302000009</v>
      </c>
      <c r="L145" s="22">
        <f t="shared" si="11"/>
        <v>1087.4989392568664</v>
      </c>
      <c r="M145" s="22">
        <f t="shared" si="12"/>
        <v>647</v>
      </c>
      <c r="N145" s="22" t="str">
        <f t="shared" si="13"/>
        <v>High Value</v>
      </c>
      <c r="O145" s="22" t="str">
        <f t="shared" si="14"/>
        <v>Aug-2025</v>
      </c>
      <c r="P145" s="22" t="s">
        <v>1653</v>
      </c>
      <c r="Q145" s="22" t="s">
        <v>1531</v>
      </c>
      <c r="R145" s="22" t="s">
        <v>1243</v>
      </c>
      <c r="S145" s="22"/>
      <c r="T145" s="22"/>
      <c r="V145" s="25" t="s">
        <v>1387</v>
      </c>
      <c r="W145" s="6">
        <v>10</v>
      </c>
    </row>
    <row r="146" spans="1:23">
      <c r="A146" t="s">
        <v>2080</v>
      </c>
      <c r="B146" s="8">
        <v>45448</v>
      </c>
      <c r="C146" t="s">
        <v>1340</v>
      </c>
      <c r="D146" t="s">
        <v>1658</v>
      </c>
      <c r="E146" t="s">
        <v>1889</v>
      </c>
      <c r="F146">
        <v>3</v>
      </c>
      <c r="G146" s="10">
        <v>237.24</v>
      </c>
      <c r="H146" s="13">
        <v>0.24</v>
      </c>
      <c r="I146" t="s">
        <v>1933</v>
      </c>
      <c r="J146" s="16">
        <v>540.90719999999999</v>
      </c>
      <c r="K146" s="19">
        <f t="shared" si="10"/>
        <v>2018207.189400001</v>
      </c>
      <c r="L146" s="22">
        <f t="shared" si="11"/>
        <v>1087.3961149784488</v>
      </c>
      <c r="M146" s="22">
        <f t="shared" si="12"/>
        <v>647</v>
      </c>
      <c r="N146" s="22" t="str">
        <f t="shared" si="13"/>
        <v>Low Value</v>
      </c>
      <c r="O146" s="22" t="str">
        <f t="shared" si="14"/>
        <v>Jun-2024</v>
      </c>
      <c r="P146" s="22" t="s">
        <v>1659</v>
      </c>
      <c r="Q146" s="22" t="s">
        <v>1536</v>
      </c>
      <c r="R146" s="22" t="s">
        <v>1341</v>
      </c>
      <c r="S146" s="22"/>
      <c r="T146" s="22"/>
      <c r="V146" s="26" t="s">
        <v>1931</v>
      </c>
      <c r="W146" s="6">
        <v>3</v>
      </c>
    </row>
    <row r="147" spans="1:23">
      <c r="A147" t="s">
        <v>2081</v>
      </c>
      <c r="B147" s="8">
        <v>45522</v>
      </c>
      <c r="C147" t="s">
        <v>1408</v>
      </c>
      <c r="D147" t="s">
        <v>1716</v>
      </c>
      <c r="E147" t="s">
        <v>1908</v>
      </c>
      <c r="F147">
        <v>2</v>
      </c>
      <c r="G147" s="10">
        <v>536.84</v>
      </c>
      <c r="H147" s="13">
        <v>0.09</v>
      </c>
      <c r="I147" t="s">
        <v>1936</v>
      </c>
      <c r="J147" s="16">
        <v>977.04880000000014</v>
      </c>
      <c r="K147" s="19">
        <f t="shared" si="10"/>
        <v>2017666.2822000012</v>
      </c>
      <c r="L147" s="22">
        <f t="shared" si="11"/>
        <v>1087.6907181671165</v>
      </c>
      <c r="M147" s="22">
        <f t="shared" si="12"/>
        <v>646</v>
      </c>
      <c r="N147" s="22" t="str">
        <f t="shared" si="13"/>
        <v>Low Value</v>
      </c>
      <c r="O147" s="22" t="str">
        <f t="shared" si="14"/>
        <v>Aug-2024</v>
      </c>
      <c r="P147" s="22" t="s">
        <v>1717</v>
      </c>
      <c r="Q147" s="22" t="s">
        <v>1569</v>
      </c>
      <c r="R147" s="22" t="s">
        <v>677</v>
      </c>
      <c r="S147" s="22"/>
      <c r="T147" s="22"/>
      <c r="V147" s="26" t="s">
        <v>1933</v>
      </c>
      <c r="W147" s="6">
        <v>7</v>
      </c>
    </row>
    <row r="148" spans="1:23">
      <c r="A148" t="s">
        <v>2082</v>
      </c>
      <c r="B148" s="8">
        <v>45626</v>
      </c>
      <c r="C148" t="s">
        <v>1362</v>
      </c>
      <c r="D148" t="s">
        <v>1658</v>
      </c>
      <c r="E148" t="s">
        <v>1920</v>
      </c>
      <c r="F148">
        <v>3</v>
      </c>
      <c r="G148" s="10">
        <v>584.41</v>
      </c>
      <c r="H148" s="13">
        <v>0</v>
      </c>
      <c r="I148" t="s">
        <v>1936</v>
      </c>
      <c r="J148" s="16">
        <v>1753.23</v>
      </c>
      <c r="K148" s="19">
        <f t="shared" si="10"/>
        <v>2016689.2334000012</v>
      </c>
      <c r="L148" s="22">
        <f t="shared" si="11"/>
        <v>1087.7503955771313</v>
      </c>
      <c r="M148" s="22">
        <f t="shared" si="12"/>
        <v>646</v>
      </c>
      <c r="N148" s="22" t="str">
        <f t="shared" si="13"/>
        <v>High Value</v>
      </c>
      <c r="O148" s="22" t="str">
        <f t="shared" si="14"/>
        <v>Nov-2024</v>
      </c>
      <c r="P148" s="22" t="s">
        <v>1659</v>
      </c>
      <c r="Q148" s="22" t="s">
        <v>1536</v>
      </c>
      <c r="R148" s="22" t="s">
        <v>1363</v>
      </c>
      <c r="S148" s="22"/>
      <c r="T148" s="22"/>
      <c r="V148" s="25" t="s">
        <v>1455</v>
      </c>
      <c r="W148" s="6">
        <v>5</v>
      </c>
    </row>
    <row r="149" spans="1:23">
      <c r="A149" t="s">
        <v>2083</v>
      </c>
      <c r="B149" s="8">
        <v>45617</v>
      </c>
      <c r="C149" t="s">
        <v>930</v>
      </c>
      <c r="D149" t="s">
        <v>1801</v>
      </c>
      <c r="E149" t="s">
        <v>1920</v>
      </c>
      <c r="F149">
        <v>1</v>
      </c>
      <c r="G149" s="10">
        <v>653.87</v>
      </c>
      <c r="H149" s="13">
        <v>0.14000000000000001</v>
      </c>
      <c r="I149" t="s">
        <v>1933</v>
      </c>
      <c r="J149" s="16">
        <v>562.32820000000004</v>
      </c>
      <c r="K149" s="19">
        <f t="shared" si="10"/>
        <v>2014936.0034000012</v>
      </c>
      <c r="L149" s="22">
        <f t="shared" si="11"/>
        <v>1087.3912592552624</v>
      </c>
      <c r="M149" s="22">
        <f t="shared" si="12"/>
        <v>646</v>
      </c>
      <c r="N149" s="22" t="str">
        <f t="shared" si="13"/>
        <v>Low Value</v>
      </c>
      <c r="O149" s="22" t="str">
        <f t="shared" si="14"/>
        <v>Nov-2024</v>
      </c>
      <c r="P149" s="22" t="s">
        <v>1802</v>
      </c>
      <c r="Q149" s="22" t="s">
        <v>1569</v>
      </c>
      <c r="R149" s="22" t="s">
        <v>931</v>
      </c>
      <c r="S149" s="22"/>
      <c r="T149" s="22"/>
      <c r="V149" s="26" t="s">
        <v>1936</v>
      </c>
      <c r="W149" s="6">
        <v>5</v>
      </c>
    </row>
    <row r="150" spans="1:23">
      <c r="A150" t="s">
        <v>2084</v>
      </c>
      <c r="B150" s="8">
        <v>45878</v>
      </c>
      <c r="C150" t="s">
        <v>1503</v>
      </c>
      <c r="D150" t="s">
        <v>1816</v>
      </c>
      <c r="E150" t="s">
        <v>1859</v>
      </c>
      <c r="F150">
        <v>1</v>
      </c>
      <c r="G150" s="10">
        <v>652.03</v>
      </c>
      <c r="H150" s="13">
        <v>0.27</v>
      </c>
      <c r="I150" t="s">
        <v>1931</v>
      </c>
      <c r="J150" s="16">
        <v>475.9819</v>
      </c>
      <c r="K150" s="19">
        <f t="shared" si="10"/>
        <v>2014373.6752000013</v>
      </c>
      <c r="L150" s="22">
        <f t="shared" si="11"/>
        <v>1087.6747706263507</v>
      </c>
      <c r="M150" s="22">
        <f t="shared" si="12"/>
        <v>645</v>
      </c>
      <c r="N150" s="22" t="str">
        <f t="shared" si="13"/>
        <v>Low Value</v>
      </c>
      <c r="O150" s="22" t="str">
        <f t="shared" si="14"/>
        <v>Aug-2025</v>
      </c>
      <c r="P150" s="22" t="s">
        <v>1817</v>
      </c>
      <c r="Q150" s="22" t="s">
        <v>1560</v>
      </c>
      <c r="R150" s="22" t="s">
        <v>1504</v>
      </c>
      <c r="S150" s="22"/>
      <c r="T150" s="22"/>
      <c r="V150" s="25" t="s">
        <v>828</v>
      </c>
      <c r="W150" s="6">
        <v>14</v>
      </c>
    </row>
    <row r="151" spans="1:23">
      <c r="A151" t="s">
        <v>2085</v>
      </c>
      <c r="B151" s="8">
        <v>45502</v>
      </c>
      <c r="C151" t="s">
        <v>330</v>
      </c>
      <c r="D151" t="s">
        <v>1549</v>
      </c>
      <c r="E151" t="s">
        <v>1901</v>
      </c>
      <c r="F151">
        <v>3</v>
      </c>
      <c r="G151" s="10">
        <v>513.36</v>
      </c>
      <c r="H151" s="13">
        <v>7.0000000000000007E-2</v>
      </c>
      <c r="I151" t="s">
        <v>1936</v>
      </c>
      <c r="J151" s="16">
        <v>1432.2744</v>
      </c>
      <c r="K151" s="19">
        <f t="shared" si="10"/>
        <v>2013897.6933000011</v>
      </c>
      <c r="L151" s="22">
        <f t="shared" si="11"/>
        <v>1088.0052367909245</v>
      </c>
      <c r="M151" s="22">
        <f t="shared" si="12"/>
        <v>645</v>
      </c>
      <c r="N151" s="22" t="str">
        <f t="shared" si="13"/>
        <v>High Value</v>
      </c>
      <c r="O151" s="22" t="str">
        <f t="shared" si="14"/>
        <v>Jul-2024</v>
      </c>
      <c r="P151" s="22" t="s">
        <v>1550</v>
      </c>
      <c r="Q151" s="22" t="s">
        <v>1536</v>
      </c>
      <c r="R151" s="22" t="s">
        <v>331</v>
      </c>
      <c r="S151" s="22"/>
      <c r="T151" s="22"/>
      <c r="V151" s="26" t="s">
        <v>1936</v>
      </c>
      <c r="W151" s="6">
        <v>4</v>
      </c>
    </row>
    <row r="152" spans="1:23">
      <c r="A152" t="s">
        <v>2086</v>
      </c>
      <c r="B152" s="8">
        <v>45433</v>
      </c>
      <c r="C152" t="s">
        <v>248</v>
      </c>
      <c r="D152" t="s">
        <v>1710</v>
      </c>
      <c r="E152" t="s">
        <v>1880</v>
      </c>
      <c r="F152">
        <v>4</v>
      </c>
      <c r="G152" s="10">
        <v>355.64</v>
      </c>
      <c r="H152" s="13">
        <v>0.16</v>
      </c>
      <c r="I152" t="s">
        <v>1936</v>
      </c>
      <c r="J152" s="16">
        <v>1194.9503999999999</v>
      </c>
      <c r="K152" s="19">
        <f t="shared" si="10"/>
        <v>2012465.4189000011</v>
      </c>
      <c r="L152" s="22">
        <f t="shared" si="11"/>
        <v>1087.8191453513518</v>
      </c>
      <c r="M152" s="22">
        <f t="shared" si="12"/>
        <v>645</v>
      </c>
      <c r="N152" s="22" t="str">
        <f t="shared" si="13"/>
        <v>High Value</v>
      </c>
      <c r="O152" s="22" t="str">
        <f t="shared" si="14"/>
        <v>May-2024</v>
      </c>
      <c r="P152" s="22" t="s">
        <v>1711</v>
      </c>
      <c r="Q152" s="22" t="s">
        <v>1569</v>
      </c>
      <c r="R152" s="22" t="s">
        <v>249</v>
      </c>
      <c r="S152" s="22"/>
      <c r="T152" s="22"/>
      <c r="V152" s="26" t="s">
        <v>1931</v>
      </c>
      <c r="W152" s="6">
        <v>8</v>
      </c>
    </row>
    <row r="153" spans="1:23">
      <c r="A153" t="s">
        <v>2087</v>
      </c>
      <c r="B153" s="8">
        <v>45594</v>
      </c>
      <c r="C153" t="s">
        <v>97</v>
      </c>
      <c r="D153" t="s">
        <v>1583</v>
      </c>
      <c r="E153" t="s">
        <v>1889</v>
      </c>
      <c r="F153">
        <v>4</v>
      </c>
      <c r="G153" s="10">
        <v>535.4</v>
      </c>
      <c r="H153" s="13">
        <v>0.26</v>
      </c>
      <c r="I153" t="s">
        <v>1933</v>
      </c>
      <c r="J153" s="16">
        <v>1584.7840000000001</v>
      </c>
      <c r="K153" s="19">
        <f t="shared" si="10"/>
        <v>2011270.4685000009</v>
      </c>
      <c r="L153" s="22">
        <f t="shared" si="11"/>
        <v>1087.7612052460795</v>
      </c>
      <c r="M153" s="22">
        <f t="shared" si="12"/>
        <v>645</v>
      </c>
      <c r="N153" s="22" t="str">
        <f t="shared" si="13"/>
        <v>High Value</v>
      </c>
      <c r="O153" s="22" t="str">
        <f t="shared" si="14"/>
        <v>Oct-2024</v>
      </c>
      <c r="P153" s="22" t="s">
        <v>1584</v>
      </c>
      <c r="Q153" s="22" t="s">
        <v>1531</v>
      </c>
      <c r="R153" s="22" t="s">
        <v>3942</v>
      </c>
      <c r="S153" s="22"/>
      <c r="T153" s="22"/>
      <c r="V153" s="26" t="s">
        <v>1933</v>
      </c>
      <c r="W153" s="6">
        <v>2</v>
      </c>
    </row>
    <row r="154" spans="1:23">
      <c r="A154" t="s">
        <v>2088</v>
      </c>
      <c r="B154" s="8">
        <v>45798</v>
      </c>
      <c r="C154" t="s">
        <v>780</v>
      </c>
      <c r="D154" t="s">
        <v>1762</v>
      </c>
      <c r="E154" t="s">
        <v>1920</v>
      </c>
      <c r="F154">
        <v>2</v>
      </c>
      <c r="G154" s="10">
        <v>108.74</v>
      </c>
      <c r="H154" s="13">
        <v>0.11</v>
      </c>
      <c r="I154" t="s">
        <v>1933</v>
      </c>
      <c r="J154" s="16">
        <v>193.55719999999999</v>
      </c>
      <c r="K154" s="19">
        <f t="shared" si="10"/>
        <v>2009685.6845000011</v>
      </c>
      <c r="L154" s="22">
        <f t="shared" si="11"/>
        <v>1087.4922535173166</v>
      </c>
      <c r="M154" s="22">
        <f t="shared" si="12"/>
        <v>644</v>
      </c>
      <c r="N154" s="22" t="str">
        <f t="shared" si="13"/>
        <v>Low Value</v>
      </c>
      <c r="O154" s="22" t="str">
        <f t="shared" si="14"/>
        <v>May-2025</v>
      </c>
      <c r="P154" s="22" t="s">
        <v>1763</v>
      </c>
      <c r="Q154" s="22" t="s">
        <v>1536</v>
      </c>
      <c r="R154" s="22" t="s">
        <v>781</v>
      </c>
      <c r="S154" s="22"/>
      <c r="T154" s="22"/>
      <c r="V154" s="25" t="s">
        <v>1417</v>
      </c>
      <c r="W154" s="6">
        <v>19</v>
      </c>
    </row>
    <row r="155" spans="1:23">
      <c r="A155" t="s">
        <v>2089</v>
      </c>
      <c r="B155" s="8">
        <v>45579</v>
      </c>
      <c r="C155" t="s">
        <v>987</v>
      </c>
      <c r="D155" t="s">
        <v>1576</v>
      </c>
      <c r="E155" t="s">
        <v>1920</v>
      </c>
      <c r="F155">
        <v>3</v>
      </c>
      <c r="G155" s="10">
        <v>591.98</v>
      </c>
      <c r="H155" s="13">
        <v>0.16</v>
      </c>
      <c r="I155" t="s">
        <v>1931</v>
      </c>
      <c r="J155" s="16">
        <v>1491.7896000000001</v>
      </c>
      <c r="K155" s="19">
        <f t="shared" si="10"/>
        <v>2009492.1273000012</v>
      </c>
      <c r="L155" s="22">
        <f t="shared" si="11"/>
        <v>1087.9762465078513</v>
      </c>
      <c r="M155" s="22">
        <f t="shared" si="12"/>
        <v>643</v>
      </c>
      <c r="N155" s="22" t="str">
        <f t="shared" si="13"/>
        <v>High Value</v>
      </c>
      <c r="O155" s="22" t="str">
        <f t="shared" si="14"/>
        <v>Oct-2024</v>
      </c>
      <c r="P155" s="22" t="s">
        <v>1577</v>
      </c>
      <c r="Q155" s="22" t="s">
        <v>1531</v>
      </c>
      <c r="R155" s="22" t="s">
        <v>988</v>
      </c>
      <c r="S155" s="22"/>
      <c r="T155" s="22"/>
      <c r="V155" s="26" t="s">
        <v>1936</v>
      </c>
      <c r="W155" s="6">
        <v>4</v>
      </c>
    </row>
    <row r="156" spans="1:23">
      <c r="A156" t="s">
        <v>2090</v>
      </c>
      <c r="B156" s="8">
        <v>45613</v>
      </c>
      <c r="C156" t="s">
        <v>1253</v>
      </c>
      <c r="D156" t="s">
        <v>1697</v>
      </c>
      <c r="E156" t="s">
        <v>1868</v>
      </c>
      <c r="F156">
        <v>1</v>
      </c>
      <c r="G156" s="10">
        <v>345.06</v>
      </c>
      <c r="H156" s="13">
        <v>0.13</v>
      </c>
      <c r="I156" t="s">
        <v>1936</v>
      </c>
      <c r="J156" s="16">
        <v>300.2022</v>
      </c>
      <c r="K156" s="19">
        <f t="shared" si="10"/>
        <v>2008000.337700001</v>
      </c>
      <c r="L156" s="22">
        <f t="shared" si="11"/>
        <v>1087.7574960455042</v>
      </c>
      <c r="M156" s="22">
        <f t="shared" si="12"/>
        <v>643</v>
      </c>
      <c r="N156" s="22" t="str">
        <f t="shared" si="13"/>
        <v>Low Value</v>
      </c>
      <c r="O156" s="22" t="str">
        <f t="shared" si="14"/>
        <v>Nov-2024</v>
      </c>
      <c r="P156" s="22" t="s">
        <v>1698</v>
      </c>
      <c r="Q156" s="22" t="s">
        <v>1531</v>
      </c>
      <c r="R156" s="22" t="s">
        <v>1254</v>
      </c>
      <c r="S156" s="22"/>
      <c r="T156" s="22"/>
      <c r="V156" s="26" t="s">
        <v>1931</v>
      </c>
      <c r="W156" s="6">
        <v>5</v>
      </c>
    </row>
    <row r="157" spans="1:23">
      <c r="A157" t="s">
        <v>2091</v>
      </c>
      <c r="B157" s="8">
        <v>45745</v>
      </c>
      <c r="C157" t="s">
        <v>966</v>
      </c>
      <c r="D157" t="s">
        <v>1834</v>
      </c>
      <c r="E157" t="s">
        <v>1901</v>
      </c>
      <c r="F157">
        <v>4</v>
      </c>
      <c r="G157" s="10">
        <v>986.41</v>
      </c>
      <c r="H157" s="13">
        <v>0.22</v>
      </c>
      <c r="I157" t="s">
        <v>1931</v>
      </c>
      <c r="J157" s="16">
        <v>3077.5992000000001</v>
      </c>
      <c r="K157" s="19">
        <f t="shared" si="10"/>
        <v>2007700.135500001</v>
      </c>
      <c r="L157" s="22">
        <f t="shared" si="11"/>
        <v>1088.1843552845535</v>
      </c>
      <c r="M157" s="22">
        <f t="shared" si="12"/>
        <v>643</v>
      </c>
      <c r="N157" s="22" t="str">
        <f t="shared" si="13"/>
        <v>High Value</v>
      </c>
      <c r="O157" s="22" t="str">
        <f t="shared" si="14"/>
        <v>Mar-2025</v>
      </c>
      <c r="P157" s="22" t="s">
        <v>1835</v>
      </c>
      <c r="Q157" s="22" t="s">
        <v>1531</v>
      </c>
      <c r="R157" s="22" t="s">
        <v>967</v>
      </c>
      <c r="S157" s="22"/>
      <c r="T157" s="22"/>
      <c r="V157" s="26" t="s">
        <v>1933</v>
      </c>
      <c r="W157" s="6">
        <v>10</v>
      </c>
    </row>
    <row r="158" spans="1:23">
      <c r="A158" t="s">
        <v>2092</v>
      </c>
      <c r="B158" s="8">
        <v>45494</v>
      </c>
      <c r="C158" t="s">
        <v>1002</v>
      </c>
      <c r="D158" t="s">
        <v>1700</v>
      </c>
      <c r="E158" t="s">
        <v>1859</v>
      </c>
      <c r="F158">
        <v>2</v>
      </c>
      <c r="G158" s="10">
        <v>921.52</v>
      </c>
      <c r="H158" s="13">
        <v>0</v>
      </c>
      <c r="I158" t="s">
        <v>1933</v>
      </c>
      <c r="J158" s="16">
        <v>1843.04</v>
      </c>
      <c r="K158" s="19">
        <f t="shared" si="10"/>
        <v>2004622.5363000012</v>
      </c>
      <c r="L158" s="22">
        <f t="shared" si="11"/>
        <v>1087.1054969088943</v>
      </c>
      <c r="M158" s="22">
        <f t="shared" si="12"/>
        <v>643</v>
      </c>
      <c r="N158" s="22" t="str">
        <f t="shared" si="13"/>
        <v>High Value</v>
      </c>
      <c r="O158" s="22" t="str">
        <f t="shared" si="14"/>
        <v>Jul-2024</v>
      </c>
      <c r="P158" s="22" t="s">
        <v>1701</v>
      </c>
      <c r="Q158" s="22" t="s">
        <v>1555</v>
      </c>
      <c r="R158" s="22" t="s">
        <v>1003</v>
      </c>
      <c r="S158" s="22"/>
      <c r="T158" s="22"/>
      <c r="V158" s="25" t="s">
        <v>689</v>
      </c>
      <c r="W158" s="6">
        <v>15</v>
      </c>
    </row>
    <row r="159" spans="1:23">
      <c r="A159" t="s">
        <v>2093</v>
      </c>
      <c r="B159" s="8">
        <v>45883</v>
      </c>
      <c r="C159" t="s">
        <v>342</v>
      </c>
      <c r="D159" t="s">
        <v>1719</v>
      </c>
      <c r="E159" t="s">
        <v>1880</v>
      </c>
      <c r="F159">
        <v>1</v>
      </c>
      <c r="G159" s="10">
        <v>83.1</v>
      </c>
      <c r="H159" s="13">
        <v>0.04</v>
      </c>
      <c r="I159" t="s">
        <v>1933</v>
      </c>
      <c r="J159" s="16">
        <v>79.775999999999996</v>
      </c>
      <c r="K159" s="19">
        <f t="shared" si="10"/>
        <v>2002779.4963000014</v>
      </c>
      <c r="L159" s="22">
        <f t="shared" si="11"/>
        <v>1086.6953316874669</v>
      </c>
      <c r="M159" s="22">
        <f t="shared" si="12"/>
        <v>642</v>
      </c>
      <c r="N159" s="22" t="str">
        <f t="shared" si="13"/>
        <v>Low Value</v>
      </c>
      <c r="O159" s="22" t="str">
        <f t="shared" si="14"/>
        <v>Aug-2025</v>
      </c>
      <c r="P159" s="22" t="s">
        <v>1720</v>
      </c>
      <c r="Q159" s="22" t="s">
        <v>1560</v>
      </c>
      <c r="R159" s="22" t="s">
        <v>343</v>
      </c>
      <c r="S159" s="22"/>
      <c r="T159" s="22"/>
      <c r="V159" s="26" t="s">
        <v>1936</v>
      </c>
      <c r="W159" s="6">
        <v>3</v>
      </c>
    </row>
    <row r="160" spans="1:23">
      <c r="A160" t="s">
        <v>2094</v>
      </c>
      <c r="B160" s="8">
        <v>45601</v>
      </c>
      <c r="C160" t="s">
        <v>1148</v>
      </c>
      <c r="D160" t="s">
        <v>1633</v>
      </c>
      <c r="E160" t="s">
        <v>1899</v>
      </c>
      <c r="F160">
        <v>2</v>
      </c>
      <c r="G160" s="10">
        <v>60.98</v>
      </c>
      <c r="H160" s="13">
        <v>0.23</v>
      </c>
      <c r="I160" t="s">
        <v>1933</v>
      </c>
      <c r="J160" s="16">
        <v>93.909199999999998</v>
      </c>
      <c r="K160" s="19">
        <f t="shared" si="10"/>
        <v>2002699.7203000013</v>
      </c>
      <c r="L160" s="22">
        <f t="shared" si="11"/>
        <v>1087.2419762757879</v>
      </c>
      <c r="M160" s="22">
        <f t="shared" si="12"/>
        <v>641</v>
      </c>
      <c r="N160" s="22" t="str">
        <f t="shared" si="13"/>
        <v>Low Value</v>
      </c>
      <c r="O160" s="22" t="str">
        <f t="shared" si="14"/>
        <v>Nov-2024</v>
      </c>
      <c r="P160" s="22" t="s">
        <v>1634</v>
      </c>
      <c r="Q160" s="22" t="s">
        <v>1569</v>
      </c>
      <c r="R160" s="22" t="s">
        <v>1149</v>
      </c>
      <c r="S160" s="22"/>
      <c r="T160" s="22"/>
      <c r="V160" s="26" t="s">
        <v>1931</v>
      </c>
      <c r="W160" s="6">
        <v>8</v>
      </c>
    </row>
    <row r="161" spans="1:23">
      <c r="A161" t="s">
        <v>2095</v>
      </c>
      <c r="B161" s="8">
        <v>45454</v>
      </c>
      <c r="C161" t="s">
        <v>1223</v>
      </c>
      <c r="D161" t="s">
        <v>1822</v>
      </c>
      <c r="E161" t="s">
        <v>1911</v>
      </c>
      <c r="F161">
        <v>2</v>
      </c>
      <c r="G161" s="10">
        <v>122.23</v>
      </c>
      <c r="H161" s="13">
        <v>0.21</v>
      </c>
      <c r="I161" t="s">
        <v>1936</v>
      </c>
      <c r="J161" s="16">
        <v>193.1234</v>
      </c>
      <c r="K161" s="19">
        <f t="shared" si="10"/>
        <v>2002605.8111000014</v>
      </c>
      <c r="L161" s="22">
        <f t="shared" si="11"/>
        <v>1087.7815378055413</v>
      </c>
      <c r="M161" s="22">
        <f t="shared" si="12"/>
        <v>640</v>
      </c>
      <c r="N161" s="22" t="str">
        <f t="shared" si="13"/>
        <v>Low Value</v>
      </c>
      <c r="O161" s="22" t="str">
        <f t="shared" si="14"/>
        <v>Jun-2024</v>
      </c>
      <c r="P161" s="22" t="s">
        <v>1823</v>
      </c>
      <c r="Q161" s="22" t="s">
        <v>1555</v>
      </c>
      <c r="R161" s="22" t="s">
        <v>1224</v>
      </c>
      <c r="S161" s="22"/>
      <c r="T161" s="22"/>
      <c r="V161" s="26" t="s">
        <v>1933</v>
      </c>
      <c r="W161" s="6">
        <v>4</v>
      </c>
    </row>
    <row r="162" spans="1:23">
      <c r="A162" t="s">
        <v>2096</v>
      </c>
      <c r="B162" s="8">
        <v>45918</v>
      </c>
      <c r="C162" t="s">
        <v>89</v>
      </c>
      <c r="D162" t="s">
        <v>1765</v>
      </c>
      <c r="E162" t="s">
        <v>1917</v>
      </c>
      <c r="F162">
        <v>2</v>
      </c>
      <c r="G162" s="10">
        <v>623.38</v>
      </c>
      <c r="H162" s="13">
        <v>0.13</v>
      </c>
      <c r="I162" t="s">
        <v>1931</v>
      </c>
      <c r="J162" s="16">
        <v>1084.6812</v>
      </c>
      <c r="K162" s="19">
        <f t="shared" si="10"/>
        <v>2002412.6877000013</v>
      </c>
      <c r="L162" s="22">
        <f t="shared" si="11"/>
        <v>1088.2677650543485</v>
      </c>
      <c r="M162" s="22">
        <f t="shared" si="12"/>
        <v>640</v>
      </c>
      <c r="N162" s="22" t="str">
        <f t="shared" si="13"/>
        <v>High Value</v>
      </c>
      <c r="O162" s="22" t="str">
        <f t="shared" si="14"/>
        <v>Sep-2025</v>
      </c>
      <c r="P162" s="22" t="s">
        <v>1766</v>
      </c>
      <c r="Q162" s="22" t="s">
        <v>1560</v>
      </c>
      <c r="R162" s="22" t="s">
        <v>90</v>
      </c>
      <c r="S162" s="22"/>
      <c r="T162" s="22"/>
      <c r="V162" s="25" t="s">
        <v>1137</v>
      </c>
      <c r="W162" s="6">
        <v>14</v>
      </c>
    </row>
    <row r="163" spans="1:23">
      <c r="A163" t="s">
        <v>2097</v>
      </c>
      <c r="B163" s="8">
        <v>45729</v>
      </c>
      <c r="C163" t="s">
        <v>215</v>
      </c>
      <c r="D163" t="s">
        <v>1765</v>
      </c>
      <c r="E163" t="s">
        <v>1859</v>
      </c>
      <c r="F163">
        <v>1</v>
      </c>
      <c r="G163" s="10">
        <v>479.58</v>
      </c>
      <c r="H163" s="13">
        <v>0.05</v>
      </c>
      <c r="I163" t="s">
        <v>1933</v>
      </c>
      <c r="J163" s="16">
        <v>455.60099999999989</v>
      </c>
      <c r="K163" s="19">
        <f t="shared" si="10"/>
        <v>2001328.0065000013</v>
      </c>
      <c r="L163" s="22">
        <f t="shared" si="11"/>
        <v>1088.2697153344216</v>
      </c>
      <c r="M163" s="22">
        <f t="shared" si="12"/>
        <v>640</v>
      </c>
      <c r="N163" s="22" t="str">
        <f t="shared" si="13"/>
        <v>Low Value</v>
      </c>
      <c r="O163" s="22" t="str">
        <f t="shared" si="14"/>
        <v>Mar-2025</v>
      </c>
      <c r="P163" s="22" t="s">
        <v>1766</v>
      </c>
      <c r="Q163" s="22" t="s">
        <v>1560</v>
      </c>
      <c r="R163" s="22" t="s">
        <v>216</v>
      </c>
      <c r="S163" s="22"/>
      <c r="T163" s="22"/>
      <c r="V163" s="26" t="s">
        <v>1936</v>
      </c>
      <c r="W163" s="6">
        <v>4</v>
      </c>
    </row>
    <row r="164" spans="1:23">
      <c r="A164" t="s">
        <v>2098</v>
      </c>
      <c r="B164" s="8">
        <v>45276</v>
      </c>
      <c r="C164" t="s">
        <v>940</v>
      </c>
      <c r="D164" t="s">
        <v>1774</v>
      </c>
      <c r="E164" t="s">
        <v>1883</v>
      </c>
      <c r="F164">
        <v>3</v>
      </c>
      <c r="G164" s="10">
        <v>369.32</v>
      </c>
      <c r="H164" s="13">
        <v>0.14000000000000001</v>
      </c>
      <c r="I164" t="s">
        <v>1933</v>
      </c>
      <c r="J164" s="16">
        <v>952.84559999999999</v>
      </c>
      <c r="K164" s="19">
        <f t="shared" si="10"/>
        <v>2000872.4055000013</v>
      </c>
      <c r="L164" s="22">
        <f t="shared" si="11"/>
        <v>1088.6139311751911</v>
      </c>
      <c r="M164" s="22">
        <f t="shared" si="12"/>
        <v>639</v>
      </c>
      <c r="N164" s="22" t="str">
        <f t="shared" si="13"/>
        <v>Low Value</v>
      </c>
      <c r="O164" s="22" t="str">
        <f t="shared" si="14"/>
        <v>Dec-2023</v>
      </c>
      <c r="P164" s="22" t="s">
        <v>1775</v>
      </c>
      <c r="Q164" s="22" t="s">
        <v>1569</v>
      </c>
      <c r="R164" s="22" t="s">
        <v>941</v>
      </c>
      <c r="S164" s="22"/>
      <c r="T164" s="22"/>
      <c r="V164" s="26" t="s">
        <v>1931</v>
      </c>
      <c r="W164" s="6">
        <v>1</v>
      </c>
    </row>
    <row r="165" spans="1:23">
      <c r="A165" t="s">
        <v>2099</v>
      </c>
      <c r="B165" s="8">
        <v>45851</v>
      </c>
      <c r="C165" t="s">
        <v>275</v>
      </c>
      <c r="D165" t="s">
        <v>1646</v>
      </c>
      <c r="E165" t="s">
        <v>1864</v>
      </c>
      <c r="F165">
        <v>1</v>
      </c>
      <c r="G165" s="10">
        <v>488.31</v>
      </c>
      <c r="H165" s="13">
        <v>0.03</v>
      </c>
      <c r="I165" t="s">
        <v>1933</v>
      </c>
      <c r="J165" s="16">
        <v>473.66070000000002</v>
      </c>
      <c r="K165" s="19">
        <f t="shared" si="10"/>
        <v>1999919.5599000014</v>
      </c>
      <c r="L165" s="22">
        <f t="shared" si="11"/>
        <v>1088.6878388132832</v>
      </c>
      <c r="M165" s="22">
        <f t="shared" si="12"/>
        <v>638</v>
      </c>
      <c r="N165" s="22" t="str">
        <f t="shared" si="13"/>
        <v>Low Value</v>
      </c>
      <c r="O165" s="22" t="str">
        <f t="shared" si="14"/>
        <v>Jul-2025</v>
      </c>
      <c r="P165" s="22" t="s">
        <v>1647</v>
      </c>
      <c r="Q165" s="22" t="s">
        <v>1555</v>
      </c>
      <c r="R165" s="22" t="s">
        <v>276</v>
      </c>
      <c r="S165" s="22"/>
      <c r="T165" s="22"/>
      <c r="V165" s="26" t="s">
        <v>1933</v>
      </c>
      <c r="W165" s="6">
        <v>9</v>
      </c>
    </row>
    <row r="166" spans="1:23">
      <c r="A166" t="s">
        <v>2100</v>
      </c>
      <c r="B166" s="8">
        <v>45418</v>
      </c>
      <c r="C166" t="s">
        <v>877</v>
      </c>
      <c r="D166" t="s">
        <v>1716</v>
      </c>
      <c r="E166" t="s">
        <v>1901</v>
      </c>
      <c r="F166">
        <v>4</v>
      </c>
      <c r="G166" s="10">
        <v>164.04</v>
      </c>
      <c r="H166" s="13">
        <v>0.26</v>
      </c>
      <c r="I166" t="s">
        <v>1931</v>
      </c>
      <c r="J166" s="16">
        <v>485.55839999999989</v>
      </c>
      <c r="K166" s="19">
        <f t="shared" si="10"/>
        <v>1999445.8992000013</v>
      </c>
      <c r="L166" s="22">
        <f t="shared" si="11"/>
        <v>1089.0228209150334</v>
      </c>
      <c r="M166" s="22">
        <f t="shared" si="12"/>
        <v>637</v>
      </c>
      <c r="N166" s="22" t="str">
        <f t="shared" si="13"/>
        <v>Low Value</v>
      </c>
      <c r="O166" s="22" t="str">
        <f t="shared" si="14"/>
        <v>May-2024</v>
      </c>
      <c r="P166" s="22" t="s">
        <v>1717</v>
      </c>
      <c r="Q166" s="22" t="s">
        <v>1569</v>
      </c>
      <c r="R166" s="22" t="s">
        <v>878</v>
      </c>
      <c r="S166" s="22"/>
      <c r="T166" s="22"/>
      <c r="V166" s="25" t="s">
        <v>967</v>
      </c>
      <c r="W166" s="6">
        <v>10</v>
      </c>
    </row>
    <row r="167" spans="1:23">
      <c r="A167" t="s">
        <v>2101</v>
      </c>
      <c r="B167" s="8">
        <v>45508</v>
      </c>
      <c r="C167" t="s">
        <v>265</v>
      </c>
      <c r="D167" t="s">
        <v>1572</v>
      </c>
      <c r="E167" t="s">
        <v>1914</v>
      </c>
      <c r="F167">
        <v>3</v>
      </c>
      <c r="G167" s="10">
        <v>707.95</v>
      </c>
      <c r="H167" s="13">
        <v>0.18</v>
      </c>
      <c r="I167" t="s">
        <v>1933</v>
      </c>
      <c r="J167" s="16">
        <v>1741.557</v>
      </c>
      <c r="K167" s="19">
        <f t="shared" si="10"/>
        <v>1998960.3408000015</v>
      </c>
      <c r="L167" s="22">
        <f t="shared" si="11"/>
        <v>1089.3516843596738</v>
      </c>
      <c r="M167" s="22">
        <f t="shared" si="12"/>
        <v>637</v>
      </c>
      <c r="N167" s="22" t="str">
        <f t="shared" si="13"/>
        <v>High Value</v>
      </c>
      <c r="O167" s="22" t="str">
        <f t="shared" si="14"/>
        <v>Aug-2024</v>
      </c>
      <c r="P167" s="22" t="s">
        <v>1573</v>
      </c>
      <c r="Q167" s="22" t="s">
        <v>1560</v>
      </c>
      <c r="R167" s="22" t="s">
        <v>266</v>
      </c>
      <c r="S167" s="22"/>
      <c r="T167" s="22"/>
      <c r="V167" s="26" t="s">
        <v>1936</v>
      </c>
      <c r="W167" s="6">
        <v>3</v>
      </c>
    </row>
    <row r="168" spans="1:23">
      <c r="A168" t="s">
        <v>2102</v>
      </c>
      <c r="B168" s="8">
        <v>45269</v>
      </c>
      <c r="C168" t="s">
        <v>932</v>
      </c>
      <c r="D168" t="s">
        <v>1762</v>
      </c>
      <c r="E168" t="s">
        <v>1889</v>
      </c>
      <c r="F168">
        <v>4</v>
      </c>
      <c r="G168" s="10">
        <v>714.47</v>
      </c>
      <c r="H168" s="13">
        <v>0.18</v>
      </c>
      <c r="I168" t="s">
        <v>1936</v>
      </c>
      <c r="J168" s="16">
        <v>2343.4616000000001</v>
      </c>
      <c r="K168" s="19">
        <f t="shared" si="10"/>
        <v>1997218.7838000013</v>
      </c>
      <c r="L168" s="22">
        <f t="shared" si="11"/>
        <v>1088.996065321702</v>
      </c>
      <c r="M168" s="22">
        <f t="shared" si="12"/>
        <v>636</v>
      </c>
      <c r="N168" s="22" t="str">
        <f t="shared" si="13"/>
        <v>High Value</v>
      </c>
      <c r="O168" s="22" t="str">
        <f t="shared" si="14"/>
        <v>Dec-2023</v>
      </c>
      <c r="P168" s="22" t="s">
        <v>1763</v>
      </c>
      <c r="Q168" s="22" t="s">
        <v>1536</v>
      </c>
      <c r="R168" s="22" t="s">
        <v>933</v>
      </c>
      <c r="S168" s="22"/>
      <c r="T168" s="22"/>
      <c r="V168" s="26" t="s">
        <v>1931</v>
      </c>
      <c r="W168" s="6">
        <v>4</v>
      </c>
    </row>
    <row r="169" spans="1:23">
      <c r="A169" t="s">
        <v>2103</v>
      </c>
      <c r="B169" s="8">
        <v>45866</v>
      </c>
      <c r="C169" t="s">
        <v>1282</v>
      </c>
      <c r="D169" t="s">
        <v>1792</v>
      </c>
      <c r="E169" t="s">
        <v>1886</v>
      </c>
      <c r="F169">
        <v>4</v>
      </c>
      <c r="G169" s="10">
        <v>422.09</v>
      </c>
      <c r="H169" s="13">
        <v>0.04</v>
      </c>
      <c r="I169" t="s">
        <v>1931</v>
      </c>
      <c r="J169" s="16">
        <v>1620.8255999999999</v>
      </c>
      <c r="K169" s="19">
        <f t="shared" si="10"/>
        <v>1994875.322200001</v>
      </c>
      <c r="L169" s="22">
        <f t="shared" si="11"/>
        <v>1088.3116869612663</v>
      </c>
      <c r="M169" s="22">
        <f t="shared" si="12"/>
        <v>636</v>
      </c>
      <c r="N169" s="22" t="str">
        <f t="shared" si="13"/>
        <v>High Value</v>
      </c>
      <c r="O169" s="22" t="str">
        <f t="shared" si="14"/>
        <v>Jul-2025</v>
      </c>
      <c r="P169" s="22" t="s">
        <v>1793</v>
      </c>
      <c r="Q169" s="22" t="s">
        <v>1560</v>
      </c>
      <c r="R169" s="22" t="s">
        <v>1283</v>
      </c>
      <c r="S169" s="22"/>
      <c r="T169" s="22"/>
      <c r="V169" s="26" t="s">
        <v>1933</v>
      </c>
      <c r="W169" s="6">
        <v>3</v>
      </c>
    </row>
    <row r="170" spans="1:23">
      <c r="A170" t="s">
        <v>2104</v>
      </c>
      <c r="B170" s="8">
        <v>45462</v>
      </c>
      <c r="C170" t="s">
        <v>376</v>
      </c>
      <c r="D170" t="s">
        <v>1639</v>
      </c>
      <c r="E170" t="s">
        <v>1893</v>
      </c>
      <c r="F170">
        <v>1</v>
      </c>
      <c r="G170" s="10">
        <v>998.19</v>
      </c>
      <c r="H170" s="13">
        <v>0.2</v>
      </c>
      <c r="I170" t="s">
        <v>1931</v>
      </c>
      <c r="J170" s="16">
        <v>798.55200000000013</v>
      </c>
      <c r="K170" s="19">
        <f t="shared" si="10"/>
        <v>1993254.4966000009</v>
      </c>
      <c r="L170" s="22">
        <f t="shared" si="11"/>
        <v>1088.021013427948</v>
      </c>
      <c r="M170" s="22">
        <f t="shared" si="12"/>
        <v>636</v>
      </c>
      <c r="N170" s="22" t="str">
        <f t="shared" si="13"/>
        <v>Low Value</v>
      </c>
      <c r="O170" s="22" t="str">
        <f t="shared" si="14"/>
        <v>Jun-2024</v>
      </c>
      <c r="P170" s="22" t="s">
        <v>1640</v>
      </c>
      <c r="Q170" s="22" t="s">
        <v>1560</v>
      </c>
      <c r="R170" s="22" t="s">
        <v>377</v>
      </c>
      <c r="S170" s="22"/>
      <c r="T170" s="22"/>
      <c r="V170" s="25" t="s">
        <v>609</v>
      </c>
      <c r="W170" s="6">
        <v>6</v>
      </c>
    </row>
    <row r="171" spans="1:23">
      <c r="A171" t="s">
        <v>2105</v>
      </c>
      <c r="B171" s="8">
        <v>45313</v>
      </c>
      <c r="C171" t="s">
        <v>1160</v>
      </c>
      <c r="D171" t="s">
        <v>1771</v>
      </c>
      <c r="E171" t="s">
        <v>1886</v>
      </c>
      <c r="F171">
        <v>2</v>
      </c>
      <c r="G171" s="10">
        <v>343.42</v>
      </c>
      <c r="H171" s="13">
        <v>0.12</v>
      </c>
      <c r="I171" t="s">
        <v>1936</v>
      </c>
      <c r="J171" s="16">
        <v>604.41920000000005</v>
      </c>
      <c r="K171" s="19">
        <f t="shared" si="10"/>
        <v>1992455.944600001</v>
      </c>
      <c r="L171" s="22">
        <f t="shared" si="11"/>
        <v>1088.179106826871</v>
      </c>
      <c r="M171" s="22">
        <f t="shared" si="12"/>
        <v>636</v>
      </c>
      <c r="N171" s="22" t="str">
        <f t="shared" si="13"/>
        <v>Low Value</v>
      </c>
      <c r="O171" s="22" t="str">
        <f t="shared" si="14"/>
        <v>Jan-2024</v>
      </c>
      <c r="P171" s="22" t="s">
        <v>1772</v>
      </c>
      <c r="Q171" s="22" t="s">
        <v>1569</v>
      </c>
      <c r="R171" s="22" t="s">
        <v>1161</v>
      </c>
      <c r="S171" s="22"/>
      <c r="T171" s="22"/>
      <c r="V171" s="26" t="s">
        <v>1931</v>
      </c>
      <c r="W171" s="6">
        <v>1</v>
      </c>
    </row>
    <row r="172" spans="1:23">
      <c r="A172" t="s">
        <v>2106</v>
      </c>
      <c r="B172" s="8">
        <v>45390</v>
      </c>
      <c r="C172" t="s">
        <v>818</v>
      </c>
      <c r="D172" t="s">
        <v>1652</v>
      </c>
      <c r="E172" t="s">
        <v>1883</v>
      </c>
      <c r="F172">
        <v>1</v>
      </c>
      <c r="G172" s="10">
        <v>152.16999999999999</v>
      </c>
      <c r="H172" s="13">
        <v>0.28000000000000003</v>
      </c>
      <c r="I172" t="s">
        <v>1936</v>
      </c>
      <c r="J172" s="16">
        <v>109.5624</v>
      </c>
      <c r="K172" s="19">
        <f t="shared" si="10"/>
        <v>1991851.5254000009</v>
      </c>
      <c r="L172" s="22">
        <f t="shared" si="11"/>
        <v>1088.4434565027327</v>
      </c>
      <c r="M172" s="22">
        <f t="shared" si="12"/>
        <v>636</v>
      </c>
      <c r="N172" s="22" t="str">
        <f t="shared" si="13"/>
        <v>Low Value</v>
      </c>
      <c r="O172" s="22" t="str">
        <f t="shared" si="14"/>
        <v>Apr-2024</v>
      </c>
      <c r="P172" s="22" t="s">
        <v>1653</v>
      </c>
      <c r="Q172" s="22" t="s">
        <v>1531</v>
      </c>
      <c r="R172" s="22" t="s">
        <v>819</v>
      </c>
      <c r="S172" s="22"/>
      <c r="T172" s="22"/>
      <c r="V172" s="26" t="s">
        <v>1933</v>
      </c>
      <c r="W172" s="6">
        <v>5</v>
      </c>
    </row>
    <row r="173" spans="1:23">
      <c r="A173" t="s">
        <v>2107</v>
      </c>
      <c r="B173" s="8">
        <v>45795</v>
      </c>
      <c r="C173" t="s">
        <v>577</v>
      </c>
      <c r="D173" t="s">
        <v>1700</v>
      </c>
      <c r="E173" t="s">
        <v>1899</v>
      </c>
      <c r="F173">
        <v>1</v>
      </c>
      <c r="G173" s="10">
        <v>325.08</v>
      </c>
      <c r="H173" s="13">
        <v>0.26</v>
      </c>
      <c r="I173" t="s">
        <v>1933</v>
      </c>
      <c r="J173" s="16">
        <v>240.5592</v>
      </c>
      <c r="K173" s="19">
        <f t="shared" si="10"/>
        <v>1991741.9630000009</v>
      </c>
      <c r="L173" s="22">
        <f t="shared" si="11"/>
        <v>1088.9786566429748</v>
      </c>
      <c r="M173" s="22">
        <f t="shared" si="12"/>
        <v>636</v>
      </c>
      <c r="N173" s="22" t="str">
        <f t="shared" si="13"/>
        <v>Low Value</v>
      </c>
      <c r="O173" s="22" t="str">
        <f t="shared" si="14"/>
        <v>May-2025</v>
      </c>
      <c r="P173" s="22" t="s">
        <v>1701</v>
      </c>
      <c r="Q173" s="22" t="s">
        <v>1555</v>
      </c>
      <c r="R173" s="22" t="s">
        <v>578</v>
      </c>
      <c r="S173" s="22"/>
      <c r="T173" s="22"/>
      <c r="V173" s="25" t="s">
        <v>531</v>
      </c>
      <c r="W173" s="6">
        <v>12</v>
      </c>
    </row>
    <row r="174" spans="1:23">
      <c r="A174" t="s">
        <v>2108</v>
      </c>
      <c r="B174" s="8">
        <v>45267</v>
      </c>
      <c r="C174" t="s">
        <v>1076</v>
      </c>
      <c r="D174" t="s">
        <v>1822</v>
      </c>
      <c r="E174" t="s">
        <v>1896</v>
      </c>
      <c r="F174">
        <v>2</v>
      </c>
      <c r="G174" s="10">
        <v>827.92</v>
      </c>
      <c r="H174" s="13">
        <v>0.25</v>
      </c>
      <c r="I174" t="s">
        <v>1936</v>
      </c>
      <c r="J174" s="16">
        <v>1241.8800000000001</v>
      </c>
      <c r="K174" s="19">
        <f t="shared" si="10"/>
        <v>1991501.4038000009</v>
      </c>
      <c r="L174" s="22">
        <f t="shared" si="11"/>
        <v>1089.4427810722107</v>
      </c>
      <c r="M174" s="22">
        <f t="shared" si="12"/>
        <v>635</v>
      </c>
      <c r="N174" s="22" t="str">
        <f t="shared" si="13"/>
        <v>High Value</v>
      </c>
      <c r="O174" s="22" t="str">
        <f t="shared" si="14"/>
        <v>Dec-2023</v>
      </c>
      <c r="P174" s="22" t="s">
        <v>1823</v>
      </c>
      <c r="Q174" s="22" t="s">
        <v>1555</v>
      </c>
      <c r="R174" s="22" t="s">
        <v>1077</v>
      </c>
      <c r="S174" s="22"/>
      <c r="T174" s="22"/>
      <c r="V174" s="26" t="s">
        <v>1936</v>
      </c>
      <c r="W174" s="6">
        <v>8</v>
      </c>
    </row>
    <row r="175" spans="1:23">
      <c r="A175" t="s">
        <v>2109</v>
      </c>
      <c r="B175" s="8">
        <v>45314</v>
      </c>
      <c r="C175" t="s">
        <v>1481</v>
      </c>
      <c r="D175" t="s">
        <v>1627</v>
      </c>
      <c r="E175" t="s">
        <v>1868</v>
      </c>
      <c r="F175">
        <v>2</v>
      </c>
      <c r="G175" s="10">
        <v>593.47</v>
      </c>
      <c r="H175" s="13">
        <v>0.1</v>
      </c>
      <c r="I175" t="s">
        <v>1936</v>
      </c>
      <c r="J175" s="16">
        <v>1068.2460000000001</v>
      </c>
      <c r="K175" s="19">
        <f t="shared" si="10"/>
        <v>1990259.5238000008</v>
      </c>
      <c r="L175" s="22">
        <f t="shared" si="11"/>
        <v>1089.3593452654629</v>
      </c>
      <c r="M175" s="22">
        <f t="shared" si="12"/>
        <v>635</v>
      </c>
      <c r="N175" s="22" t="str">
        <f t="shared" si="13"/>
        <v>High Value</v>
      </c>
      <c r="O175" s="22" t="str">
        <f t="shared" si="14"/>
        <v>Jan-2024</v>
      </c>
      <c r="P175" s="22" t="s">
        <v>1628</v>
      </c>
      <c r="Q175" s="22" t="s">
        <v>1531</v>
      </c>
      <c r="R175" s="22" t="s">
        <v>1482</v>
      </c>
      <c r="S175" s="22"/>
      <c r="T175" s="22"/>
      <c r="V175" s="26" t="s">
        <v>1931</v>
      </c>
      <c r="W175" s="6">
        <v>2</v>
      </c>
    </row>
    <row r="176" spans="1:23">
      <c r="A176" t="s">
        <v>2110</v>
      </c>
      <c r="B176" s="8">
        <v>45267</v>
      </c>
      <c r="C176" t="s">
        <v>927</v>
      </c>
      <c r="D176" t="s">
        <v>1607</v>
      </c>
      <c r="E176" t="s">
        <v>1886</v>
      </c>
      <c r="F176">
        <v>4</v>
      </c>
      <c r="G176" s="10">
        <v>756.28</v>
      </c>
      <c r="H176" s="13">
        <v>0.05</v>
      </c>
      <c r="I176" t="s">
        <v>1936</v>
      </c>
      <c r="J176" s="16">
        <v>2873.864</v>
      </c>
      <c r="K176" s="19">
        <f t="shared" si="10"/>
        <v>1989191.277800001</v>
      </c>
      <c r="L176" s="22">
        <f t="shared" si="11"/>
        <v>1089.3709078860904</v>
      </c>
      <c r="M176" s="22">
        <f t="shared" si="12"/>
        <v>635</v>
      </c>
      <c r="N176" s="22" t="str">
        <f t="shared" si="13"/>
        <v>High Value</v>
      </c>
      <c r="O176" s="22" t="str">
        <f t="shared" si="14"/>
        <v>Dec-2023</v>
      </c>
      <c r="P176" s="22" t="s">
        <v>1608</v>
      </c>
      <c r="Q176" s="22" t="s">
        <v>1569</v>
      </c>
      <c r="R176" s="22" t="s">
        <v>928</v>
      </c>
      <c r="S176" s="22"/>
      <c r="T176" s="22"/>
      <c r="V176" s="26" t="s">
        <v>1933</v>
      </c>
      <c r="W176" s="6">
        <v>2</v>
      </c>
    </row>
    <row r="177" spans="1:23">
      <c r="A177" t="s">
        <v>2111</v>
      </c>
      <c r="B177" s="8">
        <v>45641</v>
      </c>
      <c r="C177" t="s">
        <v>1172</v>
      </c>
      <c r="D177" t="s">
        <v>1831</v>
      </c>
      <c r="E177" t="s">
        <v>1864</v>
      </c>
      <c r="F177">
        <v>2</v>
      </c>
      <c r="G177" s="10">
        <v>707.65</v>
      </c>
      <c r="H177" s="13">
        <v>0.14000000000000001</v>
      </c>
      <c r="I177" t="s">
        <v>1931</v>
      </c>
      <c r="J177" s="16">
        <v>1217.1579999999999</v>
      </c>
      <c r="K177" s="19">
        <f t="shared" si="10"/>
        <v>1986317.4138000007</v>
      </c>
      <c r="L177" s="22">
        <f t="shared" si="11"/>
        <v>1088.3931034520551</v>
      </c>
      <c r="M177" s="22">
        <f t="shared" si="12"/>
        <v>635</v>
      </c>
      <c r="N177" s="22" t="str">
        <f t="shared" si="13"/>
        <v>High Value</v>
      </c>
      <c r="O177" s="22" t="str">
        <f t="shared" si="14"/>
        <v>Dec-2024</v>
      </c>
      <c r="P177" s="22" t="s">
        <v>1832</v>
      </c>
      <c r="Q177" s="22" t="s">
        <v>1560</v>
      </c>
      <c r="R177" s="22" t="s">
        <v>1173</v>
      </c>
      <c r="S177" s="22"/>
      <c r="T177" s="22"/>
      <c r="V177" s="25" t="s">
        <v>861</v>
      </c>
      <c r="W177" s="6">
        <v>7</v>
      </c>
    </row>
    <row r="178" spans="1:23">
      <c r="A178" t="s">
        <v>2112</v>
      </c>
      <c r="B178" s="8">
        <v>45371</v>
      </c>
      <c r="C178" t="s">
        <v>437</v>
      </c>
      <c r="D178" t="s">
        <v>1624</v>
      </c>
      <c r="E178" t="s">
        <v>1908</v>
      </c>
      <c r="F178">
        <v>1</v>
      </c>
      <c r="G178" s="10">
        <v>857.35</v>
      </c>
      <c r="H178" s="13">
        <v>0.28000000000000003</v>
      </c>
      <c r="I178" t="s">
        <v>1933</v>
      </c>
      <c r="J178" s="16">
        <v>617.29200000000003</v>
      </c>
      <c r="K178" s="19">
        <f t="shared" si="10"/>
        <v>1985100.2558000009</v>
      </c>
      <c r="L178" s="22">
        <f t="shared" si="11"/>
        <v>1088.3225086622813</v>
      </c>
      <c r="M178" s="22">
        <f t="shared" si="12"/>
        <v>635</v>
      </c>
      <c r="N178" s="22" t="str">
        <f t="shared" si="13"/>
        <v>Low Value</v>
      </c>
      <c r="O178" s="22" t="str">
        <f t="shared" si="14"/>
        <v>Mar-2024</v>
      </c>
      <c r="P178" s="22" t="s">
        <v>1625</v>
      </c>
      <c r="Q178" s="22" t="s">
        <v>1536</v>
      </c>
      <c r="R178" s="22" t="s">
        <v>438</v>
      </c>
      <c r="S178" s="22"/>
      <c r="T178" s="22"/>
      <c r="V178" s="26" t="s">
        <v>1936</v>
      </c>
      <c r="W178" s="6">
        <v>3</v>
      </c>
    </row>
    <row r="179" spans="1:23">
      <c r="A179" t="s">
        <v>2113</v>
      </c>
      <c r="B179" s="8">
        <v>45670</v>
      </c>
      <c r="C179" t="s">
        <v>2114</v>
      </c>
      <c r="D179" t="s">
        <v>1719</v>
      </c>
      <c r="E179" t="s">
        <v>1889</v>
      </c>
      <c r="F179">
        <v>1</v>
      </c>
      <c r="G179" s="10">
        <v>79</v>
      </c>
      <c r="H179" s="13">
        <v>0.04</v>
      </c>
      <c r="I179" t="s">
        <v>1933</v>
      </c>
      <c r="J179" s="16">
        <v>75.84</v>
      </c>
      <c r="K179" s="19">
        <f t="shared" si="10"/>
        <v>1984482.963800001</v>
      </c>
      <c r="L179" s="22">
        <f t="shared" si="11"/>
        <v>1088.5808907295673</v>
      </c>
      <c r="M179" s="22">
        <f t="shared" si="12"/>
        <v>634</v>
      </c>
      <c r="N179" s="22" t="str">
        <f t="shared" si="13"/>
        <v>Low Value</v>
      </c>
      <c r="O179" s="22" t="str">
        <f t="shared" si="14"/>
        <v>Jan-2025</v>
      </c>
      <c r="P179" s="22" t="s">
        <v>1720</v>
      </c>
      <c r="Q179" s="22" t="s">
        <v>1560</v>
      </c>
      <c r="R179" s="22" t="s">
        <v>1520</v>
      </c>
      <c r="S179" s="22"/>
      <c r="T179" s="22"/>
      <c r="V179" s="26" t="s">
        <v>1933</v>
      </c>
      <c r="W179" s="6">
        <v>4</v>
      </c>
    </row>
    <row r="180" spans="1:23">
      <c r="A180" t="s">
        <v>2115</v>
      </c>
      <c r="B180" s="8">
        <v>45885</v>
      </c>
      <c r="C180" t="s">
        <v>241</v>
      </c>
      <c r="D180" t="s">
        <v>1837</v>
      </c>
      <c r="E180" t="s">
        <v>1880</v>
      </c>
      <c r="F180">
        <v>4</v>
      </c>
      <c r="G180" s="10">
        <v>638.91</v>
      </c>
      <c r="H180" s="13">
        <v>0</v>
      </c>
      <c r="I180" t="s">
        <v>1936</v>
      </c>
      <c r="J180" s="16">
        <v>2555.64</v>
      </c>
      <c r="K180" s="19">
        <f t="shared" si="10"/>
        <v>1984407.1238000009</v>
      </c>
      <c r="L180" s="22">
        <f t="shared" si="11"/>
        <v>1089.1367309549951</v>
      </c>
      <c r="M180" s="22">
        <f t="shared" si="12"/>
        <v>633</v>
      </c>
      <c r="N180" s="22" t="str">
        <f t="shared" si="13"/>
        <v>High Value</v>
      </c>
      <c r="O180" s="22" t="str">
        <f t="shared" si="14"/>
        <v>Aug-2025</v>
      </c>
      <c r="P180" s="22" t="s">
        <v>1838</v>
      </c>
      <c r="Q180" s="22" t="s">
        <v>1555</v>
      </c>
      <c r="R180" s="22" t="s">
        <v>242</v>
      </c>
      <c r="S180" s="22"/>
      <c r="T180" s="22"/>
      <c r="V180" s="25" t="s">
        <v>781</v>
      </c>
      <c r="W180" s="6">
        <v>13</v>
      </c>
    </row>
    <row r="181" spans="1:23">
      <c r="A181" t="s">
        <v>2116</v>
      </c>
      <c r="B181" s="8">
        <v>45812</v>
      </c>
      <c r="C181" t="s">
        <v>292</v>
      </c>
      <c r="D181" t="s">
        <v>1687</v>
      </c>
      <c r="E181" t="s">
        <v>1859</v>
      </c>
      <c r="F181">
        <v>2</v>
      </c>
      <c r="G181" s="10">
        <v>522.16999999999996</v>
      </c>
      <c r="H181" s="13">
        <v>0.27</v>
      </c>
      <c r="I181" t="s">
        <v>1931</v>
      </c>
      <c r="J181" s="16">
        <v>762.36819999999989</v>
      </c>
      <c r="K181" s="19">
        <f t="shared" si="10"/>
        <v>1981851.4838000012</v>
      </c>
      <c r="L181" s="22">
        <f t="shared" si="11"/>
        <v>1088.3314024162555</v>
      </c>
      <c r="M181" s="22">
        <f t="shared" si="12"/>
        <v>633</v>
      </c>
      <c r="N181" s="22" t="str">
        <f t="shared" si="13"/>
        <v>Low Value</v>
      </c>
      <c r="O181" s="22" t="str">
        <f t="shared" si="14"/>
        <v>Jun-2025</v>
      </c>
      <c r="P181" s="22" t="s">
        <v>1688</v>
      </c>
      <c r="Q181" s="22" t="s">
        <v>1569</v>
      </c>
      <c r="R181" s="22" t="s">
        <v>293</v>
      </c>
      <c r="S181" s="22"/>
      <c r="T181" s="22"/>
      <c r="V181" s="26" t="s">
        <v>1936</v>
      </c>
      <c r="W181" s="6">
        <v>8</v>
      </c>
    </row>
    <row r="182" spans="1:23">
      <c r="A182" t="s">
        <v>2117</v>
      </c>
      <c r="B182" s="8">
        <v>45235</v>
      </c>
      <c r="C182" t="s">
        <v>1462</v>
      </c>
      <c r="D182" t="s">
        <v>1668</v>
      </c>
      <c r="E182" t="s">
        <v>1901</v>
      </c>
      <c r="F182">
        <v>3</v>
      </c>
      <c r="G182" s="10">
        <v>954.29</v>
      </c>
      <c r="H182" s="13">
        <v>0.27</v>
      </c>
      <c r="I182" t="s">
        <v>1931</v>
      </c>
      <c r="J182" s="16">
        <v>2089.8951000000002</v>
      </c>
      <c r="K182" s="19">
        <f t="shared" si="10"/>
        <v>1981089.1156000011</v>
      </c>
      <c r="L182" s="22">
        <f t="shared" si="11"/>
        <v>1088.5105030769237</v>
      </c>
      <c r="M182" s="22">
        <f t="shared" si="12"/>
        <v>633</v>
      </c>
      <c r="N182" s="22" t="str">
        <f t="shared" si="13"/>
        <v>High Value</v>
      </c>
      <c r="O182" s="22" t="str">
        <f t="shared" si="14"/>
        <v>Nov-2023</v>
      </c>
      <c r="P182" s="22" t="s">
        <v>1669</v>
      </c>
      <c r="Q182" s="22" t="s">
        <v>1531</v>
      </c>
      <c r="R182" s="22" t="s">
        <v>3960</v>
      </c>
      <c r="S182" s="22"/>
      <c r="T182" s="22"/>
      <c r="V182" s="26" t="s">
        <v>1931</v>
      </c>
      <c r="W182" s="6">
        <v>1</v>
      </c>
    </row>
    <row r="183" spans="1:23">
      <c r="A183" t="s">
        <v>2118</v>
      </c>
      <c r="B183" s="8">
        <v>45710</v>
      </c>
      <c r="C183" t="s">
        <v>1416</v>
      </c>
      <c r="D183" t="s">
        <v>1649</v>
      </c>
      <c r="E183" t="s">
        <v>1904</v>
      </c>
      <c r="F183">
        <v>3</v>
      </c>
      <c r="G183" s="10">
        <v>53.92</v>
      </c>
      <c r="H183" s="13">
        <v>0.15</v>
      </c>
      <c r="I183" t="s">
        <v>1933</v>
      </c>
      <c r="J183" s="16">
        <v>137.49600000000001</v>
      </c>
      <c r="K183" s="19">
        <f t="shared" si="10"/>
        <v>1978999.220500001</v>
      </c>
      <c r="L183" s="22">
        <f t="shared" si="11"/>
        <v>1087.9599892798246</v>
      </c>
      <c r="M183" s="22">
        <f t="shared" si="12"/>
        <v>633</v>
      </c>
      <c r="N183" s="22" t="str">
        <f t="shared" si="13"/>
        <v>Low Value</v>
      </c>
      <c r="O183" s="22" t="str">
        <f t="shared" si="14"/>
        <v>Feb-2025</v>
      </c>
      <c r="P183" s="22" t="s">
        <v>1650</v>
      </c>
      <c r="Q183" s="22" t="s">
        <v>1560</v>
      </c>
      <c r="R183" s="22" t="s">
        <v>1417</v>
      </c>
      <c r="S183" s="22"/>
      <c r="T183" s="22"/>
      <c r="V183" s="26" t="s">
        <v>1933</v>
      </c>
      <c r="W183" s="6">
        <v>4</v>
      </c>
    </row>
    <row r="184" spans="1:23">
      <c r="A184" t="s">
        <v>2119</v>
      </c>
      <c r="B184" s="8">
        <v>45753</v>
      </c>
      <c r="C184" t="s">
        <v>1229</v>
      </c>
      <c r="D184" t="s">
        <v>1652</v>
      </c>
      <c r="E184" t="s">
        <v>1859</v>
      </c>
      <c r="F184">
        <v>4</v>
      </c>
      <c r="G184" s="10">
        <v>741.88</v>
      </c>
      <c r="H184" s="13">
        <v>0.02</v>
      </c>
      <c r="I184" t="s">
        <v>1936</v>
      </c>
      <c r="J184" s="16">
        <v>2908.1696000000002</v>
      </c>
      <c r="K184" s="19">
        <f t="shared" si="10"/>
        <v>1978861.7245000009</v>
      </c>
      <c r="L184" s="22">
        <f t="shared" si="11"/>
        <v>1088.482796754676</v>
      </c>
      <c r="M184" s="22">
        <f t="shared" si="12"/>
        <v>632</v>
      </c>
      <c r="N184" s="22" t="str">
        <f t="shared" si="13"/>
        <v>High Value</v>
      </c>
      <c r="O184" s="22" t="str">
        <f t="shared" si="14"/>
        <v>Apr-2025</v>
      </c>
      <c r="P184" s="22" t="s">
        <v>1653</v>
      </c>
      <c r="Q184" s="22" t="s">
        <v>1531</v>
      </c>
      <c r="R184" s="22" t="s">
        <v>1230</v>
      </c>
      <c r="S184" s="22"/>
      <c r="T184" s="22"/>
      <c r="V184" s="25" t="s">
        <v>471</v>
      </c>
      <c r="W184" s="6">
        <v>4</v>
      </c>
    </row>
    <row r="185" spans="1:23">
      <c r="A185" t="s">
        <v>2120</v>
      </c>
      <c r="B185" s="8">
        <v>45594</v>
      </c>
      <c r="C185" t="s">
        <v>134</v>
      </c>
      <c r="D185" t="s">
        <v>1690</v>
      </c>
      <c r="E185" t="s">
        <v>1873</v>
      </c>
      <c r="F185">
        <v>1</v>
      </c>
      <c r="G185" s="10">
        <v>547.09</v>
      </c>
      <c r="H185" s="13">
        <v>0.01</v>
      </c>
      <c r="I185" t="s">
        <v>1933</v>
      </c>
      <c r="J185" s="16">
        <v>541.6191</v>
      </c>
      <c r="K185" s="19">
        <f t="shared" si="10"/>
        <v>1975953.5549000013</v>
      </c>
      <c r="L185" s="22">
        <f t="shared" si="11"/>
        <v>1087.4813180517344</v>
      </c>
      <c r="M185" s="22">
        <f t="shared" si="12"/>
        <v>632</v>
      </c>
      <c r="N185" s="22" t="str">
        <f t="shared" si="13"/>
        <v>Low Value</v>
      </c>
      <c r="O185" s="22" t="str">
        <f t="shared" si="14"/>
        <v>Oct-2024</v>
      </c>
      <c r="P185" s="22" t="s">
        <v>1691</v>
      </c>
      <c r="Q185" s="22" t="s">
        <v>1536</v>
      </c>
      <c r="R185" s="22" t="s">
        <v>3943</v>
      </c>
      <c r="S185" s="22"/>
      <c r="T185" s="22"/>
      <c r="V185" s="26" t="s">
        <v>1936</v>
      </c>
      <c r="W185" s="6">
        <v>2</v>
      </c>
    </row>
    <row r="186" spans="1:23">
      <c r="A186" t="s">
        <v>2121</v>
      </c>
      <c r="B186" s="8">
        <v>45686</v>
      </c>
      <c r="C186" t="s">
        <v>1492</v>
      </c>
      <c r="D186" t="s">
        <v>1822</v>
      </c>
      <c r="E186" t="s">
        <v>1873</v>
      </c>
      <c r="F186">
        <v>1</v>
      </c>
      <c r="G186" s="10">
        <v>789.35</v>
      </c>
      <c r="H186" s="13">
        <v>0.14000000000000001</v>
      </c>
      <c r="I186" t="s">
        <v>1933</v>
      </c>
      <c r="J186" s="16">
        <v>678.84100000000001</v>
      </c>
      <c r="K186" s="19">
        <f t="shared" si="10"/>
        <v>1975411.9358000013</v>
      </c>
      <c r="L186" s="22">
        <f t="shared" si="11"/>
        <v>1087.781902973569</v>
      </c>
      <c r="M186" s="22">
        <f t="shared" si="12"/>
        <v>631</v>
      </c>
      <c r="N186" s="22" t="str">
        <f t="shared" si="13"/>
        <v>Low Value</v>
      </c>
      <c r="O186" s="22" t="str">
        <f t="shared" si="14"/>
        <v>Jan-2025</v>
      </c>
      <c r="P186" s="22" t="s">
        <v>1823</v>
      </c>
      <c r="Q186" s="22" t="s">
        <v>1555</v>
      </c>
      <c r="R186" s="22" t="s">
        <v>1493</v>
      </c>
      <c r="S186" s="22"/>
      <c r="T186" s="22"/>
      <c r="V186" s="26" t="s">
        <v>1931</v>
      </c>
      <c r="W186" s="6">
        <v>2</v>
      </c>
    </row>
    <row r="187" spans="1:23">
      <c r="A187" t="s">
        <v>2122</v>
      </c>
      <c r="B187" s="8">
        <v>45354</v>
      </c>
      <c r="C187" t="s">
        <v>1319</v>
      </c>
      <c r="D187" t="s">
        <v>1743</v>
      </c>
      <c r="E187" t="s">
        <v>1873</v>
      </c>
      <c r="F187">
        <v>3</v>
      </c>
      <c r="G187" s="10">
        <v>476.78</v>
      </c>
      <c r="H187" s="13">
        <v>0.09</v>
      </c>
      <c r="I187" t="s">
        <v>1936</v>
      </c>
      <c r="J187" s="16">
        <v>1301.6094000000001</v>
      </c>
      <c r="K187" s="19">
        <f t="shared" si="10"/>
        <v>1974733.0948000015</v>
      </c>
      <c r="L187" s="22">
        <f t="shared" si="11"/>
        <v>1088.0072147658411</v>
      </c>
      <c r="M187" s="22">
        <f t="shared" si="12"/>
        <v>630</v>
      </c>
      <c r="N187" s="22" t="str">
        <f t="shared" si="13"/>
        <v>High Value</v>
      </c>
      <c r="O187" s="22" t="str">
        <f t="shared" si="14"/>
        <v>Mar-2024</v>
      </c>
      <c r="P187" s="22" t="s">
        <v>1744</v>
      </c>
      <c r="Q187" s="22" t="s">
        <v>1555</v>
      </c>
      <c r="R187" s="22" t="s">
        <v>1320</v>
      </c>
      <c r="S187" s="22"/>
      <c r="T187" s="22"/>
      <c r="V187" s="25" t="s">
        <v>56</v>
      </c>
      <c r="W187" s="6">
        <v>10</v>
      </c>
    </row>
    <row r="188" spans="1:23">
      <c r="A188" t="s">
        <v>2123</v>
      </c>
      <c r="B188" s="8">
        <v>45600</v>
      </c>
      <c r="C188" t="s">
        <v>1391</v>
      </c>
      <c r="D188" t="s">
        <v>1792</v>
      </c>
      <c r="E188" t="s">
        <v>1917</v>
      </c>
      <c r="F188">
        <v>2</v>
      </c>
      <c r="G188" s="10">
        <v>504.26</v>
      </c>
      <c r="H188" s="13">
        <v>0.04</v>
      </c>
      <c r="I188" t="s">
        <v>1933</v>
      </c>
      <c r="J188" s="16">
        <v>968.17919999999992</v>
      </c>
      <c r="K188" s="19">
        <f t="shared" si="10"/>
        <v>1973431.4854000015</v>
      </c>
      <c r="L188" s="22">
        <f t="shared" si="11"/>
        <v>1087.8894627342897</v>
      </c>
      <c r="M188" s="22">
        <f t="shared" si="12"/>
        <v>630</v>
      </c>
      <c r="N188" s="22" t="str">
        <f t="shared" si="13"/>
        <v>Low Value</v>
      </c>
      <c r="O188" s="22" t="str">
        <f t="shared" si="14"/>
        <v>Nov-2024</v>
      </c>
      <c r="P188" s="22" t="s">
        <v>1793</v>
      </c>
      <c r="Q188" s="22" t="s">
        <v>1560</v>
      </c>
      <c r="R188" s="22" t="s">
        <v>1392</v>
      </c>
      <c r="S188" s="22"/>
      <c r="T188" s="22"/>
      <c r="V188" s="26" t="s">
        <v>1936</v>
      </c>
      <c r="W188" s="6">
        <v>2</v>
      </c>
    </row>
    <row r="189" spans="1:23">
      <c r="A189" t="s">
        <v>2124</v>
      </c>
      <c r="B189" s="8">
        <v>45538</v>
      </c>
      <c r="C189" t="s">
        <v>865</v>
      </c>
      <c r="D189" t="s">
        <v>1798</v>
      </c>
      <c r="E189" t="s">
        <v>1883</v>
      </c>
      <c r="F189">
        <v>2</v>
      </c>
      <c r="G189" s="10">
        <v>549.33000000000004</v>
      </c>
      <c r="H189" s="13">
        <v>0.01</v>
      </c>
      <c r="I189" t="s">
        <v>1936</v>
      </c>
      <c r="J189" s="16">
        <v>1087.6733999999999</v>
      </c>
      <c r="K189" s="19">
        <f t="shared" si="10"/>
        <v>1972463.3062000016</v>
      </c>
      <c r="L189" s="22">
        <f t="shared" si="11"/>
        <v>1087.9554915609497</v>
      </c>
      <c r="M189" s="22">
        <f t="shared" si="12"/>
        <v>629</v>
      </c>
      <c r="N189" s="22" t="str">
        <f t="shared" si="13"/>
        <v>High Value</v>
      </c>
      <c r="O189" s="22" t="str">
        <f t="shared" si="14"/>
        <v>Sep-2024</v>
      </c>
      <c r="P189" s="22" t="s">
        <v>1799</v>
      </c>
      <c r="Q189" s="22" t="s">
        <v>1569</v>
      </c>
      <c r="R189" s="22" t="s">
        <v>866</v>
      </c>
      <c r="S189" s="22"/>
      <c r="T189" s="22"/>
      <c r="V189" s="26" t="s">
        <v>1931</v>
      </c>
      <c r="W189" s="6">
        <v>3</v>
      </c>
    </row>
    <row r="190" spans="1:23">
      <c r="A190" t="s">
        <v>2125</v>
      </c>
      <c r="B190" s="8">
        <v>45411</v>
      </c>
      <c r="C190" t="s">
        <v>1187</v>
      </c>
      <c r="D190" t="s">
        <v>1545</v>
      </c>
      <c r="E190" t="s">
        <v>1873</v>
      </c>
      <c r="F190">
        <v>3</v>
      </c>
      <c r="G190" s="10">
        <v>620.22</v>
      </c>
      <c r="H190" s="13">
        <v>0.04</v>
      </c>
      <c r="I190" t="s">
        <v>1931</v>
      </c>
      <c r="J190" s="16">
        <v>1786.2336</v>
      </c>
      <c r="K190" s="19">
        <f t="shared" si="10"/>
        <v>1971375.6328000017</v>
      </c>
      <c r="L190" s="22">
        <f t="shared" si="11"/>
        <v>1087.9556472406191</v>
      </c>
      <c r="M190" s="22">
        <f t="shared" si="12"/>
        <v>629</v>
      </c>
      <c r="N190" s="22" t="str">
        <f t="shared" si="13"/>
        <v>High Value</v>
      </c>
      <c r="O190" s="22" t="str">
        <f t="shared" si="14"/>
        <v>Apr-2024</v>
      </c>
      <c r="P190" s="22" t="s">
        <v>1546</v>
      </c>
      <c r="Q190" s="22" t="s">
        <v>1536</v>
      </c>
      <c r="R190" s="22" t="s">
        <v>1188</v>
      </c>
      <c r="S190" s="22"/>
      <c r="T190" s="22"/>
      <c r="V190" s="26" t="s">
        <v>1933</v>
      </c>
      <c r="W190" s="6">
        <v>5</v>
      </c>
    </row>
    <row r="191" spans="1:23">
      <c r="A191" t="s">
        <v>2126</v>
      </c>
      <c r="B191" s="8">
        <v>45411</v>
      </c>
      <c r="C191" t="s">
        <v>324</v>
      </c>
      <c r="D191" t="s">
        <v>1690</v>
      </c>
      <c r="E191" t="s">
        <v>1873</v>
      </c>
      <c r="F191">
        <v>1</v>
      </c>
      <c r="G191" s="10">
        <v>580.76</v>
      </c>
      <c r="H191" s="13">
        <v>0.1</v>
      </c>
      <c r="I191" t="s">
        <v>1936</v>
      </c>
      <c r="J191" s="16">
        <v>522.68399999999997</v>
      </c>
      <c r="K191" s="19">
        <f t="shared" si="10"/>
        <v>1969589.3992000017</v>
      </c>
      <c r="L191" s="22">
        <f t="shared" si="11"/>
        <v>1087.5700713418012</v>
      </c>
      <c r="M191" s="22">
        <f t="shared" si="12"/>
        <v>629</v>
      </c>
      <c r="N191" s="22" t="str">
        <f t="shared" si="13"/>
        <v>Low Value</v>
      </c>
      <c r="O191" s="22" t="str">
        <f t="shared" si="14"/>
        <v>Apr-2024</v>
      </c>
      <c r="P191" s="22" t="s">
        <v>1691</v>
      </c>
      <c r="Q191" s="22" t="s">
        <v>1536</v>
      </c>
      <c r="R191" s="22" t="s">
        <v>325</v>
      </c>
      <c r="S191" s="22"/>
      <c r="T191" s="22"/>
      <c r="V191" s="25" t="s">
        <v>90</v>
      </c>
      <c r="W191" s="6">
        <v>9</v>
      </c>
    </row>
    <row r="192" spans="1:23">
      <c r="A192" t="s">
        <v>2127</v>
      </c>
      <c r="B192" s="8">
        <v>45775</v>
      </c>
      <c r="C192" t="s">
        <v>1046</v>
      </c>
      <c r="D192" t="s">
        <v>1768</v>
      </c>
      <c r="E192" t="s">
        <v>1893</v>
      </c>
      <c r="F192">
        <v>3</v>
      </c>
      <c r="G192" s="10">
        <v>444.55</v>
      </c>
      <c r="H192" s="13">
        <v>0.14000000000000001</v>
      </c>
      <c r="I192" t="s">
        <v>1933</v>
      </c>
      <c r="J192" s="16">
        <v>1146.9390000000001</v>
      </c>
      <c r="K192" s="19">
        <f t="shared" si="10"/>
        <v>1969066.7152000018</v>
      </c>
      <c r="L192" s="22">
        <f t="shared" si="11"/>
        <v>1087.8821630939237</v>
      </c>
      <c r="M192" s="22">
        <f t="shared" si="12"/>
        <v>629</v>
      </c>
      <c r="N192" s="22" t="str">
        <f t="shared" si="13"/>
        <v>High Value</v>
      </c>
      <c r="O192" s="22" t="str">
        <f t="shared" si="14"/>
        <v>Apr-2025</v>
      </c>
      <c r="P192" s="22" t="s">
        <v>1769</v>
      </c>
      <c r="Q192" s="22" t="s">
        <v>1555</v>
      </c>
      <c r="R192" s="22" t="s">
        <v>1047</v>
      </c>
      <c r="S192" s="22"/>
      <c r="T192" s="22"/>
      <c r="V192" s="26" t="s">
        <v>1936</v>
      </c>
      <c r="W192" s="6">
        <v>4</v>
      </c>
    </row>
    <row r="193" spans="1:23">
      <c r="A193" t="s">
        <v>2128</v>
      </c>
      <c r="B193" s="8">
        <v>45459</v>
      </c>
      <c r="C193" t="s">
        <v>468</v>
      </c>
      <c r="D193" t="s">
        <v>1690</v>
      </c>
      <c r="E193" t="s">
        <v>1917</v>
      </c>
      <c r="F193">
        <v>1</v>
      </c>
      <c r="G193" s="10">
        <v>804.9</v>
      </c>
      <c r="H193" s="13">
        <v>0.03</v>
      </c>
      <c r="I193" t="s">
        <v>1933</v>
      </c>
      <c r="J193" s="16">
        <v>780.75299999999993</v>
      </c>
      <c r="K193" s="19">
        <f t="shared" si="10"/>
        <v>1967919.7762000018</v>
      </c>
      <c r="L193" s="22">
        <f t="shared" si="11"/>
        <v>1087.849516970703</v>
      </c>
      <c r="M193" s="22">
        <f t="shared" si="12"/>
        <v>628</v>
      </c>
      <c r="N193" s="22" t="str">
        <f t="shared" si="13"/>
        <v>Low Value</v>
      </c>
      <c r="O193" s="22" t="str">
        <f t="shared" si="14"/>
        <v>Jun-2024</v>
      </c>
      <c r="P193" s="22" t="s">
        <v>1691</v>
      </c>
      <c r="Q193" s="22" t="s">
        <v>1536</v>
      </c>
      <c r="R193" s="22" t="s">
        <v>469</v>
      </c>
      <c r="S193" s="22"/>
      <c r="T193" s="22"/>
      <c r="V193" s="26" t="s">
        <v>1931</v>
      </c>
      <c r="W193" s="6">
        <v>5</v>
      </c>
    </row>
    <row r="194" spans="1:23">
      <c r="A194" t="s">
        <v>2129</v>
      </c>
      <c r="B194" s="8">
        <v>45617</v>
      </c>
      <c r="C194" t="s">
        <v>1307</v>
      </c>
      <c r="D194" t="s">
        <v>1831</v>
      </c>
      <c r="E194" t="s">
        <v>1906</v>
      </c>
      <c r="F194">
        <v>3</v>
      </c>
      <c r="G194" s="10">
        <v>361.65</v>
      </c>
      <c r="H194" s="13">
        <v>0.15</v>
      </c>
      <c r="I194" t="s">
        <v>1936</v>
      </c>
      <c r="J194" s="16">
        <v>922.20749999999987</v>
      </c>
      <c r="K194" s="19">
        <f t="shared" ref="K194:K257" si="15">SUM(J194:J2193)</f>
        <v>1967139.0232000018</v>
      </c>
      <c r="L194" s="22">
        <f t="shared" ref="L194:L257" si="16">AVERAGE(J194:J2193)</f>
        <v>1088.0193712389391</v>
      </c>
      <c r="M194" s="22">
        <f t="shared" ref="M194:M257" si="17">COUNTIF(I194:I2193,"PayPal")</f>
        <v>627</v>
      </c>
      <c r="N194" s="22" t="str">
        <f t="shared" ref="N194:N257" si="18">IF(J194&gt;=1000,"High Value","Low Value")</f>
        <v>Low Value</v>
      </c>
      <c r="O194" s="22" t="str">
        <f t="shared" ref="O194:O257" si="19">TEXT(B194,"mmm-yyyy")</f>
        <v>Nov-2024</v>
      </c>
      <c r="P194" s="22" t="s">
        <v>1832</v>
      </c>
      <c r="Q194" s="22" t="s">
        <v>1560</v>
      </c>
      <c r="R194" s="22" t="s">
        <v>1308</v>
      </c>
      <c r="S194" s="22"/>
      <c r="T194" s="22"/>
      <c r="V194" s="25" t="s">
        <v>3959</v>
      </c>
      <c r="W194" s="6">
        <v>9</v>
      </c>
    </row>
    <row r="195" spans="1:23">
      <c r="A195" t="s">
        <v>2130</v>
      </c>
      <c r="B195" s="8">
        <v>45763</v>
      </c>
      <c r="C195" t="s">
        <v>539</v>
      </c>
      <c r="D195" t="s">
        <v>1558</v>
      </c>
      <c r="E195" t="s">
        <v>1876</v>
      </c>
      <c r="F195">
        <v>1</v>
      </c>
      <c r="G195" s="10">
        <v>271.76</v>
      </c>
      <c r="H195" s="13">
        <v>0.03</v>
      </c>
      <c r="I195" t="s">
        <v>1931</v>
      </c>
      <c r="J195" s="16">
        <v>263.60719999999998</v>
      </c>
      <c r="K195" s="19">
        <f t="shared" si="15"/>
        <v>1966216.8157000018</v>
      </c>
      <c r="L195" s="22">
        <f t="shared" si="16"/>
        <v>1088.1111320974001</v>
      </c>
      <c r="M195" s="22">
        <f t="shared" si="17"/>
        <v>627</v>
      </c>
      <c r="N195" s="22" t="str">
        <f t="shared" si="18"/>
        <v>Low Value</v>
      </c>
      <c r="O195" s="22" t="str">
        <f t="shared" si="19"/>
        <v>Apr-2025</v>
      </c>
      <c r="P195" s="22" t="s">
        <v>1559</v>
      </c>
      <c r="Q195" s="22" t="s">
        <v>1560</v>
      </c>
      <c r="R195" s="22" t="s">
        <v>540</v>
      </c>
      <c r="S195" s="22"/>
      <c r="T195" s="22"/>
      <c r="V195" s="26" t="s">
        <v>1931</v>
      </c>
      <c r="W195" s="6">
        <v>3</v>
      </c>
    </row>
    <row r="196" spans="1:23">
      <c r="A196" t="s">
        <v>2131</v>
      </c>
      <c r="B196" s="8">
        <v>45618</v>
      </c>
      <c r="C196" t="s">
        <v>1014</v>
      </c>
      <c r="D196" t="s">
        <v>1700</v>
      </c>
      <c r="E196" t="s">
        <v>1896</v>
      </c>
      <c r="F196">
        <v>3</v>
      </c>
      <c r="G196" s="10">
        <v>958.15</v>
      </c>
      <c r="H196" s="13">
        <v>0.24</v>
      </c>
      <c r="I196" t="s">
        <v>1936</v>
      </c>
      <c r="J196" s="16">
        <v>2184.5819999999999</v>
      </c>
      <c r="K196" s="19">
        <f t="shared" si="15"/>
        <v>1965953.2085000018</v>
      </c>
      <c r="L196" s="22">
        <f t="shared" si="16"/>
        <v>1088.5676680509423</v>
      </c>
      <c r="M196" s="22">
        <f t="shared" si="17"/>
        <v>627</v>
      </c>
      <c r="N196" s="22" t="str">
        <f t="shared" si="18"/>
        <v>High Value</v>
      </c>
      <c r="O196" s="22" t="str">
        <f t="shared" si="19"/>
        <v>Nov-2024</v>
      </c>
      <c r="P196" s="22" t="s">
        <v>1701</v>
      </c>
      <c r="Q196" s="22" t="s">
        <v>1555</v>
      </c>
      <c r="R196" s="22" t="s">
        <v>1015</v>
      </c>
      <c r="S196" s="22"/>
      <c r="T196" s="22"/>
      <c r="V196" s="26" t="s">
        <v>1933</v>
      </c>
      <c r="W196" s="6">
        <v>6</v>
      </c>
    </row>
    <row r="197" spans="1:23">
      <c r="A197" t="s">
        <v>2132</v>
      </c>
      <c r="B197" s="8">
        <v>45290</v>
      </c>
      <c r="C197" t="s">
        <v>1316</v>
      </c>
      <c r="D197" t="s">
        <v>1734</v>
      </c>
      <c r="E197" t="s">
        <v>1914</v>
      </c>
      <c r="F197">
        <v>1</v>
      </c>
      <c r="G197" s="10">
        <v>889.19</v>
      </c>
      <c r="H197" s="13">
        <v>0.03</v>
      </c>
      <c r="I197" t="s">
        <v>1931</v>
      </c>
      <c r="J197" s="16">
        <v>862.51430000000005</v>
      </c>
      <c r="K197" s="19">
        <f t="shared" si="15"/>
        <v>1963768.6265000019</v>
      </c>
      <c r="L197" s="22">
        <f t="shared" si="16"/>
        <v>1087.9604578947378</v>
      </c>
      <c r="M197" s="22">
        <f t="shared" si="17"/>
        <v>627</v>
      </c>
      <c r="N197" s="22" t="str">
        <f t="shared" si="18"/>
        <v>Low Value</v>
      </c>
      <c r="O197" s="22" t="str">
        <f t="shared" si="19"/>
        <v>Dec-2023</v>
      </c>
      <c r="P197" s="22" t="s">
        <v>1735</v>
      </c>
      <c r="Q197" s="22" t="s">
        <v>1555</v>
      </c>
      <c r="R197" s="22" t="s">
        <v>1317</v>
      </c>
      <c r="S197" s="22"/>
      <c r="T197" s="22"/>
      <c r="V197" s="25" t="s">
        <v>893</v>
      </c>
      <c r="W197" s="6">
        <v>17</v>
      </c>
    </row>
    <row r="198" spans="1:23">
      <c r="A198" t="s">
        <v>2133</v>
      </c>
      <c r="B198" s="8">
        <v>45904</v>
      </c>
      <c r="C198" t="s">
        <v>1943</v>
      </c>
      <c r="D198" t="s">
        <v>1725</v>
      </c>
      <c r="E198" t="s">
        <v>1911</v>
      </c>
      <c r="F198">
        <v>4</v>
      </c>
      <c r="G198" s="10">
        <v>689.67</v>
      </c>
      <c r="H198" s="13">
        <v>0.05</v>
      </c>
      <c r="I198" t="s">
        <v>1936</v>
      </c>
      <c r="J198" s="16">
        <v>2620.7460000000001</v>
      </c>
      <c r="K198" s="19">
        <f t="shared" si="15"/>
        <v>1962906.112200002</v>
      </c>
      <c r="L198" s="22">
        <f t="shared" si="16"/>
        <v>1088.0854280487815</v>
      </c>
      <c r="M198" s="22">
        <f t="shared" si="17"/>
        <v>627</v>
      </c>
      <c r="N198" s="22" t="str">
        <f t="shared" si="18"/>
        <v>High Value</v>
      </c>
      <c r="O198" s="22" t="str">
        <f t="shared" si="19"/>
        <v>Sep-2025</v>
      </c>
      <c r="P198" s="22" t="s">
        <v>1726</v>
      </c>
      <c r="Q198" s="22" t="s">
        <v>1569</v>
      </c>
      <c r="R198" s="22" t="s">
        <v>1422</v>
      </c>
      <c r="S198" s="22"/>
      <c r="T198" s="22"/>
      <c r="V198" s="26" t="s">
        <v>1936</v>
      </c>
      <c r="W198" s="6">
        <v>10</v>
      </c>
    </row>
    <row r="199" spans="1:23">
      <c r="A199" t="s">
        <v>2134</v>
      </c>
      <c r="B199" s="8">
        <v>45227</v>
      </c>
      <c r="C199" t="s">
        <v>459</v>
      </c>
      <c r="D199" t="s">
        <v>1684</v>
      </c>
      <c r="E199" t="s">
        <v>1899</v>
      </c>
      <c r="F199">
        <v>1</v>
      </c>
      <c r="G199" s="10">
        <v>541.24</v>
      </c>
      <c r="H199" s="13">
        <v>0.03</v>
      </c>
      <c r="I199" t="s">
        <v>1933</v>
      </c>
      <c r="J199" s="16">
        <v>525.00279999999998</v>
      </c>
      <c r="K199" s="19">
        <f t="shared" si="15"/>
        <v>1960285.3662000021</v>
      </c>
      <c r="L199" s="22">
        <f t="shared" si="16"/>
        <v>1087.2353667221309</v>
      </c>
      <c r="M199" s="22">
        <f t="shared" si="17"/>
        <v>627</v>
      </c>
      <c r="N199" s="22" t="str">
        <f t="shared" si="18"/>
        <v>Low Value</v>
      </c>
      <c r="O199" s="22" t="str">
        <f t="shared" si="19"/>
        <v>Oct-2023</v>
      </c>
      <c r="P199" s="22" t="s">
        <v>1685</v>
      </c>
      <c r="Q199" s="22" t="s">
        <v>1569</v>
      </c>
      <c r="R199" s="22" t="s">
        <v>460</v>
      </c>
      <c r="S199" s="22"/>
      <c r="T199" s="22"/>
      <c r="V199" s="26" t="s">
        <v>1931</v>
      </c>
      <c r="W199" s="6">
        <v>4</v>
      </c>
    </row>
    <row r="200" spans="1:23">
      <c r="A200" t="s">
        <v>2135</v>
      </c>
      <c r="B200" s="8">
        <v>45600</v>
      </c>
      <c r="C200" t="s">
        <v>1377</v>
      </c>
      <c r="D200" t="s">
        <v>1798</v>
      </c>
      <c r="E200" t="s">
        <v>1883</v>
      </c>
      <c r="F200">
        <v>1</v>
      </c>
      <c r="G200" s="10">
        <v>454.71</v>
      </c>
      <c r="H200" s="13">
        <v>0.16</v>
      </c>
      <c r="I200" t="s">
        <v>1933</v>
      </c>
      <c r="J200" s="16">
        <v>381.95639999999997</v>
      </c>
      <c r="K200" s="19">
        <f t="shared" si="15"/>
        <v>1959760.363400002</v>
      </c>
      <c r="L200" s="22">
        <f t="shared" si="16"/>
        <v>1087.5473714761388</v>
      </c>
      <c r="M200" s="22">
        <f t="shared" si="17"/>
        <v>626</v>
      </c>
      <c r="N200" s="22" t="str">
        <f t="shared" si="18"/>
        <v>Low Value</v>
      </c>
      <c r="O200" s="22" t="str">
        <f t="shared" si="19"/>
        <v>Nov-2024</v>
      </c>
      <c r="P200" s="22" t="s">
        <v>1799</v>
      </c>
      <c r="Q200" s="22" t="s">
        <v>1569</v>
      </c>
      <c r="R200" s="22" t="s">
        <v>1378</v>
      </c>
      <c r="S200" s="22"/>
      <c r="T200" s="22"/>
      <c r="V200" s="26" t="s">
        <v>1933</v>
      </c>
      <c r="W200" s="6">
        <v>3</v>
      </c>
    </row>
    <row r="201" spans="1:23">
      <c r="A201" t="s">
        <v>2136</v>
      </c>
      <c r="B201" s="8">
        <v>45646</v>
      </c>
      <c r="C201" t="s">
        <v>149</v>
      </c>
      <c r="D201" t="s">
        <v>1752</v>
      </c>
      <c r="E201" t="s">
        <v>1880</v>
      </c>
      <c r="F201">
        <v>2</v>
      </c>
      <c r="G201" s="10">
        <v>397.63</v>
      </c>
      <c r="H201" s="13">
        <v>0.26</v>
      </c>
      <c r="I201" t="s">
        <v>1931</v>
      </c>
      <c r="J201" s="16">
        <v>588.49239999999998</v>
      </c>
      <c r="K201" s="19">
        <f t="shared" si="15"/>
        <v>1959378.407000002</v>
      </c>
      <c r="L201" s="22">
        <f t="shared" si="16"/>
        <v>1087.9391488062199</v>
      </c>
      <c r="M201" s="22">
        <f t="shared" si="17"/>
        <v>625</v>
      </c>
      <c r="N201" s="22" t="str">
        <f t="shared" si="18"/>
        <v>Low Value</v>
      </c>
      <c r="O201" s="22" t="str">
        <f t="shared" si="19"/>
        <v>Dec-2024</v>
      </c>
      <c r="P201" s="22" t="s">
        <v>1753</v>
      </c>
      <c r="Q201" s="22" t="s">
        <v>1555</v>
      </c>
      <c r="R201" s="22" t="s">
        <v>150</v>
      </c>
      <c r="S201" s="22"/>
      <c r="T201" s="22"/>
      <c r="V201" s="25" t="s">
        <v>346</v>
      </c>
      <c r="W201" s="6">
        <v>7</v>
      </c>
    </row>
    <row r="202" spans="1:23">
      <c r="A202" t="s">
        <v>2137</v>
      </c>
      <c r="B202" s="8">
        <v>45725</v>
      </c>
      <c r="C202" t="s">
        <v>563</v>
      </c>
      <c r="D202" t="s">
        <v>1804</v>
      </c>
      <c r="E202" t="s">
        <v>1883</v>
      </c>
      <c r="F202">
        <v>3</v>
      </c>
      <c r="G202" s="10">
        <v>748.56</v>
      </c>
      <c r="H202" s="13">
        <v>0.26</v>
      </c>
      <c r="I202" t="s">
        <v>1933</v>
      </c>
      <c r="J202" s="16">
        <v>1661.8032000000001</v>
      </c>
      <c r="K202" s="19">
        <f t="shared" si="15"/>
        <v>1958789.9146000021</v>
      </c>
      <c r="L202" s="22">
        <f t="shared" si="16"/>
        <v>1088.2166192222235</v>
      </c>
      <c r="M202" s="22">
        <f t="shared" si="17"/>
        <v>625</v>
      </c>
      <c r="N202" s="22" t="str">
        <f t="shared" si="18"/>
        <v>High Value</v>
      </c>
      <c r="O202" s="22" t="str">
        <f t="shared" si="19"/>
        <v>Mar-2025</v>
      </c>
      <c r="P202" s="22" t="s">
        <v>1805</v>
      </c>
      <c r="Q202" s="22" t="s">
        <v>1555</v>
      </c>
      <c r="R202" s="22" t="s">
        <v>3948</v>
      </c>
      <c r="S202" s="22"/>
      <c r="T202" s="22"/>
      <c r="V202" s="26" t="s">
        <v>1931</v>
      </c>
      <c r="W202" s="6">
        <v>5</v>
      </c>
    </row>
    <row r="203" spans="1:23">
      <c r="A203" t="s">
        <v>2138</v>
      </c>
      <c r="B203" s="8">
        <v>45742</v>
      </c>
      <c r="C203" t="s">
        <v>485</v>
      </c>
      <c r="D203" t="s">
        <v>1649</v>
      </c>
      <c r="E203" t="s">
        <v>1876</v>
      </c>
      <c r="F203">
        <v>1</v>
      </c>
      <c r="G203" s="10">
        <v>885.72</v>
      </c>
      <c r="H203" s="13">
        <v>0.15</v>
      </c>
      <c r="I203" t="s">
        <v>1931</v>
      </c>
      <c r="J203" s="16">
        <v>752.86199999999997</v>
      </c>
      <c r="K203" s="19">
        <f t="shared" si="15"/>
        <v>1957128.1114000021</v>
      </c>
      <c r="L203" s="22">
        <f t="shared" si="16"/>
        <v>1087.8977828793786</v>
      </c>
      <c r="M203" s="22">
        <f t="shared" si="17"/>
        <v>624</v>
      </c>
      <c r="N203" s="22" t="str">
        <f t="shared" si="18"/>
        <v>Low Value</v>
      </c>
      <c r="O203" s="22" t="str">
        <f t="shared" si="19"/>
        <v>Mar-2025</v>
      </c>
      <c r="P203" s="22" t="s">
        <v>1650</v>
      </c>
      <c r="Q203" s="22" t="s">
        <v>1560</v>
      </c>
      <c r="R203" s="22" t="s">
        <v>486</v>
      </c>
      <c r="S203" s="22"/>
      <c r="T203" s="22"/>
      <c r="V203" s="26" t="s">
        <v>1933</v>
      </c>
      <c r="W203" s="6">
        <v>2</v>
      </c>
    </row>
    <row r="204" spans="1:23">
      <c r="A204" t="s">
        <v>2139</v>
      </c>
      <c r="B204" s="8">
        <v>45750</v>
      </c>
      <c r="C204" t="s">
        <v>376</v>
      </c>
      <c r="D204" t="s">
        <v>1740</v>
      </c>
      <c r="E204" t="s">
        <v>1864</v>
      </c>
      <c r="F204">
        <v>4</v>
      </c>
      <c r="G204" s="10">
        <v>408.07</v>
      </c>
      <c r="H204" s="13">
        <v>0.28000000000000003</v>
      </c>
      <c r="I204" t="s">
        <v>1936</v>
      </c>
      <c r="J204" s="16">
        <v>1175.2416000000001</v>
      </c>
      <c r="K204" s="19">
        <f t="shared" si="15"/>
        <v>1956375.2494000024</v>
      </c>
      <c r="L204" s="22">
        <f t="shared" si="16"/>
        <v>1088.0841209121259</v>
      </c>
      <c r="M204" s="22">
        <f t="shared" si="17"/>
        <v>624</v>
      </c>
      <c r="N204" s="22" t="str">
        <f t="shared" si="18"/>
        <v>High Value</v>
      </c>
      <c r="O204" s="22" t="str">
        <f t="shared" si="19"/>
        <v>Apr-2025</v>
      </c>
      <c r="P204" s="22" t="s">
        <v>1741</v>
      </c>
      <c r="Q204" s="22" t="s">
        <v>1531</v>
      </c>
      <c r="R204" s="22" t="s">
        <v>377</v>
      </c>
      <c r="S204" s="22"/>
      <c r="T204" s="22"/>
      <c r="V204" s="25" t="s">
        <v>899</v>
      </c>
      <c r="W204" s="6">
        <v>11</v>
      </c>
    </row>
    <row r="205" spans="1:23">
      <c r="A205" t="s">
        <v>2140</v>
      </c>
      <c r="B205" s="8">
        <v>45327</v>
      </c>
      <c r="C205" t="s">
        <v>1445</v>
      </c>
      <c r="D205" t="s">
        <v>1652</v>
      </c>
      <c r="E205" t="s">
        <v>1893</v>
      </c>
      <c r="F205">
        <v>2</v>
      </c>
      <c r="G205" s="10">
        <v>597.07000000000005</v>
      </c>
      <c r="H205" s="13">
        <v>0.28000000000000003</v>
      </c>
      <c r="I205" t="s">
        <v>1933</v>
      </c>
      <c r="J205" s="16">
        <v>859.7808</v>
      </c>
      <c r="K205" s="19">
        <f t="shared" si="15"/>
        <v>1955200.0078000023</v>
      </c>
      <c r="L205" s="22">
        <f t="shared" si="16"/>
        <v>1088.035619254314</v>
      </c>
      <c r="M205" s="22">
        <f t="shared" si="17"/>
        <v>624</v>
      </c>
      <c r="N205" s="22" t="str">
        <f t="shared" si="18"/>
        <v>Low Value</v>
      </c>
      <c r="O205" s="22" t="str">
        <f t="shared" si="19"/>
        <v>Feb-2024</v>
      </c>
      <c r="P205" s="22" t="s">
        <v>1653</v>
      </c>
      <c r="Q205" s="22" t="s">
        <v>1531</v>
      </c>
      <c r="R205" s="22" t="s">
        <v>1446</v>
      </c>
      <c r="S205" s="22"/>
      <c r="T205" s="22"/>
      <c r="V205" s="26" t="s">
        <v>1936</v>
      </c>
      <c r="W205" s="6">
        <v>5</v>
      </c>
    </row>
    <row r="206" spans="1:23">
      <c r="A206" t="s">
        <v>2141</v>
      </c>
      <c r="B206" s="8">
        <v>45465</v>
      </c>
      <c r="C206" t="s">
        <v>97</v>
      </c>
      <c r="D206" t="s">
        <v>1755</v>
      </c>
      <c r="E206" t="s">
        <v>1893</v>
      </c>
      <c r="F206">
        <v>3</v>
      </c>
      <c r="G206" s="10">
        <v>723.47</v>
      </c>
      <c r="H206" s="13">
        <v>0.12</v>
      </c>
      <c r="I206" t="s">
        <v>1936</v>
      </c>
      <c r="J206" s="16">
        <v>1909.9608000000001</v>
      </c>
      <c r="K206" s="19">
        <f t="shared" si="15"/>
        <v>1954340.2270000023</v>
      </c>
      <c r="L206" s="22">
        <f t="shared" si="16"/>
        <v>1088.1627099109144</v>
      </c>
      <c r="M206" s="22">
        <f t="shared" si="17"/>
        <v>623</v>
      </c>
      <c r="N206" s="22" t="str">
        <f t="shared" si="18"/>
        <v>High Value</v>
      </c>
      <c r="O206" s="22" t="str">
        <f t="shared" si="19"/>
        <v>Jun-2024</v>
      </c>
      <c r="P206" s="22" t="s">
        <v>1756</v>
      </c>
      <c r="Q206" s="22" t="s">
        <v>1531</v>
      </c>
      <c r="R206" s="22" t="s">
        <v>3942</v>
      </c>
      <c r="S206" s="22"/>
      <c r="T206" s="22"/>
      <c r="V206" s="26" t="s">
        <v>1933</v>
      </c>
      <c r="W206" s="6">
        <v>6</v>
      </c>
    </row>
    <row r="207" spans="1:23">
      <c r="A207" t="s">
        <v>2142</v>
      </c>
      <c r="B207" s="8">
        <v>45883</v>
      </c>
      <c r="C207" t="s">
        <v>1346</v>
      </c>
      <c r="D207" t="s">
        <v>1819</v>
      </c>
      <c r="E207" t="s">
        <v>1880</v>
      </c>
      <c r="F207">
        <v>1</v>
      </c>
      <c r="G207" s="10">
        <v>479.93</v>
      </c>
      <c r="H207" s="13">
        <v>0.22</v>
      </c>
      <c r="I207" t="s">
        <v>1931</v>
      </c>
      <c r="J207" s="16">
        <v>374.34539999999998</v>
      </c>
      <c r="K207" s="19">
        <f t="shared" si="15"/>
        <v>1952430.2662000025</v>
      </c>
      <c r="L207" s="22">
        <f t="shared" si="16"/>
        <v>1087.7048836768815</v>
      </c>
      <c r="M207" s="22">
        <f t="shared" si="17"/>
        <v>623</v>
      </c>
      <c r="N207" s="22" t="str">
        <f t="shared" si="18"/>
        <v>Low Value</v>
      </c>
      <c r="O207" s="22" t="str">
        <f t="shared" si="19"/>
        <v>Aug-2025</v>
      </c>
      <c r="P207" s="22" t="s">
        <v>1820</v>
      </c>
      <c r="Q207" s="22" t="s">
        <v>1569</v>
      </c>
      <c r="R207" s="22" t="s">
        <v>1347</v>
      </c>
      <c r="S207" s="22"/>
      <c r="T207" s="22"/>
      <c r="V207" s="25" t="s">
        <v>1471</v>
      </c>
      <c r="W207" s="6">
        <v>8</v>
      </c>
    </row>
    <row r="208" spans="1:23">
      <c r="A208" t="s">
        <v>2143</v>
      </c>
      <c r="B208" s="8">
        <v>45445</v>
      </c>
      <c r="C208" t="s">
        <v>780</v>
      </c>
      <c r="D208" t="s">
        <v>1652</v>
      </c>
      <c r="E208" t="s">
        <v>1911</v>
      </c>
      <c r="F208">
        <v>4</v>
      </c>
      <c r="G208" s="10">
        <v>362.81</v>
      </c>
      <c r="H208" s="13">
        <v>0.21</v>
      </c>
      <c r="I208" t="s">
        <v>1936</v>
      </c>
      <c r="J208" s="16">
        <v>1146.4795999999999</v>
      </c>
      <c r="K208" s="19">
        <f t="shared" si="15"/>
        <v>1952055.9208000025</v>
      </c>
      <c r="L208" s="22">
        <f t="shared" si="16"/>
        <v>1088.1025199554083</v>
      </c>
      <c r="M208" s="22">
        <f t="shared" si="17"/>
        <v>623</v>
      </c>
      <c r="N208" s="22" t="str">
        <f t="shared" si="18"/>
        <v>High Value</v>
      </c>
      <c r="O208" s="22" t="str">
        <f t="shared" si="19"/>
        <v>Jun-2024</v>
      </c>
      <c r="P208" s="22" t="s">
        <v>1653</v>
      </c>
      <c r="Q208" s="22" t="s">
        <v>1531</v>
      </c>
      <c r="R208" s="22" t="s">
        <v>781</v>
      </c>
      <c r="S208" s="22"/>
      <c r="T208" s="22"/>
      <c r="V208" s="26" t="s">
        <v>1936</v>
      </c>
      <c r="W208" s="6">
        <v>5</v>
      </c>
    </row>
    <row r="209" spans="1:23">
      <c r="A209" t="s">
        <v>2144</v>
      </c>
      <c r="B209" s="8">
        <v>45640</v>
      </c>
      <c r="C209" t="s">
        <v>608</v>
      </c>
      <c r="D209" t="s">
        <v>1792</v>
      </c>
      <c r="E209" t="s">
        <v>1873</v>
      </c>
      <c r="F209">
        <v>1</v>
      </c>
      <c r="G209" s="10">
        <v>127.11</v>
      </c>
      <c r="H209" s="13">
        <v>0.01</v>
      </c>
      <c r="I209" t="s">
        <v>1933</v>
      </c>
      <c r="J209" s="16">
        <v>125.8389</v>
      </c>
      <c r="K209" s="19">
        <f t="shared" si="15"/>
        <v>1950909.4412000026</v>
      </c>
      <c r="L209" s="22">
        <f t="shared" si="16"/>
        <v>1088.0699616285569</v>
      </c>
      <c r="M209" s="22">
        <f t="shared" si="17"/>
        <v>623</v>
      </c>
      <c r="N209" s="22" t="str">
        <f t="shared" si="18"/>
        <v>Low Value</v>
      </c>
      <c r="O209" s="22" t="str">
        <f t="shared" si="19"/>
        <v>Dec-2024</v>
      </c>
      <c r="P209" s="22" t="s">
        <v>1793</v>
      </c>
      <c r="Q209" s="22" t="s">
        <v>1560</v>
      </c>
      <c r="R209" s="22" t="s">
        <v>609</v>
      </c>
      <c r="S209" s="22"/>
      <c r="T209" s="22"/>
      <c r="V209" s="26" t="s">
        <v>1931</v>
      </c>
      <c r="W209" s="6">
        <v>3</v>
      </c>
    </row>
    <row r="210" spans="1:23">
      <c r="A210" t="s">
        <v>2145</v>
      </c>
      <c r="B210" s="8">
        <v>45411</v>
      </c>
      <c r="C210" t="s">
        <v>605</v>
      </c>
      <c r="D210" t="s">
        <v>1652</v>
      </c>
      <c r="E210" t="s">
        <v>1914</v>
      </c>
      <c r="F210">
        <v>4</v>
      </c>
      <c r="G210" s="10">
        <v>931.26</v>
      </c>
      <c r="H210" s="13">
        <v>0.04</v>
      </c>
      <c r="I210" t="s">
        <v>1931</v>
      </c>
      <c r="J210" s="16">
        <v>3576.0383999999999</v>
      </c>
      <c r="K210" s="19">
        <f t="shared" si="15"/>
        <v>1950783.6023000027</v>
      </c>
      <c r="L210" s="22">
        <f t="shared" si="16"/>
        <v>1088.6069209263408</v>
      </c>
      <c r="M210" s="22">
        <f t="shared" si="17"/>
        <v>622</v>
      </c>
      <c r="N210" s="22" t="str">
        <f t="shared" si="18"/>
        <v>High Value</v>
      </c>
      <c r="O210" s="22" t="str">
        <f t="shared" si="19"/>
        <v>Apr-2024</v>
      </c>
      <c r="P210" s="22" t="s">
        <v>1653</v>
      </c>
      <c r="Q210" s="22" t="s">
        <v>1531</v>
      </c>
      <c r="R210" s="22" t="s">
        <v>606</v>
      </c>
      <c r="S210" s="22"/>
      <c r="T210" s="22"/>
      <c r="V210" s="25" t="s">
        <v>1311</v>
      </c>
      <c r="W210" s="6">
        <v>14</v>
      </c>
    </row>
    <row r="211" spans="1:23">
      <c r="A211" t="s">
        <v>2146</v>
      </c>
      <c r="B211" s="8">
        <v>45224</v>
      </c>
      <c r="C211" t="s">
        <v>1154</v>
      </c>
      <c r="D211" t="s">
        <v>1755</v>
      </c>
      <c r="E211" t="s">
        <v>1889</v>
      </c>
      <c r="F211">
        <v>1</v>
      </c>
      <c r="G211" s="10">
        <v>620.80999999999995</v>
      </c>
      <c r="H211" s="13">
        <v>0.04</v>
      </c>
      <c r="I211" t="s">
        <v>1933</v>
      </c>
      <c r="J211" s="16">
        <v>595.97759999999994</v>
      </c>
      <c r="K211" s="19">
        <f t="shared" si="15"/>
        <v>1947207.5639000025</v>
      </c>
      <c r="L211" s="22">
        <f t="shared" si="16"/>
        <v>1087.2180702959254</v>
      </c>
      <c r="M211" s="22">
        <f t="shared" si="17"/>
        <v>622</v>
      </c>
      <c r="N211" s="22" t="str">
        <f t="shared" si="18"/>
        <v>Low Value</v>
      </c>
      <c r="O211" s="22" t="str">
        <f t="shared" si="19"/>
        <v>Oct-2023</v>
      </c>
      <c r="P211" s="22" t="s">
        <v>1756</v>
      </c>
      <c r="Q211" s="22" t="s">
        <v>1531</v>
      </c>
      <c r="R211" s="22" t="s">
        <v>1155</v>
      </c>
      <c r="S211" s="22"/>
      <c r="T211" s="22"/>
      <c r="V211" s="26" t="s">
        <v>1936</v>
      </c>
      <c r="W211" s="6">
        <v>4</v>
      </c>
    </row>
    <row r="212" spans="1:23">
      <c r="A212" t="s">
        <v>2147</v>
      </c>
      <c r="B212" s="8">
        <v>45497</v>
      </c>
      <c r="C212" t="s">
        <v>333</v>
      </c>
      <c r="D212" t="s">
        <v>1704</v>
      </c>
      <c r="E212" t="s">
        <v>1868</v>
      </c>
      <c r="F212">
        <v>1</v>
      </c>
      <c r="G212" s="10">
        <v>823.26</v>
      </c>
      <c r="H212" s="13">
        <v>0.27</v>
      </c>
      <c r="I212" t="s">
        <v>1936</v>
      </c>
      <c r="J212" s="16">
        <v>600.97979999999995</v>
      </c>
      <c r="K212" s="19">
        <f t="shared" si="15"/>
        <v>1946611.5863000024</v>
      </c>
      <c r="L212" s="22">
        <f t="shared" si="16"/>
        <v>1087.4925063128505</v>
      </c>
      <c r="M212" s="22">
        <f t="shared" si="17"/>
        <v>621</v>
      </c>
      <c r="N212" s="22" t="str">
        <f t="shared" si="18"/>
        <v>Low Value</v>
      </c>
      <c r="O212" s="22" t="str">
        <f t="shared" si="19"/>
        <v>Jul-2024</v>
      </c>
      <c r="P212" s="22" t="s">
        <v>1705</v>
      </c>
      <c r="Q212" s="22" t="s">
        <v>1569</v>
      </c>
      <c r="R212" s="22" t="s">
        <v>334</v>
      </c>
      <c r="S212" s="22"/>
      <c r="T212" s="22"/>
      <c r="V212" s="26" t="s">
        <v>1931</v>
      </c>
      <c r="W212" s="6">
        <v>5</v>
      </c>
    </row>
    <row r="213" spans="1:23">
      <c r="A213" t="s">
        <v>2148</v>
      </c>
      <c r="B213" s="8">
        <v>45807</v>
      </c>
      <c r="C213" t="s">
        <v>59</v>
      </c>
      <c r="D213" t="s">
        <v>1630</v>
      </c>
      <c r="E213" t="s">
        <v>1889</v>
      </c>
      <c r="F213">
        <v>3</v>
      </c>
      <c r="G213" s="10">
        <v>681.01</v>
      </c>
      <c r="H213" s="13">
        <v>0.27</v>
      </c>
      <c r="I213" t="s">
        <v>1936</v>
      </c>
      <c r="J213" s="16">
        <v>1491.4119000000001</v>
      </c>
      <c r="K213" s="19">
        <f t="shared" si="15"/>
        <v>1946010.6065000023</v>
      </c>
      <c r="L213" s="22">
        <f t="shared" si="16"/>
        <v>1087.7644530463958</v>
      </c>
      <c r="M213" s="22">
        <f t="shared" si="17"/>
        <v>621</v>
      </c>
      <c r="N213" s="22" t="str">
        <f t="shared" si="18"/>
        <v>High Value</v>
      </c>
      <c r="O213" s="22" t="str">
        <f t="shared" si="19"/>
        <v>May-2025</v>
      </c>
      <c r="P213" s="22" t="s">
        <v>1631</v>
      </c>
      <c r="Q213" s="22" t="s">
        <v>1560</v>
      </c>
      <c r="R213" s="22" t="s">
        <v>60</v>
      </c>
      <c r="S213" s="22"/>
      <c r="T213" s="22"/>
      <c r="V213" s="26" t="s">
        <v>1933</v>
      </c>
      <c r="W213" s="6">
        <v>5</v>
      </c>
    </row>
    <row r="214" spans="1:23">
      <c r="A214" t="s">
        <v>2149</v>
      </c>
      <c r="B214" s="8">
        <v>45942</v>
      </c>
      <c r="C214" t="s">
        <v>1359</v>
      </c>
      <c r="D214" t="s">
        <v>1722</v>
      </c>
      <c r="E214" t="s">
        <v>1920</v>
      </c>
      <c r="F214">
        <v>4</v>
      </c>
      <c r="G214" s="10">
        <v>119.83</v>
      </c>
      <c r="H214" s="13">
        <v>0.13</v>
      </c>
      <c r="I214" t="s">
        <v>1931</v>
      </c>
      <c r="J214" s="16">
        <v>417.00839999999999</v>
      </c>
      <c r="K214" s="19">
        <f t="shared" si="15"/>
        <v>1944519.1946000021</v>
      </c>
      <c r="L214" s="22">
        <f t="shared" si="16"/>
        <v>1087.538699440717</v>
      </c>
      <c r="M214" s="22">
        <f t="shared" si="17"/>
        <v>621</v>
      </c>
      <c r="N214" s="22" t="str">
        <f t="shared" si="18"/>
        <v>Low Value</v>
      </c>
      <c r="O214" s="22" t="str">
        <f t="shared" si="19"/>
        <v>Oct-2025</v>
      </c>
      <c r="P214" s="22" t="s">
        <v>1723</v>
      </c>
      <c r="Q214" s="22" t="s">
        <v>1560</v>
      </c>
      <c r="R214" s="22" t="s">
        <v>1360</v>
      </c>
      <c r="S214" s="22"/>
      <c r="T214" s="22"/>
      <c r="V214" s="25" t="s">
        <v>489</v>
      </c>
      <c r="W214" s="6">
        <v>15</v>
      </c>
    </row>
    <row r="215" spans="1:23">
      <c r="A215" t="s">
        <v>2150</v>
      </c>
      <c r="B215" s="8">
        <v>45314</v>
      </c>
      <c r="C215" t="s">
        <v>966</v>
      </c>
      <c r="D215" t="s">
        <v>1789</v>
      </c>
      <c r="E215" t="s">
        <v>1868</v>
      </c>
      <c r="F215">
        <v>1</v>
      </c>
      <c r="G215" s="10">
        <v>575.66</v>
      </c>
      <c r="H215" s="13">
        <v>0.03</v>
      </c>
      <c r="I215" t="s">
        <v>1933</v>
      </c>
      <c r="J215" s="16">
        <v>558.39019999999994</v>
      </c>
      <c r="K215" s="19">
        <f t="shared" si="15"/>
        <v>1944102.1862000022</v>
      </c>
      <c r="L215" s="22">
        <f t="shared" si="16"/>
        <v>1087.9139262451047</v>
      </c>
      <c r="M215" s="22">
        <f t="shared" si="17"/>
        <v>621</v>
      </c>
      <c r="N215" s="22" t="str">
        <f t="shared" si="18"/>
        <v>Low Value</v>
      </c>
      <c r="O215" s="22" t="str">
        <f t="shared" si="19"/>
        <v>Jan-2024</v>
      </c>
      <c r="P215" s="22" t="s">
        <v>1790</v>
      </c>
      <c r="Q215" s="22" t="s">
        <v>1560</v>
      </c>
      <c r="R215" s="22" t="s">
        <v>967</v>
      </c>
      <c r="S215" s="22"/>
      <c r="T215" s="22"/>
      <c r="V215" s="26" t="s">
        <v>1936</v>
      </c>
      <c r="W215" s="6">
        <v>4</v>
      </c>
    </row>
    <row r="216" spans="1:23">
      <c r="A216" t="s">
        <v>2151</v>
      </c>
      <c r="B216" s="8">
        <v>45943</v>
      </c>
      <c r="C216" t="s">
        <v>649</v>
      </c>
      <c r="D216" t="s">
        <v>1697</v>
      </c>
      <c r="E216" t="s">
        <v>1911</v>
      </c>
      <c r="F216">
        <v>1</v>
      </c>
      <c r="G216" s="10">
        <v>775.84</v>
      </c>
      <c r="H216" s="13">
        <v>0.26</v>
      </c>
      <c r="I216" t="s">
        <v>1931</v>
      </c>
      <c r="J216" s="16">
        <v>574.12160000000006</v>
      </c>
      <c r="K216" s="19">
        <f t="shared" si="15"/>
        <v>1943543.7960000022</v>
      </c>
      <c r="L216" s="22">
        <f t="shared" si="16"/>
        <v>1088.2104120940662</v>
      </c>
      <c r="M216" s="22">
        <f t="shared" si="17"/>
        <v>620</v>
      </c>
      <c r="N216" s="22" t="str">
        <f t="shared" si="18"/>
        <v>Low Value</v>
      </c>
      <c r="O216" s="22" t="str">
        <f t="shared" si="19"/>
        <v>Oct-2025</v>
      </c>
      <c r="P216" s="22" t="s">
        <v>1698</v>
      </c>
      <c r="Q216" s="22" t="s">
        <v>1531</v>
      </c>
      <c r="R216" s="22" t="s">
        <v>650</v>
      </c>
      <c r="S216" s="22"/>
      <c r="T216" s="22"/>
      <c r="V216" s="26" t="s">
        <v>1931</v>
      </c>
      <c r="W216" s="6">
        <v>7</v>
      </c>
    </row>
    <row r="217" spans="1:23">
      <c r="A217" t="s">
        <v>2152</v>
      </c>
      <c r="B217" s="8">
        <v>45356</v>
      </c>
      <c r="C217" t="s">
        <v>1362</v>
      </c>
      <c r="D217" t="s">
        <v>1586</v>
      </c>
      <c r="E217" t="s">
        <v>1893</v>
      </c>
      <c r="F217">
        <v>3</v>
      </c>
      <c r="G217" s="10">
        <v>318.43</v>
      </c>
      <c r="H217" s="13">
        <v>0.05</v>
      </c>
      <c r="I217" t="s">
        <v>1931</v>
      </c>
      <c r="J217" s="16">
        <v>907.52549999999997</v>
      </c>
      <c r="K217" s="19">
        <f t="shared" si="15"/>
        <v>1942969.6744000022</v>
      </c>
      <c r="L217" s="22">
        <f t="shared" si="16"/>
        <v>1088.4984170308135</v>
      </c>
      <c r="M217" s="22">
        <f t="shared" si="17"/>
        <v>620</v>
      </c>
      <c r="N217" s="22" t="str">
        <f t="shared" si="18"/>
        <v>Low Value</v>
      </c>
      <c r="O217" s="22" t="str">
        <f t="shared" si="19"/>
        <v>Mar-2024</v>
      </c>
      <c r="P217" s="22" t="s">
        <v>1587</v>
      </c>
      <c r="Q217" s="22" t="s">
        <v>1560</v>
      </c>
      <c r="R217" s="22" t="s">
        <v>1363</v>
      </c>
      <c r="S217" s="22"/>
      <c r="T217" s="22"/>
      <c r="V217" s="26" t="s">
        <v>1933</v>
      </c>
      <c r="W217" s="6">
        <v>4</v>
      </c>
    </row>
    <row r="218" spans="1:23">
      <c r="A218" t="s">
        <v>2153</v>
      </c>
      <c r="B218" s="8">
        <v>45854</v>
      </c>
      <c r="C218" t="s">
        <v>512</v>
      </c>
      <c r="D218" t="s">
        <v>1771</v>
      </c>
      <c r="E218" t="s">
        <v>1889</v>
      </c>
      <c r="F218">
        <v>3</v>
      </c>
      <c r="G218" s="10">
        <v>141.6</v>
      </c>
      <c r="H218" s="13">
        <v>0.08</v>
      </c>
      <c r="I218" t="s">
        <v>1936</v>
      </c>
      <c r="J218" s="16">
        <v>390.81599999999997</v>
      </c>
      <c r="K218" s="19">
        <f t="shared" si="15"/>
        <v>1942062.148900002</v>
      </c>
      <c r="L218" s="22">
        <f t="shared" si="16"/>
        <v>1088.59985924888</v>
      </c>
      <c r="M218" s="22">
        <f t="shared" si="17"/>
        <v>620</v>
      </c>
      <c r="N218" s="22" t="str">
        <f t="shared" si="18"/>
        <v>Low Value</v>
      </c>
      <c r="O218" s="22" t="str">
        <f t="shared" si="19"/>
        <v>Jul-2025</v>
      </c>
      <c r="P218" s="22" t="s">
        <v>1772</v>
      </c>
      <c r="Q218" s="22" t="s">
        <v>1569</v>
      </c>
      <c r="R218" s="22" t="s">
        <v>513</v>
      </c>
      <c r="S218" s="22"/>
      <c r="T218" s="22"/>
      <c r="V218" s="25" t="s">
        <v>1108</v>
      </c>
      <c r="W218" s="6">
        <v>10</v>
      </c>
    </row>
    <row r="219" spans="1:23">
      <c r="A219" t="s">
        <v>2154</v>
      </c>
      <c r="B219" s="8">
        <v>45219</v>
      </c>
      <c r="C219" t="s">
        <v>849</v>
      </c>
      <c r="D219" t="s">
        <v>1590</v>
      </c>
      <c r="E219" t="s">
        <v>1920</v>
      </c>
      <c r="F219">
        <v>1</v>
      </c>
      <c r="G219" s="10">
        <v>332.82</v>
      </c>
      <c r="H219" s="13">
        <v>0.14000000000000001</v>
      </c>
      <c r="I219" t="s">
        <v>1933</v>
      </c>
      <c r="J219" s="16">
        <v>286.22519999999997</v>
      </c>
      <c r="K219" s="19">
        <f t="shared" si="15"/>
        <v>1941671.3329000021</v>
      </c>
      <c r="L219" s="22">
        <f t="shared" si="16"/>
        <v>1088.9912130678642</v>
      </c>
      <c r="M219" s="22">
        <f t="shared" si="17"/>
        <v>620</v>
      </c>
      <c r="N219" s="22" t="str">
        <f t="shared" si="18"/>
        <v>Low Value</v>
      </c>
      <c r="O219" s="22" t="str">
        <f t="shared" si="19"/>
        <v>Oct-2023</v>
      </c>
      <c r="P219" s="22" t="s">
        <v>1591</v>
      </c>
      <c r="Q219" s="22" t="s">
        <v>1531</v>
      </c>
      <c r="R219" s="22" t="s">
        <v>850</v>
      </c>
      <c r="S219" s="22"/>
      <c r="T219" s="22"/>
      <c r="V219" s="26" t="s">
        <v>1936</v>
      </c>
      <c r="W219" s="6">
        <v>7</v>
      </c>
    </row>
    <row r="220" spans="1:23">
      <c r="A220" t="s">
        <v>2155</v>
      </c>
      <c r="B220" s="8">
        <v>45447</v>
      </c>
      <c r="C220" t="s">
        <v>789</v>
      </c>
      <c r="D220" t="s">
        <v>1771</v>
      </c>
      <c r="E220" t="s">
        <v>1864</v>
      </c>
      <c r="F220">
        <v>4</v>
      </c>
      <c r="G220" s="10">
        <v>640.97</v>
      </c>
      <c r="H220" s="13">
        <v>0.11</v>
      </c>
      <c r="I220" t="s">
        <v>1936</v>
      </c>
      <c r="J220" s="16">
        <v>2281.8532</v>
      </c>
      <c r="K220" s="19">
        <f t="shared" si="15"/>
        <v>1941385.1077000021</v>
      </c>
      <c r="L220" s="22">
        <f t="shared" si="16"/>
        <v>1089.441699046017</v>
      </c>
      <c r="M220" s="22">
        <f t="shared" si="17"/>
        <v>619</v>
      </c>
      <c r="N220" s="22" t="str">
        <f t="shared" si="18"/>
        <v>High Value</v>
      </c>
      <c r="O220" s="22" t="str">
        <f t="shared" si="19"/>
        <v>Jun-2024</v>
      </c>
      <c r="P220" s="22" t="s">
        <v>1772</v>
      </c>
      <c r="Q220" s="22" t="s">
        <v>1569</v>
      </c>
      <c r="R220" s="22" t="s">
        <v>790</v>
      </c>
      <c r="S220" s="22"/>
      <c r="T220" s="22"/>
      <c r="V220" s="26" t="s">
        <v>1931</v>
      </c>
      <c r="W220" s="6">
        <v>2</v>
      </c>
    </row>
    <row r="221" spans="1:23">
      <c r="A221" t="s">
        <v>2156</v>
      </c>
      <c r="B221" s="8">
        <v>45225</v>
      </c>
      <c r="C221" t="s">
        <v>661</v>
      </c>
      <c r="D221" t="s">
        <v>1825</v>
      </c>
      <c r="E221" t="s">
        <v>1908</v>
      </c>
      <c r="F221">
        <v>4</v>
      </c>
      <c r="G221" s="10">
        <v>75.37</v>
      </c>
      <c r="H221" s="13">
        <v>0.02</v>
      </c>
      <c r="I221" t="s">
        <v>1936</v>
      </c>
      <c r="J221" s="16">
        <v>295.4504</v>
      </c>
      <c r="K221" s="19">
        <f t="shared" si="15"/>
        <v>1939103.2545000021</v>
      </c>
      <c r="L221" s="22">
        <f t="shared" si="16"/>
        <v>1088.7721810780472</v>
      </c>
      <c r="M221" s="22">
        <f t="shared" si="17"/>
        <v>619</v>
      </c>
      <c r="N221" s="22" t="str">
        <f t="shared" si="18"/>
        <v>Low Value</v>
      </c>
      <c r="O221" s="22" t="str">
        <f t="shared" si="19"/>
        <v>Oct-2023</v>
      </c>
      <c r="P221" s="22" t="s">
        <v>1826</v>
      </c>
      <c r="Q221" s="22" t="s">
        <v>1531</v>
      </c>
      <c r="R221" s="22" t="s">
        <v>662</v>
      </c>
      <c r="S221" s="22"/>
      <c r="T221" s="22"/>
      <c r="V221" s="26" t="s">
        <v>1933</v>
      </c>
      <c r="W221" s="6">
        <v>1</v>
      </c>
    </row>
    <row r="222" spans="1:23">
      <c r="A222" t="s">
        <v>2157</v>
      </c>
      <c r="B222" s="8">
        <v>45754</v>
      </c>
      <c r="C222" t="s">
        <v>272</v>
      </c>
      <c r="D222" t="s">
        <v>1970</v>
      </c>
      <c r="E222" t="s">
        <v>1917</v>
      </c>
      <c r="F222">
        <v>3</v>
      </c>
      <c r="G222" s="10">
        <v>434.55</v>
      </c>
      <c r="H222" s="13">
        <v>0.08</v>
      </c>
      <c r="I222" t="s">
        <v>1936</v>
      </c>
      <c r="J222" s="16">
        <v>1199.3579999999999</v>
      </c>
      <c r="K222" s="19">
        <f t="shared" si="15"/>
        <v>1938807.8041000022</v>
      </c>
      <c r="L222" s="22">
        <f t="shared" si="16"/>
        <v>1089.2178674719114</v>
      </c>
      <c r="M222" s="22">
        <f t="shared" si="17"/>
        <v>619</v>
      </c>
      <c r="N222" s="22" t="str">
        <f t="shared" si="18"/>
        <v>High Value</v>
      </c>
      <c r="O222" s="22" t="str">
        <f t="shared" si="19"/>
        <v>Apr-2025</v>
      </c>
      <c r="P222" s="22" t="s">
        <v>1594</v>
      </c>
      <c r="Q222" s="22" t="s">
        <v>1555</v>
      </c>
      <c r="R222" s="22" t="s">
        <v>273</v>
      </c>
      <c r="S222" s="22"/>
      <c r="T222" s="22"/>
      <c r="V222" s="25" t="s">
        <v>483</v>
      </c>
      <c r="W222" s="6">
        <v>8</v>
      </c>
    </row>
    <row r="223" spans="1:23">
      <c r="A223" t="s">
        <v>2158</v>
      </c>
      <c r="B223" s="8">
        <v>45729</v>
      </c>
      <c r="C223" t="s">
        <v>348</v>
      </c>
      <c r="D223" t="s">
        <v>1627</v>
      </c>
      <c r="E223" t="s">
        <v>1906</v>
      </c>
      <c r="F223">
        <v>4</v>
      </c>
      <c r="G223" s="10">
        <v>652.28</v>
      </c>
      <c r="H223" s="13">
        <v>0.15</v>
      </c>
      <c r="I223" t="s">
        <v>1931</v>
      </c>
      <c r="J223" s="16">
        <v>2217.752</v>
      </c>
      <c r="K223" s="19">
        <f t="shared" si="15"/>
        <v>1937608.4461000019</v>
      </c>
      <c r="L223" s="22">
        <f t="shared" si="16"/>
        <v>1089.1559562113557</v>
      </c>
      <c r="M223" s="22">
        <f t="shared" si="17"/>
        <v>619</v>
      </c>
      <c r="N223" s="22" t="str">
        <f t="shared" si="18"/>
        <v>High Value</v>
      </c>
      <c r="O223" s="22" t="str">
        <f t="shared" si="19"/>
        <v>Mar-2025</v>
      </c>
      <c r="P223" s="22" t="s">
        <v>1628</v>
      </c>
      <c r="Q223" s="22" t="s">
        <v>1531</v>
      </c>
      <c r="R223" s="22" t="s">
        <v>349</v>
      </c>
      <c r="S223" s="22"/>
      <c r="T223" s="22"/>
      <c r="V223" s="26" t="s">
        <v>1936</v>
      </c>
      <c r="W223" s="6">
        <v>4</v>
      </c>
    </row>
    <row r="224" spans="1:23">
      <c r="A224" t="s">
        <v>2159</v>
      </c>
      <c r="B224" s="8">
        <v>45480</v>
      </c>
      <c r="C224" t="s">
        <v>857</v>
      </c>
      <c r="D224" t="s">
        <v>1783</v>
      </c>
      <c r="E224" t="s">
        <v>1914</v>
      </c>
      <c r="F224">
        <v>3</v>
      </c>
      <c r="G224" s="10">
        <v>207.8</v>
      </c>
      <c r="H224" s="13">
        <v>0.15</v>
      </c>
      <c r="I224" t="s">
        <v>1931</v>
      </c>
      <c r="J224" s="16">
        <v>529.8900000000001</v>
      </c>
      <c r="K224" s="19">
        <f t="shared" si="15"/>
        <v>1935390.6941000018</v>
      </c>
      <c r="L224" s="22">
        <f t="shared" si="16"/>
        <v>1088.5212002812159</v>
      </c>
      <c r="M224" s="22">
        <f t="shared" si="17"/>
        <v>619</v>
      </c>
      <c r="N224" s="22" t="str">
        <f t="shared" si="18"/>
        <v>Low Value</v>
      </c>
      <c r="O224" s="22" t="str">
        <f t="shared" si="19"/>
        <v>Jul-2024</v>
      </c>
      <c r="P224" s="22" t="s">
        <v>1784</v>
      </c>
      <c r="Q224" s="22" t="s">
        <v>1531</v>
      </c>
      <c r="R224" s="22" t="s">
        <v>858</v>
      </c>
      <c r="S224" s="22"/>
      <c r="T224" s="22"/>
      <c r="V224" s="26" t="s">
        <v>1931</v>
      </c>
      <c r="W224" s="6">
        <v>4</v>
      </c>
    </row>
    <row r="225" spans="1:23">
      <c r="A225" t="s">
        <v>2160</v>
      </c>
      <c r="B225" s="8">
        <v>45361</v>
      </c>
      <c r="C225" t="s">
        <v>1508</v>
      </c>
      <c r="D225" t="s">
        <v>1737</v>
      </c>
      <c r="E225" t="s">
        <v>1908</v>
      </c>
      <c r="F225">
        <v>4</v>
      </c>
      <c r="G225" s="10">
        <v>385.5</v>
      </c>
      <c r="H225" s="13">
        <v>0.03</v>
      </c>
      <c r="I225" t="s">
        <v>1933</v>
      </c>
      <c r="J225" s="16">
        <v>1495.74</v>
      </c>
      <c r="K225" s="19">
        <f t="shared" si="15"/>
        <v>1934860.8041000019</v>
      </c>
      <c r="L225" s="22">
        <f t="shared" si="16"/>
        <v>1088.835567867193</v>
      </c>
      <c r="M225" s="22">
        <f t="shared" si="17"/>
        <v>619</v>
      </c>
      <c r="N225" s="22" t="str">
        <f t="shared" si="18"/>
        <v>High Value</v>
      </c>
      <c r="O225" s="22" t="str">
        <f t="shared" si="19"/>
        <v>Mar-2024</v>
      </c>
      <c r="P225" s="22" t="s">
        <v>1738</v>
      </c>
      <c r="Q225" s="22" t="s">
        <v>1569</v>
      </c>
      <c r="R225" s="22" t="s">
        <v>1509</v>
      </c>
      <c r="S225" s="22"/>
      <c r="T225" s="22"/>
      <c r="V225" s="25" t="s">
        <v>650</v>
      </c>
      <c r="W225" s="6">
        <v>4</v>
      </c>
    </row>
    <row r="226" spans="1:23">
      <c r="A226" t="s">
        <v>2161</v>
      </c>
      <c r="B226" s="8">
        <v>45915</v>
      </c>
      <c r="C226" t="s">
        <v>339</v>
      </c>
      <c r="D226" t="s">
        <v>1749</v>
      </c>
      <c r="E226" t="s">
        <v>1883</v>
      </c>
      <c r="F226">
        <v>3</v>
      </c>
      <c r="G226" s="10">
        <v>548.19000000000005</v>
      </c>
      <c r="H226" s="13">
        <v>0.12</v>
      </c>
      <c r="I226" t="s">
        <v>1931</v>
      </c>
      <c r="J226" s="16">
        <v>1447.2216000000001</v>
      </c>
      <c r="K226" s="19">
        <f t="shared" si="15"/>
        <v>1933365.0641000019</v>
      </c>
      <c r="L226" s="22">
        <f t="shared" si="16"/>
        <v>1088.6064550112624</v>
      </c>
      <c r="M226" s="22">
        <f t="shared" si="17"/>
        <v>618</v>
      </c>
      <c r="N226" s="22" t="str">
        <f t="shared" si="18"/>
        <v>High Value</v>
      </c>
      <c r="O226" s="22" t="str">
        <f t="shared" si="19"/>
        <v>Sep-2025</v>
      </c>
      <c r="P226" s="22" t="s">
        <v>1750</v>
      </c>
      <c r="Q226" s="22" t="s">
        <v>1569</v>
      </c>
      <c r="R226" s="22" t="s">
        <v>340</v>
      </c>
      <c r="S226" s="22"/>
      <c r="T226" s="22"/>
      <c r="V226" s="26" t="s">
        <v>1936</v>
      </c>
      <c r="W226" s="6">
        <v>1</v>
      </c>
    </row>
    <row r="227" spans="1:23">
      <c r="A227" t="s">
        <v>2162</v>
      </c>
      <c r="B227" s="8">
        <v>45607</v>
      </c>
      <c r="C227" t="s">
        <v>252</v>
      </c>
      <c r="D227" t="s">
        <v>1774</v>
      </c>
      <c r="E227" t="s">
        <v>1893</v>
      </c>
      <c r="F227">
        <v>3</v>
      </c>
      <c r="G227" s="10">
        <v>927.6</v>
      </c>
      <c r="H227" s="13">
        <v>0.09</v>
      </c>
      <c r="I227" t="s">
        <v>1931</v>
      </c>
      <c r="J227" s="16">
        <v>2532.348</v>
      </c>
      <c r="K227" s="19">
        <f t="shared" si="15"/>
        <v>1931917.8425000019</v>
      </c>
      <c r="L227" s="22">
        <f t="shared" si="16"/>
        <v>1088.4044183098601</v>
      </c>
      <c r="M227" s="22">
        <f t="shared" si="17"/>
        <v>618</v>
      </c>
      <c r="N227" s="22" t="str">
        <f t="shared" si="18"/>
        <v>High Value</v>
      </c>
      <c r="O227" s="22" t="str">
        <f t="shared" si="19"/>
        <v>Nov-2024</v>
      </c>
      <c r="P227" s="22" t="s">
        <v>1775</v>
      </c>
      <c r="Q227" s="22" t="s">
        <v>1569</v>
      </c>
      <c r="R227" s="22" t="s">
        <v>253</v>
      </c>
      <c r="S227" s="22"/>
      <c r="T227" s="22"/>
      <c r="V227" s="26" t="s">
        <v>1931</v>
      </c>
      <c r="W227" s="6">
        <v>3</v>
      </c>
    </row>
    <row r="228" spans="1:23">
      <c r="A228" t="s">
        <v>2163</v>
      </c>
      <c r="B228" s="8">
        <v>45666</v>
      </c>
      <c r="C228" t="s">
        <v>849</v>
      </c>
      <c r="D228" t="s">
        <v>1737</v>
      </c>
      <c r="E228" t="s">
        <v>1873</v>
      </c>
      <c r="F228">
        <v>4</v>
      </c>
      <c r="G228" s="10">
        <v>585.04</v>
      </c>
      <c r="H228" s="13">
        <v>0.22</v>
      </c>
      <c r="I228" t="s">
        <v>1933</v>
      </c>
      <c r="J228" s="16">
        <v>1825.3248000000001</v>
      </c>
      <c r="K228" s="19">
        <f t="shared" si="15"/>
        <v>1929385.4945000019</v>
      </c>
      <c r="L228" s="22">
        <f t="shared" si="16"/>
        <v>1087.5904704058635</v>
      </c>
      <c r="M228" s="22">
        <f t="shared" si="17"/>
        <v>618</v>
      </c>
      <c r="N228" s="22" t="str">
        <f t="shared" si="18"/>
        <v>High Value</v>
      </c>
      <c r="O228" s="22" t="str">
        <f t="shared" si="19"/>
        <v>Jan-2025</v>
      </c>
      <c r="P228" s="22" t="s">
        <v>1738</v>
      </c>
      <c r="Q228" s="22" t="s">
        <v>1569</v>
      </c>
      <c r="R228" s="22" t="s">
        <v>850</v>
      </c>
      <c r="S228" s="22"/>
      <c r="T228" s="22"/>
      <c r="V228" s="25" t="s">
        <v>834</v>
      </c>
      <c r="W228" s="6">
        <v>11</v>
      </c>
    </row>
    <row r="229" spans="1:23">
      <c r="A229" t="s">
        <v>2164</v>
      </c>
      <c r="B229" s="8">
        <v>45406</v>
      </c>
      <c r="C229" t="s">
        <v>2114</v>
      </c>
      <c r="D229" t="s">
        <v>1668</v>
      </c>
      <c r="E229" t="s">
        <v>1868</v>
      </c>
      <c r="F229">
        <v>2</v>
      </c>
      <c r="G229" s="10">
        <v>999.89</v>
      </c>
      <c r="H229" s="13">
        <v>0.09</v>
      </c>
      <c r="I229" t="s">
        <v>1931</v>
      </c>
      <c r="J229" s="16">
        <v>1819.7998</v>
      </c>
      <c r="K229" s="19">
        <f t="shared" si="15"/>
        <v>1927560.1697000018</v>
      </c>
      <c r="L229" s="22">
        <f t="shared" si="16"/>
        <v>1087.1743765933456</v>
      </c>
      <c r="M229" s="22">
        <f t="shared" si="17"/>
        <v>617</v>
      </c>
      <c r="N229" s="22" t="str">
        <f t="shared" si="18"/>
        <v>High Value</v>
      </c>
      <c r="O229" s="22" t="str">
        <f t="shared" si="19"/>
        <v>Apr-2024</v>
      </c>
      <c r="P229" s="22" t="s">
        <v>1669</v>
      </c>
      <c r="Q229" s="22" t="s">
        <v>1531</v>
      </c>
      <c r="R229" s="22" t="s">
        <v>1520</v>
      </c>
      <c r="S229" s="22"/>
      <c r="T229" s="22"/>
      <c r="V229" s="26" t="s">
        <v>1931</v>
      </c>
      <c r="W229" s="6">
        <v>5</v>
      </c>
    </row>
    <row r="230" spans="1:23">
      <c r="A230" t="s">
        <v>2165</v>
      </c>
      <c r="B230" s="8">
        <v>45284</v>
      </c>
      <c r="C230" t="s">
        <v>373</v>
      </c>
      <c r="D230" t="s">
        <v>1780</v>
      </c>
      <c r="E230" t="s">
        <v>1873</v>
      </c>
      <c r="F230">
        <v>2</v>
      </c>
      <c r="G230" s="10">
        <v>848.98</v>
      </c>
      <c r="H230" s="13">
        <v>0.04</v>
      </c>
      <c r="I230" t="s">
        <v>1933</v>
      </c>
      <c r="J230" s="16">
        <v>1630.0416</v>
      </c>
      <c r="K230" s="19">
        <f t="shared" si="15"/>
        <v>1925740.3699000017</v>
      </c>
      <c r="L230" s="22">
        <f t="shared" si="16"/>
        <v>1086.7609310948092</v>
      </c>
      <c r="M230" s="22">
        <f t="shared" si="17"/>
        <v>617</v>
      </c>
      <c r="N230" s="22" t="str">
        <f t="shared" si="18"/>
        <v>High Value</v>
      </c>
      <c r="O230" s="22" t="str">
        <f t="shared" si="19"/>
        <v>Dec-2023</v>
      </c>
      <c r="P230" s="22" t="s">
        <v>1781</v>
      </c>
      <c r="Q230" s="22" t="s">
        <v>1536</v>
      </c>
      <c r="R230" s="22" t="s">
        <v>374</v>
      </c>
      <c r="S230" s="22"/>
      <c r="T230" s="22"/>
      <c r="V230" s="26" t="s">
        <v>1933</v>
      </c>
      <c r="W230" s="6">
        <v>6</v>
      </c>
    </row>
    <row r="231" spans="1:23">
      <c r="A231" t="s">
        <v>2166</v>
      </c>
      <c r="B231" s="8">
        <v>45348</v>
      </c>
      <c r="C231" t="s">
        <v>479</v>
      </c>
      <c r="D231" t="s">
        <v>1734</v>
      </c>
      <c r="E231" t="s">
        <v>1906</v>
      </c>
      <c r="F231">
        <v>3</v>
      </c>
      <c r="G231" s="10">
        <v>769.56</v>
      </c>
      <c r="H231" s="13">
        <v>0.08</v>
      </c>
      <c r="I231" t="s">
        <v>1931</v>
      </c>
      <c r="J231" s="16">
        <v>2123.9856</v>
      </c>
      <c r="K231" s="19">
        <f t="shared" si="15"/>
        <v>1924110.3283000018</v>
      </c>
      <c r="L231" s="22">
        <f t="shared" si="16"/>
        <v>1086.4541661773019</v>
      </c>
      <c r="M231" s="22">
        <f t="shared" si="17"/>
        <v>616</v>
      </c>
      <c r="N231" s="22" t="str">
        <f t="shared" si="18"/>
        <v>High Value</v>
      </c>
      <c r="O231" s="22" t="str">
        <f t="shared" si="19"/>
        <v>Feb-2024</v>
      </c>
      <c r="P231" s="22" t="s">
        <v>1735</v>
      </c>
      <c r="Q231" s="22" t="s">
        <v>1555</v>
      </c>
      <c r="R231" s="22" t="s">
        <v>480</v>
      </c>
      <c r="S231" s="22"/>
      <c r="T231" s="22"/>
      <c r="V231" s="25" t="s">
        <v>1056</v>
      </c>
      <c r="W231" s="6">
        <v>9</v>
      </c>
    </row>
    <row r="232" spans="1:23">
      <c r="A232" t="s">
        <v>2167</v>
      </c>
      <c r="B232" s="8">
        <v>45676</v>
      </c>
      <c r="C232" t="s">
        <v>185</v>
      </c>
      <c r="D232" t="s">
        <v>1697</v>
      </c>
      <c r="E232" t="s">
        <v>1904</v>
      </c>
      <c r="F232">
        <v>3</v>
      </c>
      <c r="G232" s="10">
        <v>449.88</v>
      </c>
      <c r="H232" s="13">
        <v>0.1</v>
      </c>
      <c r="I232" t="s">
        <v>1933</v>
      </c>
      <c r="J232" s="16">
        <v>1214.6759999999999</v>
      </c>
      <c r="K232" s="19">
        <f t="shared" si="15"/>
        <v>1921986.342700002</v>
      </c>
      <c r="L232" s="22">
        <f t="shared" si="16"/>
        <v>1085.8679902259898</v>
      </c>
      <c r="M232" s="22">
        <f t="shared" si="17"/>
        <v>616</v>
      </c>
      <c r="N232" s="22" t="str">
        <f t="shared" si="18"/>
        <v>High Value</v>
      </c>
      <c r="O232" s="22" t="str">
        <f t="shared" si="19"/>
        <v>Jan-2025</v>
      </c>
      <c r="P232" s="22" t="s">
        <v>1698</v>
      </c>
      <c r="Q232" s="22" t="s">
        <v>1531</v>
      </c>
      <c r="R232" s="22" t="s">
        <v>186</v>
      </c>
      <c r="S232" s="22"/>
      <c r="T232" s="22"/>
      <c r="V232" s="26" t="s">
        <v>1936</v>
      </c>
      <c r="W232" s="6">
        <v>2</v>
      </c>
    </row>
    <row r="233" spans="1:23">
      <c r="A233" t="s">
        <v>2168</v>
      </c>
      <c r="B233" s="8">
        <v>45863</v>
      </c>
      <c r="C233" t="s">
        <v>874</v>
      </c>
      <c r="D233" t="s">
        <v>1762</v>
      </c>
      <c r="E233" t="s">
        <v>1901</v>
      </c>
      <c r="F233">
        <v>4</v>
      </c>
      <c r="G233" s="10">
        <v>383.74</v>
      </c>
      <c r="H233" s="13">
        <v>0.01</v>
      </c>
      <c r="I233" t="s">
        <v>1931</v>
      </c>
      <c r="J233" s="16">
        <v>1519.6104</v>
      </c>
      <c r="K233" s="19">
        <f t="shared" si="15"/>
        <v>1920771.666700002</v>
      </c>
      <c r="L233" s="22">
        <f t="shared" si="16"/>
        <v>1085.7951762012449</v>
      </c>
      <c r="M233" s="22">
        <f t="shared" si="17"/>
        <v>615</v>
      </c>
      <c r="N233" s="22" t="str">
        <f t="shared" si="18"/>
        <v>High Value</v>
      </c>
      <c r="O233" s="22" t="str">
        <f t="shared" si="19"/>
        <v>Jul-2025</v>
      </c>
      <c r="P233" s="22" t="s">
        <v>1763</v>
      </c>
      <c r="Q233" s="22" t="s">
        <v>1536</v>
      </c>
      <c r="R233" s="22" t="s">
        <v>875</v>
      </c>
      <c r="S233" s="22"/>
      <c r="T233" s="22"/>
      <c r="V233" s="26" t="s">
        <v>1933</v>
      </c>
      <c r="W233" s="6">
        <v>7</v>
      </c>
    </row>
    <row r="234" spans="1:23">
      <c r="A234" t="s">
        <v>2169</v>
      </c>
      <c r="B234" s="8">
        <v>45409</v>
      </c>
      <c r="C234" t="s">
        <v>497</v>
      </c>
      <c r="D234" t="s">
        <v>1728</v>
      </c>
      <c r="E234" t="s">
        <v>1896</v>
      </c>
      <c r="F234">
        <v>4</v>
      </c>
      <c r="G234" s="10">
        <v>794.97</v>
      </c>
      <c r="H234" s="13">
        <v>0.24</v>
      </c>
      <c r="I234" t="s">
        <v>1933</v>
      </c>
      <c r="J234" s="16">
        <v>2416.7087999999999</v>
      </c>
      <c r="K234" s="19">
        <f t="shared" si="15"/>
        <v>1919252.0563000019</v>
      </c>
      <c r="L234" s="22">
        <f t="shared" si="16"/>
        <v>1085.5498055995486</v>
      </c>
      <c r="M234" s="22">
        <f t="shared" si="17"/>
        <v>615</v>
      </c>
      <c r="N234" s="22" t="str">
        <f t="shared" si="18"/>
        <v>High Value</v>
      </c>
      <c r="O234" s="22" t="str">
        <f t="shared" si="19"/>
        <v>Apr-2024</v>
      </c>
      <c r="P234" s="22" t="s">
        <v>1729</v>
      </c>
      <c r="Q234" s="22" t="s">
        <v>1536</v>
      </c>
      <c r="R234" s="22" t="s">
        <v>498</v>
      </c>
      <c r="S234" s="22"/>
      <c r="T234" s="22"/>
      <c r="V234" s="25" t="s">
        <v>27</v>
      </c>
      <c r="W234" s="6">
        <v>13</v>
      </c>
    </row>
    <row r="235" spans="1:23">
      <c r="A235" t="s">
        <v>2170</v>
      </c>
      <c r="B235" s="8">
        <v>45880</v>
      </c>
      <c r="C235" t="s">
        <v>52</v>
      </c>
      <c r="D235" t="s">
        <v>1792</v>
      </c>
      <c r="E235" t="s">
        <v>1880</v>
      </c>
      <c r="F235">
        <v>1</v>
      </c>
      <c r="G235" s="10">
        <v>989.63</v>
      </c>
      <c r="H235" s="13">
        <v>0.05</v>
      </c>
      <c r="I235" t="s">
        <v>1933</v>
      </c>
      <c r="J235" s="16">
        <v>940.1484999999999</v>
      </c>
      <c r="K235" s="19">
        <f t="shared" si="15"/>
        <v>1916835.3475000018</v>
      </c>
      <c r="L235" s="22">
        <f t="shared" si="16"/>
        <v>1084.7964615166959</v>
      </c>
      <c r="M235" s="22">
        <f t="shared" si="17"/>
        <v>614</v>
      </c>
      <c r="N235" s="22" t="str">
        <f t="shared" si="18"/>
        <v>Low Value</v>
      </c>
      <c r="O235" s="22" t="str">
        <f t="shared" si="19"/>
        <v>Aug-2025</v>
      </c>
      <c r="P235" s="22" t="s">
        <v>1793</v>
      </c>
      <c r="Q235" s="22" t="s">
        <v>1560</v>
      </c>
      <c r="R235" s="22" t="s">
        <v>53</v>
      </c>
      <c r="S235" s="22"/>
      <c r="T235" s="22"/>
      <c r="V235" s="26" t="s">
        <v>1936</v>
      </c>
      <c r="W235" s="6">
        <v>3</v>
      </c>
    </row>
    <row r="236" spans="1:23">
      <c r="A236" t="s">
        <v>2171</v>
      </c>
      <c r="B236" s="8">
        <v>45731</v>
      </c>
      <c r="C236" t="s">
        <v>1049</v>
      </c>
      <c r="D236" t="s">
        <v>1716</v>
      </c>
      <c r="E236" t="s">
        <v>1859</v>
      </c>
      <c r="F236">
        <v>1</v>
      </c>
      <c r="G236" s="10">
        <v>447.16</v>
      </c>
      <c r="H236" s="13">
        <v>0.22</v>
      </c>
      <c r="I236" t="s">
        <v>1936</v>
      </c>
      <c r="J236" s="16">
        <v>348.78480000000002</v>
      </c>
      <c r="K236" s="19">
        <f t="shared" si="15"/>
        <v>1915895.1990000019</v>
      </c>
      <c r="L236" s="22">
        <f t="shared" si="16"/>
        <v>1084.8783686296727</v>
      </c>
      <c r="M236" s="22">
        <f t="shared" si="17"/>
        <v>613</v>
      </c>
      <c r="N236" s="22" t="str">
        <f t="shared" si="18"/>
        <v>Low Value</v>
      </c>
      <c r="O236" s="22" t="str">
        <f t="shared" si="19"/>
        <v>Mar-2025</v>
      </c>
      <c r="P236" s="22" t="s">
        <v>1717</v>
      </c>
      <c r="Q236" s="22" t="s">
        <v>1569</v>
      </c>
      <c r="R236" s="22" t="s">
        <v>1050</v>
      </c>
      <c r="S236" s="22"/>
      <c r="T236" s="22"/>
      <c r="V236" s="26" t="s">
        <v>1931</v>
      </c>
      <c r="W236" s="6">
        <v>4</v>
      </c>
    </row>
    <row r="237" spans="1:23">
      <c r="A237" t="s">
        <v>2172</v>
      </c>
      <c r="B237" s="8">
        <v>45671</v>
      </c>
      <c r="C237" t="s">
        <v>43</v>
      </c>
      <c r="D237" t="s">
        <v>1837</v>
      </c>
      <c r="E237" t="s">
        <v>1883</v>
      </c>
      <c r="F237">
        <v>1</v>
      </c>
      <c r="G237" s="10">
        <v>946.9</v>
      </c>
      <c r="H237" s="13">
        <v>0.28999999999999998</v>
      </c>
      <c r="I237" t="s">
        <v>1936</v>
      </c>
      <c r="J237" s="16">
        <v>672.29899999999998</v>
      </c>
      <c r="K237" s="19">
        <f t="shared" si="15"/>
        <v>1915546.4142000019</v>
      </c>
      <c r="L237" s="22">
        <f t="shared" si="16"/>
        <v>1085.2954188101994</v>
      </c>
      <c r="M237" s="22">
        <f t="shared" si="17"/>
        <v>613</v>
      </c>
      <c r="N237" s="22" t="str">
        <f t="shared" si="18"/>
        <v>Low Value</v>
      </c>
      <c r="O237" s="22" t="str">
        <f t="shared" si="19"/>
        <v>Jan-2025</v>
      </c>
      <c r="P237" s="22" t="s">
        <v>1838</v>
      </c>
      <c r="Q237" s="22" t="s">
        <v>1555</v>
      </c>
      <c r="R237" s="22" t="s">
        <v>44</v>
      </c>
      <c r="S237" s="22"/>
      <c r="T237" s="22"/>
      <c r="V237" s="26" t="s">
        <v>1933</v>
      </c>
      <c r="W237" s="6">
        <v>6</v>
      </c>
    </row>
    <row r="238" spans="1:23">
      <c r="A238" t="s">
        <v>2173</v>
      </c>
      <c r="B238" s="8">
        <v>45809</v>
      </c>
      <c r="C238" t="s">
        <v>560</v>
      </c>
      <c r="D238" t="s">
        <v>1597</v>
      </c>
      <c r="E238" t="s">
        <v>1859</v>
      </c>
      <c r="F238">
        <v>4</v>
      </c>
      <c r="G238" s="10">
        <v>469.68</v>
      </c>
      <c r="H238" s="13">
        <v>0.19</v>
      </c>
      <c r="I238" t="s">
        <v>1931</v>
      </c>
      <c r="J238" s="16">
        <v>1521.7632000000001</v>
      </c>
      <c r="K238" s="19">
        <f t="shared" si="15"/>
        <v>1914874.1152000017</v>
      </c>
      <c r="L238" s="22">
        <f t="shared" si="16"/>
        <v>1085.5295437641732</v>
      </c>
      <c r="M238" s="22">
        <f t="shared" si="17"/>
        <v>613</v>
      </c>
      <c r="N238" s="22" t="str">
        <f t="shared" si="18"/>
        <v>High Value</v>
      </c>
      <c r="O238" s="22" t="str">
        <f t="shared" si="19"/>
        <v>Jun-2025</v>
      </c>
      <c r="P238" s="22" t="s">
        <v>1598</v>
      </c>
      <c r="Q238" s="22" t="s">
        <v>1569</v>
      </c>
      <c r="R238" s="22" t="s">
        <v>561</v>
      </c>
      <c r="S238" s="22"/>
      <c r="T238" s="22"/>
      <c r="V238" s="25" t="s">
        <v>737</v>
      </c>
      <c r="W238" s="6">
        <v>5</v>
      </c>
    </row>
    <row r="239" spans="1:23">
      <c r="A239" t="s">
        <v>2174</v>
      </c>
      <c r="B239" s="8">
        <v>45559</v>
      </c>
      <c r="C239" t="s">
        <v>1505</v>
      </c>
      <c r="D239" t="s">
        <v>1633</v>
      </c>
      <c r="E239" t="s">
        <v>1914</v>
      </c>
      <c r="F239">
        <v>4</v>
      </c>
      <c r="G239" s="10">
        <v>320.64</v>
      </c>
      <c r="H239" s="13">
        <v>0.2</v>
      </c>
      <c r="I239" t="s">
        <v>1936</v>
      </c>
      <c r="J239" s="16">
        <v>1026.048</v>
      </c>
      <c r="K239" s="19">
        <f t="shared" si="15"/>
        <v>1913352.3520000016</v>
      </c>
      <c r="L239" s="22">
        <f t="shared" si="16"/>
        <v>1085.2821055019861</v>
      </c>
      <c r="M239" s="22">
        <f t="shared" si="17"/>
        <v>613</v>
      </c>
      <c r="N239" s="22" t="str">
        <f t="shared" si="18"/>
        <v>High Value</v>
      </c>
      <c r="O239" s="22" t="str">
        <f t="shared" si="19"/>
        <v>Sep-2024</v>
      </c>
      <c r="P239" s="22" t="s">
        <v>1634</v>
      </c>
      <c r="Q239" s="22" t="s">
        <v>1569</v>
      </c>
      <c r="R239" s="22" t="s">
        <v>1506</v>
      </c>
      <c r="S239" s="22"/>
      <c r="T239" s="22"/>
      <c r="V239" s="26" t="s">
        <v>1933</v>
      </c>
      <c r="W239" s="6">
        <v>5</v>
      </c>
    </row>
    <row r="240" spans="1:23">
      <c r="A240" t="s">
        <v>2175</v>
      </c>
      <c r="B240" s="8">
        <v>45253</v>
      </c>
      <c r="C240" t="s">
        <v>459</v>
      </c>
      <c r="D240" t="s">
        <v>1590</v>
      </c>
      <c r="E240" t="s">
        <v>1880</v>
      </c>
      <c r="F240">
        <v>1</v>
      </c>
      <c r="G240" s="10">
        <v>594.44000000000005</v>
      </c>
      <c r="H240" s="13">
        <v>0.21</v>
      </c>
      <c r="I240" t="s">
        <v>1931</v>
      </c>
      <c r="J240" s="16">
        <v>469.60759999999999</v>
      </c>
      <c r="K240" s="19">
        <f t="shared" si="15"/>
        <v>1912326.3040000016</v>
      </c>
      <c r="L240" s="22">
        <f t="shared" si="16"/>
        <v>1085.3157230419986</v>
      </c>
      <c r="M240" s="22">
        <f t="shared" si="17"/>
        <v>613</v>
      </c>
      <c r="N240" s="22" t="str">
        <f t="shared" si="18"/>
        <v>Low Value</v>
      </c>
      <c r="O240" s="22" t="str">
        <f t="shared" si="19"/>
        <v>Nov-2023</v>
      </c>
      <c r="P240" s="22" t="s">
        <v>1591</v>
      </c>
      <c r="Q240" s="22" t="s">
        <v>1531</v>
      </c>
      <c r="R240" s="22" t="s">
        <v>460</v>
      </c>
      <c r="S240" s="22"/>
      <c r="T240" s="22"/>
      <c r="V240" s="25" t="s">
        <v>1003</v>
      </c>
      <c r="W240" s="6">
        <v>17</v>
      </c>
    </row>
    <row r="241" spans="1:23">
      <c r="A241" t="s">
        <v>2176</v>
      </c>
      <c r="B241" s="8">
        <v>45861</v>
      </c>
      <c r="C241" t="s">
        <v>700</v>
      </c>
      <c r="D241" t="s">
        <v>1813</v>
      </c>
      <c r="E241" t="s">
        <v>1889</v>
      </c>
      <c r="F241">
        <v>3</v>
      </c>
      <c r="G241" s="10">
        <v>91.7</v>
      </c>
      <c r="H241" s="13">
        <v>0.08</v>
      </c>
      <c r="I241" t="s">
        <v>1936</v>
      </c>
      <c r="J241" s="16">
        <v>253.09200000000001</v>
      </c>
      <c r="K241" s="19">
        <f t="shared" si="15"/>
        <v>1911856.6964000016</v>
      </c>
      <c r="L241" s="22">
        <f t="shared" si="16"/>
        <v>1085.6653585462814</v>
      </c>
      <c r="M241" s="22">
        <f t="shared" si="17"/>
        <v>613</v>
      </c>
      <c r="N241" s="22" t="str">
        <f t="shared" si="18"/>
        <v>Low Value</v>
      </c>
      <c r="O241" s="22" t="str">
        <f t="shared" si="19"/>
        <v>Jul-2025</v>
      </c>
      <c r="P241" s="22" t="s">
        <v>1814</v>
      </c>
      <c r="Q241" s="22" t="s">
        <v>1560</v>
      </c>
      <c r="R241" s="22" t="s">
        <v>701</v>
      </c>
      <c r="S241" s="22"/>
      <c r="T241" s="22"/>
      <c r="V241" s="26" t="s">
        <v>1936</v>
      </c>
      <c r="W241" s="6">
        <v>2</v>
      </c>
    </row>
    <row r="242" spans="1:23">
      <c r="A242" t="s">
        <v>2177</v>
      </c>
      <c r="B242" s="8">
        <v>45917</v>
      </c>
      <c r="C242" t="s">
        <v>127</v>
      </c>
      <c r="D242" t="s">
        <v>1740</v>
      </c>
      <c r="E242" t="s">
        <v>1901</v>
      </c>
      <c r="F242">
        <v>3</v>
      </c>
      <c r="G242" s="10">
        <v>741.33</v>
      </c>
      <c r="H242" s="13">
        <v>0.03</v>
      </c>
      <c r="I242" t="s">
        <v>1931</v>
      </c>
      <c r="J242" s="16">
        <v>2157.2703000000001</v>
      </c>
      <c r="K242" s="19">
        <f t="shared" si="15"/>
        <v>1911603.6044000017</v>
      </c>
      <c r="L242" s="22">
        <f t="shared" si="16"/>
        <v>1086.13841159091</v>
      </c>
      <c r="M242" s="22">
        <f t="shared" si="17"/>
        <v>613</v>
      </c>
      <c r="N242" s="22" t="str">
        <f t="shared" si="18"/>
        <v>High Value</v>
      </c>
      <c r="O242" s="22" t="str">
        <f t="shared" si="19"/>
        <v>Sep-2025</v>
      </c>
      <c r="P242" s="22" t="s">
        <v>1741</v>
      </c>
      <c r="Q242" s="22" t="s">
        <v>1531</v>
      </c>
      <c r="R242" s="22" t="s">
        <v>128</v>
      </c>
      <c r="S242" s="22"/>
      <c r="T242" s="22"/>
      <c r="V242" s="26" t="s">
        <v>1931</v>
      </c>
      <c r="W242" s="6">
        <v>9</v>
      </c>
    </row>
    <row r="243" spans="1:23">
      <c r="A243" t="s">
        <v>2178</v>
      </c>
      <c r="B243" s="8">
        <v>45754</v>
      </c>
      <c r="C243" t="s">
        <v>1456</v>
      </c>
      <c r="D243" t="s">
        <v>1970</v>
      </c>
      <c r="E243" t="s">
        <v>1920</v>
      </c>
      <c r="F243">
        <v>1</v>
      </c>
      <c r="G243" s="10">
        <v>922.78</v>
      </c>
      <c r="H243" s="13">
        <v>0.28999999999999998</v>
      </c>
      <c r="I243" t="s">
        <v>1936</v>
      </c>
      <c r="J243" s="16">
        <v>655.17379999999991</v>
      </c>
      <c r="K243" s="19">
        <f t="shared" si="15"/>
        <v>1909446.3341000017</v>
      </c>
      <c r="L243" s="22">
        <f t="shared" si="16"/>
        <v>1085.5294679363285</v>
      </c>
      <c r="M243" s="22">
        <f t="shared" si="17"/>
        <v>613</v>
      </c>
      <c r="N243" s="22" t="str">
        <f t="shared" si="18"/>
        <v>Low Value</v>
      </c>
      <c r="O243" s="22" t="str">
        <f t="shared" si="19"/>
        <v>Apr-2025</v>
      </c>
      <c r="P243" s="22" t="s">
        <v>1594</v>
      </c>
      <c r="Q243" s="22" t="s">
        <v>1555</v>
      </c>
      <c r="R243" s="22" t="s">
        <v>1457</v>
      </c>
      <c r="S243" s="22"/>
      <c r="T243" s="22"/>
      <c r="V243" s="26" t="s">
        <v>1933</v>
      </c>
      <c r="W243" s="6">
        <v>6</v>
      </c>
    </row>
    <row r="244" spans="1:23">
      <c r="A244" t="s">
        <v>2179</v>
      </c>
      <c r="B244" s="8">
        <v>45312</v>
      </c>
      <c r="C244" t="s">
        <v>1019</v>
      </c>
      <c r="D244" t="s">
        <v>1563</v>
      </c>
      <c r="E244" t="s">
        <v>1911</v>
      </c>
      <c r="F244">
        <v>1</v>
      </c>
      <c r="G244" s="10">
        <v>394.35</v>
      </c>
      <c r="H244" s="13">
        <v>0.09</v>
      </c>
      <c r="I244" t="s">
        <v>1933</v>
      </c>
      <c r="J244" s="16">
        <v>358.85849999999999</v>
      </c>
      <c r="K244" s="19">
        <f t="shared" si="15"/>
        <v>1908791.1603000017</v>
      </c>
      <c r="L244" s="22">
        <f t="shared" si="16"/>
        <v>1085.7742663822535</v>
      </c>
      <c r="M244" s="22">
        <f t="shared" si="17"/>
        <v>613</v>
      </c>
      <c r="N244" s="22" t="str">
        <f t="shared" si="18"/>
        <v>Low Value</v>
      </c>
      <c r="O244" s="22" t="str">
        <f t="shared" si="19"/>
        <v>Jan-2024</v>
      </c>
      <c r="P244" s="22" t="s">
        <v>1564</v>
      </c>
      <c r="Q244" s="22" t="s">
        <v>1531</v>
      </c>
      <c r="R244" s="22" t="s">
        <v>1020</v>
      </c>
      <c r="S244" s="22"/>
      <c r="T244" s="22"/>
      <c r="V244" s="25" t="s">
        <v>1246</v>
      </c>
      <c r="W244" s="6">
        <v>8</v>
      </c>
    </row>
    <row r="245" spans="1:23">
      <c r="A245" t="s">
        <v>2180</v>
      </c>
      <c r="B245" s="8">
        <v>45480</v>
      </c>
      <c r="C245" t="s">
        <v>1133</v>
      </c>
      <c r="D245" t="s">
        <v>1749</v>
      </c>
      <c r="E245" t="s">
        <v>1899</v>
      </c>
      <c r="F245">
        <v>2</v>
      </c>
      <c r="G245" s="10">
        <v>703.95</v>
      </c>
      <c r="H245" s="13">
        <v>0.03</v>
      </c>
      <c r="I245" t="s">
        <v>1931</v>
      </c>
      <c r="J245" s="16">
        <v>1365.663</v>
      </c>
      <c r="K245" s="19">
        <f t="shared" si="15"/>
        <v>1908432.3018000016</v>
      </c>
      <c r="L245" s="22">
        <f t="shared" si="16"/>
        <v>1086.1879919180431</v>
      </c>
      <c r="M245" s="22">
        <f t="shared" si="17"/>
        <v>612</v>
      </c>
      <c r="N245" s="22" t="str">
        <f t="shared" si="18"/>
        <v>High Value</v>
      </c>
      <c r="O245" s="22" t="str">
        <f t="shared" si="19"/>
        <v>Jul-2024</v>
      </c>
      <c r="P245" s="22" t="s">
        <v>1750</v>
      </c>
      <c r="Q245" s="22" t="s">
        <v>1569</v>
      </c>
      <c r="R245" s="22" t="s">
        <v>1134</v>
      </c>
      <c r="S245" s="22"/>
      <c r="T245" s="22"/>
      <c r="V245" s="26" t="s">
        <v>1936</v>
      </c>
      <c r="W245" s="6">
        <v>2</v>
      </c>
    </row>
    <row r="246" spans="1:23">
      <c r="A246" t="s">
        <v>2181</v>
      </c>
      <c r="B246" s="8">
        <v>45780</v>
      </c>
      <c r="C246" t="s">
        <v>652</v>
      </c>
      <c r="D246" t="s">
        <v>1586</v>
      </c>
      <c r="E246" t="s">
        <v>1859</v>
      </c>
      <c r="F246">
        <v>4</v>
      </c>
      <c r="G246" s="10">
        <v>452.67</v>
      </c>
      <c r="H246" s="13">
        <v>0.28000000000000003</v>
      </c>
      <c r="I246" t="s">
        <v>1933</v>
      </c>
      <c r="J246" s="16">
        <v>1303.6895999999999</v>
      </c>
      <c r="K246" s="19">
        <f t="shared" si="15"/>
        <v>1907066.6388000015</v>
      </c>
      <c r="L246" s="22">
        <f t="shared" si="16"/>
        <v>1086.0288375854223</v>
      </c>
      <c r="M246" s="22">
        <f t="shared" si="17"/>
        <v>612</v>
      </c>
      <c r="N246" s="22" t="str">
        <f t="shared" si="18"/>
        <v>High Value</v>
      </c>
      <c r="O246" s="22" t="str">
        <f t="shared" si="19"/>
        <v>May-2025</v>
      </c>
      <c r="P246" s="22" t="s">
        <v>1587</v>
      </c>
      <c r="Q246" s="22" t="s">
        <v>1560</v>
      </c>
      <c r="R246" s="22" t="s">
        <v>653</v>
      </c>
      <c r="S246" s="22"/>
      <c r="T246" s="22"/>
      <c r="V246" s="26" t="s">
        <v>1931</v>
      </c>
      <c r="W246" s="6">
        <v>3</v>
      </c>
    </row>
    <row r="247" spans="1:23">
      <c r="A247" t="s">
        <v>2182</v>
      </c>
      <c r="B247" s="8">
        <v>45349</v>
      </c>
      <c r="C247" t="s">
        <v>1419</v>
      </c>
      <c r="D247" t="s">
        <v>1563</v>
      </c>
      <c r="E247" t="s">
        <v>1886</v>
      </c>
      <c r="F247">
        <v>2</v>
      </c>
      <c r="G247" s="10">
        <v>377.3</v>
      </c>
      <c r="H247" s="13">
        <v>0.15</v>
      </c>
      <c r="I247" t="s">
        <v>1933</v>
      </c>
      <c r="J247" s="16">
        <v>641.41</v>
      </c>
      <c r="K247" s="19">
        <f t="shared" si="15"/>
        <v>1905762.9492000018</v>
      </c>
      <c r="L247" s="22">
        <f t="shared" si="16"/>
        <v>1085.9048143589753</v>
      </c>
      <c r="M247" s="22">
        <f t="shared" si="17"/>
        <v>611</v>
      </c>
      <c r="N247" s="22" t="str">
        <f t="shared" si="18"/>
        <v>Low Value</v>
      </c>
      <c r="O247" s="22" t="str">
        <f t="shared" si="19"/>
        <v>Feb-2024</v>
      </c>
      <c r="P247" s="22" t="s">
        <v>1564</v>
      </c>
      <c r="Q247" s="22" t="s">
        <v>1531</v>
      </c>
      <c r="R247" s="22" t="s">
        <v>1420</v>
      </c>
      <c r="S247" s="22"/>
      <c r="T247" s="22"/>
      <c r="V247" s="26" t="s">
        <v>1933</v>
      </c>
      <c r="W247" s="6">
        <v>3</v>
      </c>
    </row>
    <row r="248" spans="1:23">
      <c r="A248" t="s">
        <v>2183</v>
      </c>
      <c r="B248" s="8">
        <v>45846</v>
      </c>
      <c r="C248" t="s">
        <v>1076</v>
      </c>
      <c r="D248" t="s">
        <v>1777</v>
      </c>
      <c r="E248" t="s">
        <v>1886</v>
      </c>
      <c r="F248">
        <v>2</v>
      </c>
      <c r="G248" s="10">
        <v>130.47999999999999</v>
      </c>
      <c r="H248" s="13">
        <v>0.23</v>
      </c>
      <c r="I248" t="s">
        <v>1933</v>
      </c>
      <c r="J248" s="16">
        <v>200.9392</v>
      </c>
      <c r="K248" s="19">
        <f t="shared" si="15"/>
        <v>1905121.5392000016</v>
      </c>
      <c r="L248" s="22">
        <f t="shared" si="16"/>
        <v>1086.158232155075</v>
      </c>
      <c r="M248" s="22">
        <f t="shared" si="17"/>
        <v>610</v>
      </c>
      <c r="N248" s="22" t="str">
        <f t="shared" si="18"/>
        <v>Low Value</v>
      </c>
      <c r="O248" s="22" t="str">
        <f t="shared" si="19"/>
        <v>Jul-2025</v>
      </c>
      <c r="P248" s="22" t="s">
        <v>1778</v>
      </c>
      <c r="Q248" s="22" t="s">
        <v>1531</v>
      </c>
      <c r="R248" s="22" t="s">
        <v>1077</v>
      </c>
      <c r="S248" s="22"/>
      <c r="T248" s="22"/>
      <c r="V248" s="25" t="s">
        <v>1173</v>
      </c>
      <c r="W248" s="6">
        <v>4</v>
      </c>
    </row>
    <row r="249" spans="1:23">
      <c r="A249" t="s">
        <v>2184</v>
      </c>
      <c r="B249" s="8">
        <v>45729</v>
      </c>
      <c r="C249" t="s">
        <v>1340</v>
      </c>
      <c r="D249" t="s">
        <v>1837</v>
      </c>
      <c r="E249" t="s">
        <v>1901</v>
      </c>
      <c r="F249">
        <v>1</v>
      </c>
      <c r="G249" s="10">
        <v>809.45</v>
      </c>
      <c r="H249" s="13">
        <v>0.09</v>
      </c>
      <c r="I249" t="s">
        <v>1936</v>
      </c>
      <c r="J249" s="16">
        <v>736.59950000000003</v>
      </c>
      <c r="K249" s="19">
        <f t="shared" si="15"/>
        <v>1904920.6000000017</v>
      </c>
      <c r="L249" s="22">
        <f t="shared" si="16"/>
        <v>1086.6632059326878</v>
      </c>
      <c r="M249" s="22">
        <f t="shared" si="17"/>
        <v>609</v>
      </c>
      <c r="N249" s="22" t="str">
        <f t="shared" si="18"/>
        <v>Low Value</v>
      </c>
      <c r="O249" s="22" t="str">
        <f t="shared" si="19"/>
        <v>Mar-2025</v>
      </c>
      <c r="P249" s="22" t="s">
        <v>1838</v>
      </c>
      <c r="Q249" s="22" t="s">
        <v>1555</v>
      </c>
      <c r="R249" s="22" t="s">
        <v>1341</v>
      </c>
      <c r="S249" s="22"/>
      <c r="T249" s="22"/>
      <c r="V249" s="26" t="s">
        <v>1936</v>
      </c>
      <c r="W249" s="6">
        <v>2</v>
      </c>
    </row>
    <row r="250" spans="1:23">
      <c r="A250" t="s">
        <v>2185</v>
      </c>
      <c r="B250" s="8">
        <v>45768</v>
      </c>
      <c r="C250" t="s">
        <v>298</v>
      </c>
      <c r="D250" t="s">
        <v>1687</v>
      </c>
      <c r="E250" t="s">
        <v>1893</v>
      </c>
      <c r="F250">
        <v>3</v>
      </c>
      <c r="G250" s="10">
        <v>499.12</v>
      </c>
      <c r="H250" s="13">
        <v>0.05</v>
      </c>
      <c r="I250" t="s">
        <v>1933</v>
      </c>
      <c r="J250" s="16">
        <v>1422.492</v>
      </c>
      <c r="K250" s="19">
        <f t="shared" si="15"/>
        <v>1904184.0005000017</v>
      </c>
      <c r="L250" s="22">
        <f t="shared" si="16"/>
        <v>1086.8630139840193</v>
      </c>
      <c r="M250" s="22">
        <f t="shared" si="17"/>
        <v>609</v>
      </c>
      <c r="N250" s="22" t="str">
        <f t="shared" si="18"/>
        <v>High Value</v>
      </c>
      <c r="O250" s="22" t="str">
        <f t="shared" si="19"/>
        <v>Apr-2025</v>
      </c>
      <c r="P250" s="22" t="s">
        <v>1688</v>
      </c>
      <c r="Q250" s="22" t="s">
        <v>1569</v>
      </c>
      <c r="R250" s="22" t="s">
        <v>299</v>
      </c>
      <c r="S250" s="22"/>
      <c r="T250" s="22"/>
      <c r="V250" s="26" t="s">
        <v>1931</v>
      </c>
      <c r="W250" s="6">
        <v>2</v>
      </c>
    </row>
    <row r="251" spans="1:23">
      <c r="A251" t="s">
        <v>2186</v>
      </c>
      <c r="B251" s="8">
        <v>45606</v>
      </c>
      <c r="C251" t="s">
        <v>100</v>
      </c>
      <c r="D251" t="s">
        <v>1758</v>
      </c>
      <c r="E251" t="s">
        <v>1873</v>
      </c>
      <c r="F251">
        <v>2</v>
      </c>
      <c r="G251" s="10">
        <v>894.58</v>
      </c>
      <c r="H251" s="13">
        <v>0.25</v>
      </c>
      <c r="I251" t="s">
        <v>1931</v>
      </c>
      <c r="J251" s="16">
        <v>1341.87</v>
      </c>
      <c r="K251" s="19">
        <f t="shared" si="15"/>
        <v>1902761.5085000019</v>
      </c>
      <c r="L251" s="22">
        <f t="shared" si="16"/>
        <v>1086.6713355225595</v>
      </c>
      <c r="M251" s="22">
        <f t="shared" si="17"/>
        <v>608</v>
      </c>
      <c r="N251" s="22" t="str">
        <f t="shared" si="18"/>
        <v>High Value</v>
      </c>
      <c r="O251" s="22" t="str">
        <f t="shared" si="19"/>
        <v>Nov-2024</v>
      </c>
      <c r="P251" s="22" t="s">
        <v>1759</v>
      </c>
      <c r="Q251" s="22" t="s">
        <v>1560</v>
      </c>
      <c r="R251" s="22" t="s">
        <v>101</v>
      </c>
      <c r="S251" s="22"/>
      <c r="T251" s="22"/>
      <c r="V251" s="25" t="s">
        <v>1094</v>
      </c>
      <c r="W251" s="6">
        <v>12</v>
      </c>
    </row>
    <row r="252" spans="1:23">
      <c r="A252" t="s">
        <v>2187</v>
      </c>
      <c r="B252" s="8">
        <v>45513</v>
      </c>
      <c r="C252" t="s">
        <v>447</v>
      </c>
      <c r="D252" t="s">
        <v>1780</v>
      </c>
      <c r="E252" t="s">
        <v>1893</v>
      </c>
      <c r="F252">
        <v>4</v>
      </c>
      <c r="G252" s="10">
        <v>578.39</v>
      </c>
      <c r="H252" s="13">
        <v>0.01</v>
      </c>
      <c r="I252" t="s">
        <v>1931</v>
      </c>
      <c r="J252" s="16">
        <v>2290.4243999999999</v>
      </c>
      <c r="K252" s="19">
        <f t="shared" si="15"/>
        <v>1901419.638500002</v>
      </c>
      <c r="L252" s="22">
        <f t="shared" si="16"/>
        <v>1086.5255077142867</v>
      </c>
      <c r="M252" s="22">
        <f t="shared" si="17"/>
        <v>608</v>
      </c>
      <c r="N252" s="22" t="str">
        <f t="shared" si="18"/>
        <v>High Value</v>
      </c>
      <c r="O252" s="22" t="str">
        <f t="shared" si="19"/>
        <v>Aug-2024</v>
      </c>
      <c r="P252" s="22" t="s">
        <v>1781</v>
      </c>
      <c r="Q252" s="22" t="s">
        <v>1536</v>
      </c>
      <c r="R252" s="22" t="s">
        <v>448</v>
      </c>
      <c r="S252" s="22"/>
      <c r="T252" s="22"/>
      <c r="V252" s="26" t="s">
        <v>1936</v>
      </c>
      <c r="W252" s="6">
        <v>5</v>
      </c>
    </row>
    <row r="253" spans="1:23">
      <c r="A253" t="s">
        <v>2188</v>
      </c>
      <c r="B253" s="8">
        <v>45356</v>
      </c>
      <c r="C253" t="s">
        <v>1481</v>
      </c>
      <c r="D253" t="s">
        <v>1675</v>
      </c>
      <c r="E253" t="s">
        <v>1914</v>
      </c>
      <c r="F253">
        <v>4</v>
      </c>
      <c r="G253" s="10">
        <v>982.45</v>
      </c>
      <c r="H253" s="13">
        <v>0.2</v>
      </c>
      <c r="I253" t="s">
        <v>1933</v>
      </c>
      <c r="J253" s="16">
        <v>3143.84</v>
      </c>
      <c r="K253" s="19">
        <f t="shared" si="15"/>
        <v>1899129.2141000021</v>
      </c>
      <c r="L253" s="22">
        <f t="shared" si="16"/>
        <v>1085.8371721555186</v>
      </c>
      <c r="M253" s="22">
        <f t="shared" si="17"/>
        <v>608</v>
      </c>
      <c r="N253" s="22" t="str">
        <f t="shared" si="18"/>
        <v>High Value</v>
      </c>
      <c r="O253" s="22" t="str">
        <f t="shared" si="19"/>
        <v>Mar-2024</v>
      </c>
      <c r="P253" s="22" t="s">
        <v>1676</v>
      </c>
      <c r="Q253" s="22" t="s">
        <v>1569</v>
      </c>
      <c r="R253" s="22" t="s">
        <v>1482</v>
      </c>
      <c r="S253" s="22"/>
      <c r="T253" s="22"/>
      <c r="V253" s="26" t="s">
        <v>1931</v>
      </c>
      <c r="W253" s="6">
        <v>7</v>
      </c>
    </row>
    <row r="254" spans="1:23">
      <c r="A254" t="s">
        <v>2189</v>
      </c>
      <c r="B254" s="8">
        <v>45925</v>
      </c>
      <c r="C254" t="s">
        <v>1380</v>
      </c>
      <c r="D254" t="s">
        <v>1849</v>
      </c>
      <c r="E254" t="s">
        <v>1920</v>
      </c>
      <c r="F254">
        <v>1</v>
      </c>
      <c r="G254" s="10">
        <v>549.52</v>
      </c>
      <c r="H254" s="13">
        <v>0.1</v>
      </c>
      <c r="I254" t="s">
        <v>1933</v>
      </c>
      <c r="J254" s="16">
        <v>494.56799999999998</v>
      </c>
      <c r="K254" s="19">
        <f t="shared" si="15"/>
        <v>1895985.3741000022</v>
      </c>
      <c r="L254" s="22">
        <f t="shared" si="16"/>
        <v>1084.6598250000013</v>
      </c>
      <c r="M254" s="22">
        <f t="shared" si="17"/>
        <v>607</v>
      </c>
      <c r="N254" s="22" t="str">
        <f t="shared" si="18"/>
        <v>Low Value</v>
      </c>
      <c r="O254" s="22" t="str">
        <f t="shared" si="19"/>
        <v>Sep-2025</v>
      </c>
      <c r="P254" s="22" t="s">
        <v>1850</v>
      </c>
      <c r="Q254" s="22" t="s">
        <v>1531</v>
      </c>
      <c r="R254" s="22" t="s">
        <v>1381</v>
      </c>
      <c r="S254" s="22"/>
      <c r="T254" s="22"/>
      <c r="V254" s="25" t="s">
        <v>3957</v>
      </c>
      <c r="W254" s="6">
        <v>4</v>
      </c>
    </row>
    <row r="255" spans="1:23">
      <c r="A255" t="s">
        <v>2190</v>
      </c>
      <c r="B255" s="8">
        <v>45876</v>
      </c>
      <c r="C255" t="s">
        <v>771</v>
      </c>
      <c r="D255" t="s">
        <v>1831</v>
      </c>
      <c r="E255" t="s">
        <v>1917</v>
      </c>
      <c r="F255">
        <v>2</v>
      </c>
      <c r="G255" s="10">
        <v>239.92</v>
      </c>
      <c r="H255" s="13">
        <v>0.16</v>
      </c>
      <c r="I255" t="s">
        <v>1931</v>
      </c>
      <c r="J255" s="16">
        <v>403.06560000000002</v>
      </c>
      <c r="K255" s="19">
        <f t="shared" si="15"/>
        <v>1895490.8061000023</v>
      </c>
      <c r="L255" s="22">
        <f t="shared" si="16"/>
        <v>1084.9975993703504</v>
      </c>
      <c r="M255" s="22">
        <f t="shared" si="17"/>
        <v>606</v>
      </c>
      <c r="N255" s="22" t="str">
        <f t="shared" si="18"/>
        <v>Low Value</v>
      </c>
      <c r="O255" s="22" t="str">
        <f t="shared" si="19"/>
        <v>Aug-2025</v>
      </c>
      <c r="P255" s="22" t="s">
        <v>1832</v>
      </c>
      <c r="Q255" s="22" t="s">
        <v>1560</v>
      </c>
      <c r="R255" s="22" t="s">
        <v>772</v>
      </c>
      <c r="S255" s="22"/>
      <c r="T255" s="22"/>
      <c r="V255" s="26" t="s">
        <v>1936</v>
      </c>
      <c r="W255" s="6">
        <v>2</v>
      </c>
    </row>
    <row r="256" spans="1:23">
      <c r="A256" t="s">
        <v>2191</v>
      </c>
      <c r="B256" s="8">
        <v>45338</v>
      </c>
      <c r="C256" t="s">
        <v>295</v>
      </c>
      <c r="D256" t="s">
        <v>1831</v>
      </c>
      <c r="E256" t="s">
        <v>1883</v>
      </c>
      <c r="F256">
        <v>2</v>
      </c>
      <c r="G256" s="10">
        <v>878.05</v>
      </c>
      <c r="H256" s="13">
        <v>0.11</v>
      </c>
      <c r="I256" t="s">
        <v>1933</v>
      </c>
      <c r="J256" s="16">
        <v>1562.9290000000001</v>
      </c>
      <c r="K256" s="19">
        <f t="shared" si="15"/>
        <v>1895087.7405000022</v>
      </c>
      <c r="L256" s="22">
        <f t="shared" si="16"/>
        <v>1085.3881675257744</v>
      </c>
      <c r="M256" s="22">
        <f t="shared" si="17"/>
        <v>606</v>
      </c>
      <c r="N256" s="22" t="str">
        <f t="shared" si="18"/>
        <v>High Value</v>
      </c>
      <c r="O256" s="22" t="str">
        <f t="shared" si="19"/>
        <v>Feb-2024</v>
      </c>
      <c r="P256" s="22" t="s">
        <v>1832</v>
      </c>
      <c r="Q256" s="22" t="s">
        <v>1560</v>
      </c>
      <c r="R256" s="22" t="s">
        <v>296</v>
      </c>
      <c r="S256" s="22"/>
      <c r="T256" s="22"/>
      <c r="V256" s="26" t="s">
        <v>1931</v>
      </c>
      <c r="W256" s="6">
        <v>2</v>
      </c>
    </row>
    <row r="257" spans="1:23">
      <c r="A257" t="s">
        <v>2192</v>
      </c>
      <c r="B257" s="8">
        <v>45746</v>
      </c>
      <c r="C257" t="s">
        <v>171</v>
      </c>
      <c r="D257" t="s">
        <v>1534</v>
      </c>
      <c r="E257" t="s">
        <v>1893</v>
      </c>
      <c r="F257">
        <v>3</v>
      </c>
      <c r="G257" s="10">
        <v>546.96</v>
      </c>
      <c r="H257" s="13">
        <v>0.19</v>
      </c>
      <c r="I257" t="s">
        <v>1931</v>
      </c>
      <c r="J257" s="16">
        <v>1329.1128000000001</v>
      </c>
      <c r="K257" s="19">
        <f t="shared" si="15"/>
        <v>1893524.8115000022</v>
      </c>
      <c r="L257" s="22">
        <f t="shared" si="16"/>
        <v>1085.1145051575943</v>
      </c>
      <c r="M257" s="22">
        <f t="shared" si="17"/>
        <v>605</v>
      </c>
      <c r="N257" s="22" t="str">
        <f t="shared" si="18"/>
        <v>High Value</v>
      </c>
      <c r="O257" s="22" t="str">
        <f t="shared" si="19"/>
        <v>Mar-2025</v>
      </c>
      <c r="P257" s="22" t="s">
        <v>1535</v>
      </c>
      <c r="Q257" s="22" t="s">
        <v>1536</v>
      </c>
      <c r="R257" s="22" t="s">
        <v>172</v>
      </c>
      <c r="S257" s="22"/>
      <c r="T257" s="22"/>
      <c r="V257" s="25" t="s">
        <v>1366</v>
      </c>
      <c r="W257" s="6">
        <v>8</v>
      </c>
    </row>
    <row r="258" spans="1:23">
      <c r="A258" t="s">
        <v>2193</v>
      </c>
      <c r="B258" s="8">
        <v>45706</v>
      </c>
      <c r="C258" t="s">
        <v>1442</v>
      </c>
      <c r="D258" t="s">
        <v>1597</v>
      </c>
      <c r="E258" t="s">
        <v>1896</v>
      </c>
      <c r="F258">
        <v>2</v>
      </c>
      <c r="G258" s="10">
        <v>71.77</v>
      </c>
      <c r="H258" s="13">
        <v>0.22</v>
      </c>
      <c r="I258" t="s">
        <v>1931</v>
      </c>
      <c r="J258" s="16">
        <v>111.96120000000001</v>
      </c>
      <c r="K258" s="19">
        <f t="shared" ref="K258:K321" si="20">SUM(J258:J2257)</f>
        <v>1892195.6987000019</v>
      </c>
      <c r="L258" s="22">
        <f t="shared" ref="L258:L321" si="21">AVERAGE(J258:J2257)</f>
        <v>1084.9745978784415</v>
      </c>
      <c r="M258" s="22">
        <f t="shared" ref="M258:M321" si="22">COUNTIF(I258:I2257,"PayPal")</f>
        <v>605</v>
      </c>
      <c r="N258" s="22" t="str">
        <f t="shared" ref="N258:N321" si="23">IF(J258&gt;=1000,"High Value","Low Value")</f>
        <v>Low Value</v>
      </c>
      <c r="O258" s="22" t="str">
        <f t="shared" ref="O258:O321" si="24">TEXT(B258,"mmm-yyyy")</f>
        <v>Feb-2025</v>
      </c>
      <c r="P258" s="22" t="s">
        <v>1598</v>
      </c>
      <c r="Q258" s="22" t="s">
        <v>1569</v>
      </c>
      <c r="R258" s="22" t="s">
        <v>1443</v>
      </c>
      <c r="S258" s="22"/>
      <c r="T258" s="22"/>
      <c r="V258" s="26" t="s">
        <v>1936</v>
      </c>
      <c r="W258" s="6">
        <v>1</v>
      </c>
    </row>
    <row r="259" spans="1:23">
      <c r="A259" t="s">
        <v>2194</v>
      </c>
      <c r="B259" s="8">
        <v>45717</v>
      </c>
      <c r="C259" t="s">
        <v>63</v>
      </c>
      <c r="D259" t="s">
        <v>1620</v>
      </c>
      <c r="E259" t="s">
        <v>1864</v>
      </c>
      <c r="F259">
        <v>2</v>
      </c>
      <c r="G259" s="10">
        <v>679.86</v>
      </c>
      <c r="H259" s="13">
        <v>0.22</v>
      </c>
      <c r="I259" t="s">
        <v>1936</v>
      </c>
      <c r="J259" s="16">
        <v>1060.5816</v>
      </c>
      <c r="K259" s="19">
        <f t="shared" si="20"/>
        <v>1892083.7375000021</v>
      </c>
      <c r="L259" s="22">
        <f t="shared" si="21"/>
        <v>1085.5328384968457</v>
      </c>
      <c r="M259" s="22">
        <f t="shared" si="22"/>
        <v>605</v>
      </c>
      <c r="N259" s="22" t="str">
        <f t="shared" si="23"/>
        <v>High Value</v>
      </c>
      <c r="O259" s="22" t="str">
        <f t="shared" si="24"/>
        <v>Mar-2025</v>
      </c>
      <c r="P259" s="22" t="s">
        <v>1621</v>
      </c>
      <c r="Q259" s="22" t="s">
        <v>1569</v>
      </c>
      <c r="R259" s="22" t="s">
        <v>64</v>
      </c>
      <c r="S259" s="22"/>
      <c r="T259" s="22"/>
      <c r="V259" s="26" t="s">
        <v>1931</v>
      </c>
      <c r="W259" s="6">
        <v>4</v>
      </c>
    </row>
    <row r="260" spans="1:23">
      <c r="A260" t="s">
        <v>2195</v>
      </c>
      <c r="B260" s="8">
        <v>45300</v>
      </c>
      <c r="C260" t="s">
        <v>462</v>
      </c>
      <c r="D260" t="s">
        <v>1655</v>
      </c>
      <c r="E260" t="s">
        <v>1914</v>
      </c>
      <c r="F260">
        <v>1</v>
      </c>
      <c r="G260" s="10">
        <v>222.94</v>
      </c>
      <c r="H260" s="13">
        <v>0.19</v>
      </c>
      <c r="I260" t="s">
        <v>1931</v>
      </c>
      <c r="J260" s="16">
        <v>180.5814</v>
      </c>
      <c r="K260" s="19">
        <f t="shared" si="20"/>
        <v>1891023.155900002</v>
      </c>
      <c r="L260" s="22">
        <f t="shared" si="21"/>
        <v>1085.5471618254892</v>
      </c>
      <c r="M260" s="22">
        <f t="shared" si="22"/>
        <v>605</v>
      </c>
      <c r="N260" s="22" t="str">
        <f t="shared" si="23"/>
        <v>Low Value</v>
      </c>
      <c r="O260" s="22" t="str">
        <f t="shared" si="24"/>
        <v>Jan-2024</v>
      </c>
      <c r="P260" s="22" t="s">
        <v>1656</v>
      </c>
      <c r="Q260" s="22" t="s">
        <v>1560</v>
      </c>
      <c r="R260" s="22" t="s">
        <v>463</v>
      </c>
      <c r="S260" s="22"/>
      <c r="T260" s="22"/>
      <c r="V260" s="26" t="s">
        <v>1933</v>
      </c>
      <c r="W260" s="6">
        <v>3</v>
      </c>
    </row>
    <row r="261" spans="1:23">
      <c r="A261" t="s">
        <v>2196</v>
      </c>
      <c r="B261" s="8">
        <v>45773</v>
      </c>
      <c r="C261" t="s">
        <v>795</v>
      </c>
      <c r="D261" t="s">
        <v>1655</v>
      </c>
      <c r="E261" t="s">
        <v>1868</v>
      </c>
      <c r="F261">
        <v>2</v>
      </c>
      <c r="G261" s="10">
        <v>355.3</v>
      </c>
      <c r="H261" s="14">
        <v>0.17</v>
      </c>
      <c r="I261" t="s">
        <v>1933</v>
      </c>
      <c r="J261" s="16">
        <v>589.798</v>
      </c>
      <c r="K261" s="19">
        <f t="shared" si="20"/>
        <v>1890842.574500002</v>
      </c>
      <c r="L261" s="22">
        <f t="shared" si="21"/>
        <v>1086.0669583572671</v>
      </c>
      <c r="M261" s="22">
        <f t="shared" si="22"/>
        <v>605</v>
      </c>
      <c r="N261" s="22" t="str">
        <f t="shared" si="23"/>
        <v>Low Value</v>
      </c>
      <c r="O261" s="22" t="str">
        <f t="shared" si="24"/>
        <v>Apr-2025</v>
      </c>
      <c r="P261" s="22" t="s">
        <v>1656</v>
      </c>
      <c r="Q261" s="22" t="s">
        <v>1560</v>
      </c>
      <c r="R261" s="22" t="s">
        <v>796</v>
      </c>
      <c r="S261" s="22"/>
      <c r="T261" s="22"/>
      <c r="V261" s="25" t="s">
        <v>216</v>
      </c>
      <c r="W261" s="6">
        <v>9</v>
      </c>
    </row>
    <row r="262" spans="1:23">
      <c r="A262" t="s">
        <v>2197</v>
      </c>
      <c r="B262" s="8">
        <v>45497</v>
      </c>
      <c r="C262" t="s">
        <v>361</v>
      </c>
      <c r="D262" t="s">
        <v>1822</v>
      </c>
      <c r="E262" t="s">
        <v>1920</v>
      </c>
      <c r="F262">
        <v>4</v>
      </c>
      <c r="G262" s="10">
        <v>611.29999999999995</v>
      </c>
      <c r="H262" s="13">
        <v>0.11</v>
      </c>
      <c r="I262" t="s">
        <v>1933</v>
      </c>
      <c r="J262" s="16">
        <v>2176.2280000000001</v>
      </c>
      <c r="K262" s="19">
        <f t="shared" si="20"/>
        <v>1890252.776500002</v>
      </c>
      <c r="L262" s="22">
        <f t="shared" si="21"/>
        <v>1086.3521704023001</v>
      </c>
      <c r="M262" s="22">
        <f t="shared" si="22"/>
        <v>604</v>
      </c>
      <c r="N262" s="22" t="str">
        <f t="shared" si="23"/>
        <v>High Value</v>
      </c>
      <c r="O262" s="22" t="str">
        <f t="shared" si="24"/>
        <v>Jul-2024</v>
      </c>
      <c r="P262" s="22" t="s">
        <v>1823</v>
      </c>
      <c r="Q262" s="22" t="s">
        <v>1555</v>
      </c>
      <c r="R262" s="22" t="s">
        <v>362</v>
      </c>
      <c r="S262" s="22"/>
      <c r="T262" s="22"/>
      <c r="V262" s="26" t="s">
        <v>1936</v>
      </c>
      <c r="W262" s="6">
        <v>5</v>
      </c>
    </row>
    <row r="263" spans="1:23">
      <c r="A263" t="s">
        <v>2198</v>
      </c>
      <c r="B263" s="8">
        <v>45742</v>
      </c>
      <c r="C263" t="s">
        <v>1043</v>
      </c>
      <c r="D263" t="s">
        <v>1529</v>
      </c>
      <c r="E263" t="s">
        <v>1889</v>
      </c>
      <c r="F263">
        <v>4</v>
      </c>
      <c r="G263" s="10">
        <v>849.21</v>
      </c>
      <c r="H263" s="13">
        <v>7.0000000000000007E-2</v>
      </c>
      <c r="I263" t="s">
        <v>1931</v>
      </c>
      <c r="J263" s="16">
        <v>3159.0612000000001</v>
      </c>
      <c r="K263" s="19">
        <f t="shared" si="20"/>
        <v>1888076.5485000019</v>
      </c>
      <c r="L263" s="22">
        <f t="shared" si="21"/>
        <v>1085.7254447958608</v>
      </c>
      <c r="M263" s="22">
        <f t="shared" si="22"/>
        <v>603</v>
      </c>
      <c r="N263" s="22" t="str">
        <f t="shared" si="23"/>
        <v>High Value</v>
      </c>
      <c r="O263" s="22" t="str">
        <f t="shared" si="24"/>
        <v>Mar-2025</v>
      </c>
      <c r="P263" s="22" t="s">
        <v>1530</v>
      </c>
      <c r="Q263" s="22" t="s">
        <v>1531</v>
      </c>
      <c r="R263" s="22" t="s">
        <v>1044</v>
      </c>
      <c r="S263" s="22"/>
      <c r="T263" s="22"/>
      <c r="V263" s="26" t="s">
        <v>1931</v>
      </c>
      <c r="W263" s="6">
        <v>3</v>
      </c>
    </row>
    <row r="264" spans="1:23">
      <c r="A264" t="s">
        <v>2199</v>
      </c>
      <c r="B264" s="8">
        <v>45713</v>
      </c>
      <c r="C264" t="s">
        <v>679</v>
      </c>
      <c r="D264" t="s">
        <v>1678</v>
      </c>
      <c r="E264" t="s">
        <v>1886</v>
      </c>
      <c r="F264">
        <v>3</v>
      </c>
      <c r="G264" s="10">
        <v>553.12</v>
      </c>
      <c r="H264" s="13">
        <v>0.28000000000000003</v>
      </c>
      <c r="I264" t="s">
        <v>1936</v>
      </c>
      <c r="J264" s="16">
        <v>1194.7392</v>
      </c>
      <c r="K264" s="19">
        <f t="shared" si="20"/>
        <v>1884917.4873000022</v>
      </c>
      <c r="L264" s="22">
        <f t="shared" si="21"/>
        <v>1084.5325013233614</v>
      </c>
      <c r="M264" s="22">
        <f t="shared" si="22"/>
        <v>603</v>
      </c>
      <c r="N264" s="22" t="str">
        <f t="shared" si="23"/>
        <v>High Value</v>
      </c>
      <c r="O264" s="22" t="str">
        <f t="shared" si="24"/>
        <v>Feb-2025</v>
      </c>
      <c r="P264" s="22" t="s">
        <v>1679</v>
      </c>
      <c r="Q264" s="22" t="s">
        <v>1531</v>
      </c>
      <c r="R264" s="22" t="s">
        <v>680</v>
      </c>
      <c r="S264" s="22"/>
      <c r="T264" s="22"/>
      <c r="V264" s="26" t="s">
        <v>1933</v>
      </c>
      <c r="W264" s="6">
        <v>1</v>
      </c>
    </row>
    <row r="265" spans="1:23">
      <c r="A265" t="s">
        <v>2200</v>
      </c>
      <c r="B265" s="8">
        <v>45826</v>
      </c>
      <c r="C265" t="s">
        <v>895</v>
      </c>
      <c r="D265" t="s">
        <v>1828</v>
      </c>
      <c r="E265" t="s">
        <v>1893</v>
      </c>
      <c r="F265">
        <v>2</v>
      </c>
      <c r="G265" s="10">
        <v>903.08</v>
      </c>
      <c r="H265" s="13">
        <v>0.18</v>
      </c>
      <c r="I265" t="s">
        <v>1936</v>
      </c>
      <c r="J265" s="16">
        <v>1481.0512000000001</v>
      </c>
      <c r="K265" s="19">
        <f t="shared" si="20"/>
        <v>1883722.7481000021</v>
      </c>
      <c r="L265" s="22">
        <f t="shared" si="21"/>
        <v>1084.4690547495693</v>
      </c>
      <c r="M265" s="22">
        <f t="shared" si="22"/>
        <v>603</v>
      </c>
      <c r="N265" s="22" t="str">
        <f t="shared" si="23"/>
        <v>High Value</v>
      </c>
      <c r="O265" s="22" t="str">
        <f t="shared" si="24"/>
        <v>Jun-2025</v>
      </c>
      <c r="P265" s="22" t="s">
        <v>1829</v>
      </c>
      <c r="Q265" s="22" t="s">
        <v>1536</v>
      </c>
      <c r="R265" s="22" t="s">
        <v>896</v>
      </c>
      <c r="S265" s="22"/>
      <c r="T265" s="22"/>
      <c r="V265" s="25" t="s">
        <v>1134</v>
      </c>
      <c r="W265" s="6">
        <v>10</v>
      </c>
    </row>
    <row r="266" spans="1:23">
      <c r="A266" t="s">
        <v>2201</v>
      </c>
      <c r="B266" s="8">
        <v>45648</v>
      </c>
      <c r="C266" t="s">
        <v>1462</v>
      </c>
      <c r="D266" t="s">
        <v>1970</v>
      </c>
      <c r="E266" t="s">
        <v>1899</v>
      </c>
      <c r="F266">
        <v>4</v>
      </c>
      <c r="G266" s="10">
        <v>640.23</v>
      </c>
      <c r="H266" s="13">
        <v>0.06</v>
      </c>
      <c r="I266" t="s">
        <v>1936</v>
      </c>
      <c r="J266" s="16">
        <v>2407.2647999999999</v>
      </c>
      <c r="K266" s="19">
        <f t="shared" si="20"/>
        <v>1882241.696900002</v>
      </c>
      <c r="L266" s="22">
        <f t="shared" si="21"/>
        <v>1084.2406088133653</v>
      </c>
      <c r="M266" s="22">
        <f t="shared" si="22"/>
        <v>603</v>
      </c>
      <c r="N266" s="22" t="str">
        <f t="shared" si="23"/>
        <v>High Value</v>
      </c>
      <c r="O266" s="22" t="str">
        <f t="shared" si="24"/>
        <v>Dec-2024</v>
      </c>
      <c r="P266" s="22" t="s">
        <v>1594</v>
      </c>
      <c r="Q266" s="22" t="s">
        <v>1555</v>
      </c>
      <c r="R266" s="22" t="s">
        <v>3960</v>
      </c>
      <c r="S266" s="22"/>
      <c r="T266" s="22"/>
      <c r="V266" s="26" t="s">
        <v>1936</v>
      </c>
      <c r="W266" s="6">
        <v>3</v>
      </c>
    </row>
    <row r="267" spans="1:23">
      <c r="A267" t="s">
        <v>2202</v>
      </c>
      <c r="B267" s="8">
        <v>45836</v>
      </c>
      <c r="C267" t="s">
        <v>476</v>
      </c>
      <c r="D267" t="s">
        <v>1610</v>
      </c>
      <c r="E267" t="s">
        <v>1883</v>
      </c>
      <c r="F267">
        <v>1</v>
      </c>
      <c r="G267" s="10">
        <v>518</v>
      </c>
      <c r="H267" s="13">
        <v>0.25</v>
      </c>
      <c r="I267" t="s">
        <v>1931</v>
      </c>
      <c r="J267" s="16">
        <v>388.5</v>
      </c>
      <c r="K267" s="19">
        <f t="shared" si="20"/>
        <v>1879834.432100002</v>
      </c>
      <c r="L267" s="22">
        <f t="shared" si="21"/>
        <v>1083.4780588472634</v>
      </c>
      <c r="M267" s="22">
        <f t="shared" si="22"/>
        <v>603</v>
      </c>
      <c r="N267" s="22" t="str">
        <f t="shared" si="23"/>
        <v>Low Value</v>
      </c>
      <c r="O267" s="22" t="str">
        <f t="shared" si="24"/>
        <v>Jun-2025</v>
      </c>
      <c r="P267" s="22" t="s">
        <v>1611</v>
      </c>
      <c r="Q267" s="22" t="s">
        <v>1560</v>
      </c>
      <c r="R267" s="22" t="s">
        <v>477</v>
      </c>
      <c r="S267" s="22"/>
      <c r="T267" s="22"/>
      <c r="V267" s="26" t="s">
        <v>1931</v>
      </c>
      <c r="W267" s="6">
        <v>2</v>
      </c>
    </row>
    <row r="268" spans="1:23">
      <c r="A268" t="s">
        <v>2203</v>
      </c>
      <c r="B268" s="8">
        <v>45437</v>
      </c>
      <c r="C268" t="s">
        <v>1334</v>
      </c>
      <c r="D268" t="s">
        <v>1746</v>
      </c>
      <c r="E268" t="s">
        <v>1876</v>
      </c>
      <c r="F268">
        <v>4</v>
      </c>
      <c r="G268" s="10">
        <v>779.25</v>
      </c>
      <c r="H268" s="13">
        <v>0.25</v>
      </c>
      <c r="I268" t="s">
        <v>1931</v>
      </c>
      <c r="J268" s="16">
        <v>2337.75</v>
      </c>
      <c r="K268" s="19">
        <f t="shared" si="20"/>
        <v>1879445.932100002</v>
      </c>
      <c r="L268" s="22">
        <f t="shared" si="21"/>
        <v>1083.8788535755491</v>
      </c>
      <c r="M268" s="22">
        <f t="shared" si="22"/>
        <v>603</v>
      </c>
      <c r="N268" s="22" t="str">
        <f t="shared" si="23"/>
        <v>High Value</v>
      </c>
      <c r="O268" s="22" t="str">
        <f t="shared" si="24"/>
        <v>May-2024</v>
      </c>
      <c r="P268" s="22" t="s">
        <v>1747</v>
      </c>
      <c r="Q268" s="22" t="s">
        <v>1555</v>
      </c>
      <c r="R268" s="22" t="s">
        <v>1335</v>
      </c>
      <c r="S268" s="22"/>
      <c r="T268" s="22"/>
      <c r="V268" s="26" t="s">
        <v>1933</v>
      </c>
      <c r="W268" s="6">
        <v>5</v>
      </c>
    </row>
    <row r="269" spans="1:23">
      <c r="A269" t="s">
        <v>2204</v>
      </c>
      <c r="B269" s="8">
        <v>45807</v>
      </c>
      <c r="C269" t="s">
        <v>406</v>
      </c>
      <c r="D269" t="s">
        <v>1804</v>
      </c>
      <c r="E269" t="s">
        <v>1886</v>
      </c>
      <c r="F269">
        <v>2</v>
      </c>
      <c r="G269" s="10">
        <v>467.75</v>
      </c>
      <c r="H269" s="13">
        <v>0.26</v>
      </c>
      <c r="I269" t="s">
        <v>1931</v>
      </c>
      <c r="J269" s="16">
        <v>692.27</v>
      </c>
      <c r="K269" s="19">
        <f t="shared" si="20"/>
        <v>1877108.1821000015</v>
      </c>
      <c r="L269" s="22">
        <f t="shared" si="21"/>
        <v>1083.1553272360077</v>
      </c>
      <c r="M269" s="22">
        <f t="shared" si="22"/>
        <v>603</v>
      </c>
      <c r="N269" s="22" t="str">
        <f t="shared" si="23"/>
        <v>Low Value</v>
      </c>
      <c r="O269" s="22" t="str">
        <f t="shared" si="24"/>
        <v>May-2025</v>
      </c>
      <c r="P269" s="22" t="s">
        <v>1805</v>
      </c>
      <c r="Q269" s="22" t="s">
        <v>1555</v>
      </c>
      <c r="R269" s="22" t="s">
        <v>407</v>
      </c>
      <c r="S269" s="22"/>
      <c r="T269" s="22"/>
      <c r="V269" s="25" t="s">
        <v>659</v>
      </c>
      <c r="W269" s="6">
        <v>8</v>
      </c>
    </row>
    <row r="270" spans="1:23">
      <c r="A270" t="s">
        <v>2205</v>
      </c>
      <c r="B270" s="8">
        <v>45555</v>
      </c>
      <c r="C270" t="s">
        <v>1256</v>
      </c>
      <c r="D270" t="s">
        <v>1825</v>
      </c>
      <c r="E270" t="s">
        <v>1917</v>
      </c>
      <c r="F270">
        <v>3</v>
      </c>
      <c r="G270" s="11">
        <v>111.79</v>
      </c>
      <c r="H270" s="13">
        <v>0.06</v>
      </c>
      <c r="I270" t="s">
        <v>1931</v>
      </c>
      <c r="J270" s="16">
        <v>315.24779999999998</v>
      </c>
      <c r="K270" s="19">
        <f t="shared" si="20"/>
        <v>1876415.9121000017</v>
      </c>
      <c r="L270" s="22">
        <f t="shared" si="21"/>
        <v>1083.3810116050818</v>
      </c>
      <c r="M270" s="22">
        <f t="shared" si="22"/>
        <v>603</v>
      </c>
      <c r="N270" s="22" t="str">
        <f t="shared" si="23"/>
        <v>Low Value</v>
      </c>
      <c r="O270" s="22" t="str">
        <f t="shared" si="24"/>
        <v>Sep-2024</v>
      </c>
      <c r="P270" s="22" t="s">
        <v>1826</v>
      </c>
      <c r="Q270" s="22" t="s">
        <v>1531</v>
      </c>
      <c r="R270" s="22" t="s">
        <v>1257</v>
      </c>
      <c r="S270" s="22"/>
      <c r="T270" s="22"/>
      <c r="V270" s="26" t="s">
        <v>1936</v>
      </c>
      <c r="W270" s="6">
        <v>4</v>
      </c>
    </row>
    <row r="271" spans="1:23">
      <c r="A271" t="s">
        <v>2206</v>
      </c>
      <c r="B271" s="8">
        <v>45803</v>
      </c>
      <c r="C271" t="s">
        <v>709</v>
      </c>
      <c r="D271" t="s">
        <v>1661</v>
      </c>
      <c r="E271" t="s">
        <v>1859</v>
      </c>
      <c r="F271">
        <v>4</v>
      </c>
      <c r="G271" s="10">
        <v>747.01</v>
      </c>
      <c r="H271" s="13">
        <v>0.13</v>
      </c>
      <c r="I271" t="s">
        <v>1933</v>
      </c>
      <c r="J271" s="16">
        <v>2599.5947999999999</v>
      </c>
      <c r="K271" s="19">
        <f t="shared" si="20"/>
        <v>1876100.6643000017</v>
      </c>
      <c r="L271" s="22">
        <f t="shared" si="21"/>
        <v>1083.8247627383025</v>
      </c>
      <c r="M271" s="22">
        <f t="shared" si="22"/>
        <v>603</v>
      </c>
      <c r="N271" s="22" t="str">
        <f t="shared" si="23"/>
        <v>High Value</v>
      </c>
      <c r="O271" s="22" t="str">
        <f t="shared" si="24"/>
        <v>May-2025</v>
      </c>
      <c r="P271" s="22" t="s">
        <v>1662</v>
      </c>
      <c r="Q271" s="22" t="s">
        <v>1536</v>
      </c>
      <c r="R271" s="22" t="s">
        <v>710</v>
      </c>
      <c r="S271" s="22"/>
      <c r="T271" s="22"/>
      <c r="V271" s="26" t="s">
        <v>1931</v>
      </c>
      <c r="W271" s="6">
        <v>2</v>
      </c>
    </row>
    <row r="272" spans="1:23">
      <c r="A272" t="s">
        <v>2207</v>
      </c>
      <c r="B272" s="8">
        <v>45735</v>
      </c>
      <c r="C272" t="s">
        <v>355</v>
      </c>
      <c r="D272" t="s">
        <v>1822</v>
      </c>
      <c r="E272" t="s">
        <v>1901</v>
      </c>
      <c r="F272">
        <v>4</v>
      </c>
      <c r="G272" s="10">
        <v>461.83</v>
      </c>
      <c r="H272" s="13">
        <v>0.28000000000000003</v>
      </c>
      <c r="I272" t="s">
        <v>1933</v>
      </c>
      <c r="J272" s="16">
        <v>1330.0704000000001</v>
      </c>
      <c r="K272" s="19">
        <f t="shared" si="20"/>
        <v>1873501.0695000018</v>
      </c>
      <c r="L272" s="22">
        <f t="shared" si="21"/>
        <v>1082.9485950867063</v>
      </c>
      <c r="M272" s="22">
        <f t="shared" si="22"/>
        <v>602</v>
      </c>
      <c r="N272" s="22" t="str">
        <f t="shared" si="23"/>
        <v>High Value</v>
      </c>
      <c r="O272" s="22" t="str">
        <f t="shared" si="24"/>
        <v>Mar-2025</v>
      </c>
      <c r="P272" s="22" t="s">
        <v>1823</v>
      </c>
      <c r="Q272" s="22" t="s">
        <v>1555</v>
      </c>
      <c r="R272" s="22" t="s">
        <v>356</v>
      </c>
      <c r="S272" s="22"/>
      <c r="T272" s="22"/>
      <c r="V272" s="26" t="s">
        <v>1933</v>
      </c>
      <c r="W272" s="6">
        <v>2</v>
      </c>
    </row>
    <row r="273" spans="1:23">
      <c r="A273" t="s">
        <v>2208</v>
      </c>
      <c r="B273" s="8">
        <v>45750</v>
      </c>
      <c r="C273" t="s">
        <v>456</v>
      </c>
      <c r="D273" t="s">
        <v>1765</v>
      </c>
      <c r="E273" t="s">
        <v>1889</v>
      </c>
      <c r="F273">
        <v>2</v>
      </c>
      <c r="G273" s="10">
        <v>105.15</v>
      </c>
      <c r="H273" s="13">
        <v>0.06</v>
      </c>
      <c r="I273" t="s">
        <v>1931</v>
      </c>
      <c r="J273" s="16">
        <v>197.68199999999999</v>
      </c>
      <c r="K273" s="19">
        <f t="shared" si="20"/>
        <v>1872170.999100002</v>
      </c>
      <c r="L273" s="22">
        <f t="shared" si="21"/>
        <v>1082.8056674956633</v>
      </c>
      <c r="M273" s="22">
        <f t="shared" si="22"/>
        <v>601</v>
      </c>
      <c r="N273" s="22" t="str">
        <f t="shared" si="23"/>
        <v>Low Value</v>
      </c>
      <c r="O273" s="22" t="str">
        <f t="shared" si="24"/>
        <v>Apr-2025</v>
      </c>
      <c r="P273" s="22" t="s">
        <v>1766</v>
      </c>
      <c r="Q273" s="22" t="s">
        <v>1560</v>
      </c>
      <c r="R273" s="22" t="s">
        <v>457</v>
      </c>
      <c r="S273" s="22"/>
      <c r="T273" s="22"/>
      <c r="V273" s="25" t="s">
        <v>1403</v>
      </c>
      <c r="W273" s="6">
        <v>11</v>
      </c>
    </row>
    <row r="274" spans="1:23">
      <c r="A274" t="s">
        <v>2209</v>
      </c>
      <c r="B274" s="8">
        <v>45693</v>
      </c>
      <c r="C274" t="s">
        <v>134</v>
      </c>
      <c r="D274" t="s">
        <v>1617</v>
      </c>
      <c r="E274" t="s">
        <v>1873</v>
      </c>
      <c r="F274">
        <v>3</v>
      </c>
      <c r="G274" s="10">
        <v>610.24</v>
      </c>
      <c r="H274" s="13">
        <v>0.17</v>
      </c>
      <c r="I274" t="s">
        <v>1936</v>
      </c>
      <c r="J274" s="16">
        <v>1519.4975999999999</v>
      </c>
      <c r="K274" s="19">
        <f t="shared" si="20"/>
        <v>1871973.317100002</v>
      </c>
      <c r="L274" s="22">
        <f t="shared" si="21"/>
        <v>1083.3178918402789</v>
      </c>
      <c r="M274" s="22">
        <f t="shared" si="22"/>
        <v>601</v>
      </c>
      <c r="N274" s="22" t="str">
        <f t="shared" si="23"/>
        <v>High Value</v>
      </c>
      <c r="O274" s="22" t="str">
        <f t="shared" si="24"/>
        <v>Feb-2025</v>
      </c>
      <c r="P274" s="22" t="s">
        <v>1618</v>
      </c>
      <c r="Q274" s="22" t="s">
        <v>1536</v>
      </c>
      <c r="R274" s="22" t="s">
        <v>3943</v>
      </c>
      <c r="S274" s="22"/>
      <c r="T274" s="22"/>
      <c r="V274" s="26" t="s">
        <v>1931</v>
      </c>
      <c r="W274" s="6">
        <v>10</v>
      </c>
    </row>
    <row r="275" spans="1:23">
      <c r="A275" t="s">
        <v>2210</v>
      </c>
      <c r="B275" s="8">
        <v>45667</v>
      </c>
      <c r="C275" t="s">
        <v>981</v>
      </c>
      <c r="D275" t="s">
        <v>1777</v>
      </c>
      <c r="E275" t="s">
        <v>1889</v>
      </c>
      <c r="F275">
        <v>1</v>
      </c>
      <c r="G275" s="10">
        <v>872.12</v>
      </c>
      <c r="H275" s="13">
        <v>7.0000000000000007E-2</v>
      </c>
      <c r="I275" t="s">
        <v>1933</v>
      </c>
      <c r="J275" s="16">
        <v>811.07159999999999</v>
      </c>
      <c r="K275" s="19">
        <f t="shared" si="20"/>
        <v>1870453.8195000021</v>
      </c>
      <c r="L275" s="22">
        <f t="shared" si="21"/>
        <v>1083.0653268674014</v>
      </c>
      <c r="M275" s="22">
        <f t="shared" si="22"/>
        <v>601</v>
      </c>
      <c r="N275" s="22" t="str">
        <f t="shared" si="23"/>
        <v>Low Value</v>
      </c>
      <c r="O275" s="22" t="str">
        <f t="shared" si="24"/>
        <v>Jan-2025</v>
      </c>
      <c r="P275" s="22" t="s">
        <v>1778</v>
      </c>
      <c r="Q275" s="22" t="s">
        <v>1531</v>
      </c>
      <c r="R275" s="22" t="s">
        <v>982</v>
      </c>
      <c r="S275" s="22"/>
      <c r="T275" s="22"/>
      <c r="V275" s="26" t="s">
        <v>1933</v>
      </c>
      <c r="W275" s="6">
        <v>1</v>
      </c>
    </row>
    <row r="276" spans="1:23">
      <c r="A276" t="s">
        <v>2211</v>
      </c>
      <c r="B276" s="8">
        <v>45316</v>
      </c>
      <c r="C276" t="s">
        <v>1334</v>
      </c>
      <c r="D276" t="s">
        <v>1572</v>
      </c>
      <c r="E276" t="s">
        <v>1864</v>
      </c>
      <c r="F276">
        <v>1</v>
      </c>
      <c r="G276" s="10">
        <v>406.79</v>
      </c>
      <c r="H276" s="13">
        <v>0.03</v>
      </c>
      <c r="I276" t="s">
        <v>1936</v>
      </c>
      <c r="J276" s="16">
        <v>394.58629999999999</v>
      </c>
      <c r="K276" s="19">
        <f t="shared" si="20"/>
        <v>1869642.7479000019</v>
      </c>
      <c r="L276" s="22">
        <f t="shared" si="21"/>
        <v>1083.2229130359224</v>
      </c>
      <c r="M276" s="22">
        <f t="shared" si="22"/>
        <v>600</v>
      </c>
      <c r="N276" s="22" t="str">
        <f t="shared" si="23"/>
        <v>Low Value</v>
      </c>
      <c r="O276" s="22" t="str">
        <f t="shared" si="24"/>
        <v>Jan-2024</v>
      </c>
      <c r="P276" s="22" t="s">
        <v>1573</v>
      </c>
      <c r="Q276" s="22" t="s">
        <v>1560</v>
      </c>
      <c r="R276" s="22" t="s">
        <v>1335</v>
      </c>
      <c r="S276" s="22"/>
      <c r="T276" s="22"/>
      <c r="V276" s="25" t="s">
        <v>32</v>
      </c>
      <c r="W276" s="6">
        <v>13</v>
      </c>
    </row>
    <row r="277" spans="1:23">
      <c r="A277" t="s">
        <v>2212</v>
      </c>
      <c r="B277" s="8">
        <v>45932</v>
      </c>
      <c r="C277" t="s">
        <v>1157</v>
      </c>
      <c r="D277" t="s">
        <v>1716</v>
      </c>
      <c r="E277" t="s">
        <v>1906</v>
      </c>
      <c r="F277">
        <v>1</v>
      </c>
      <c r="G277" s="10">
        <v>606.01</v>
      </c>
      <c r="H277" s="13">
        <v>0.04</v>
      </c>
      <c r="I277" t="s">
        <v>1933</v>
      </c>
      <c r="J277" s="16">
        <v>581.76959999999997</v>
      </c>
      <c r="K277" s="19">
        <f t="shared" si="20"/>
        <v>1869248.1616000019</v>
      </c>
      <c r="L277" s="22">
        <f t="shared" si="21"/>
        <v>1083.6221226666678</v>
      </c>
      <c r="M277" s="22">
        <f t="shared" si="22"/>
        <v>600</v>
      </c>
      <c r="N277" s="22" t="str">
        <f t="shared" si="23"/>
        <v>Low Value</v>
      </c>
      <c r="O277" s="22" t="str">
        <f t="shared" si="24"/>
        <v>Oct-2025</v>
      </c>
      <c r="P277" s="22" t="s">
        <v>1717</v>
      </c>
      <c r="Q277" s="22" t="s">
        <v>1569</v>
      </c>
      <c r="R277" s="22" t="s">
        <v>1158</v>
      </c>
      <c r="S277" s="22"/>
      <c r="T277" s="22"/>
      <c r="V277" s="26" t="s">
        <v>1936</v>
      </c>
      <c r="W277" s="6">
        <v>4</v>
      </c>
    </row>
    <row r="278" spans="1:23">
      <c r="A278" t="s">
        <v>2213</v>
      </c>
      <c r="B278" s="8">
        <v>45483</v>
      </c>
      <c r="C278" t="s">
        <v>1090</v>
      </c>
      <c r="D278" t="s">
        <v>1597</v>
      </c>
      <c r="E278" t="s">
        <v>1880</v>
      </c>
      <c r="F278">
        <v>4</v>
      </c>
      <c r="G278" s="10">
        <v>322.58</v>
      </c>
      <c r="H278" s="13">
        <v>0.06</v>
      </c>
      <c r="I278" t="s">
        <v>1931</v>
      </c>
      <c r="J278" s="16">
        <v>1212.9007999999999</v>
      </c>
      <c r="K278" s="19">
        <f t="shared" si="20"/>
        <v>1868666.3920000019</v>
      </c>
      <c r="L278" s="22">
        <f t="shared" si="21"/>
        <v>1083.9132204176344</v>
      </c>
      <c r="M278" s="22">
        <f t="shared" si="22"/>
        <v>599</v>
      </c>
      <c r="N278" s="22" t="str">
        <f t="shared" si="23"/>
        <v>High Value</v>
      </c>
      <c r="O278" s="22" t="str">
        <f t="shared" si="24"/>
        <v>Jul-2024</v>
      </c>
      <c r="P278" s="22" t="s">
        <v>1598</v>
      </c>
      <c r="Q278" s="22" t="s">
        <v>1569</v>
      </c>
      <c r="R278" s="22" t="s">
        <v>1091</v>
      </c>
      <c r="S278" s="22"/>
      <c r="T278" s="22"/>
      <c r="V278" s="26" t="s">
        <v>1931</v>
      </c>
      <c r="W278" s="6">
        <v>4</v>
      </c>
    </row>
    <row r="279" spans="1:23">
      <c r="A279" t="s">
        <v>2214</v>
      </c>
      <c r="B279" s="8">
        <v>45661</v>
      </c>
      <c r="C279" t="s">
        <v>1478</v>
      </c>
      <c r="D279" t="s">
        <v>1786</v>
      </c>
      <c r="E279" t="s">
        <v>1917</v>
      </c>
      <c r="F279">
        <v>4</v>
      </c>
      <c r="G279" s="10">
        <v>463.17</v>
      </c>
      <c r="H279" s="13">
        <v>0.06</v>
      </c>
      <c r="I279" t="s">
        <v>1933</v>
      </c>
      <c r="J279" s="16">
        <v>1741.5192</v>
      </c>
      <c r="K279" s="19">
        <f t="shared" si="20"/>
        <v>1867453.4912000019</v>
      </c>
      <c r="L279" s="22">
        <f t="shared" si="21"/>
        <v>1083.8383582124213</v>
      </c>
      <c r="M279" s="22">
        <f t="shared" si="22"/>
        <v>599</v>
      </c>
      <c r="N279" s="22" t="str">
        <f t="shared" si="23"/>
        <v>High Value</v>
      </c>
      <c r="O279" s="22" t="str">
        <f t="shared" si="24"/>
        <v>Jan-2025</v>
      </c>
      <c r="P279" s="22" t="s">
        <v>1787</v>
      </c>
      <c r="Q279" s="22" t="s">
        <v>1531</v>
      </c>
      <c r="R279" s="22" t="s">
        <v>1479</v>
      </c>
      <c r="S279" s="22"/>
      <c r="T279" s="22"/>
      <c r="V279" s="26" t="s">
        <v>1933</v>
      </c>
      <c r="W279" s="6">
        <v>5</v>
      </c>
    </row>
    <row r="280" spans="1:23">
      <c r="A280" t="s">
        <v>2215</v>
      </c>
      <c r="B280" s="8">
        <v>45798</v>
      </c>
      <c r="C280" t="s">
        <v>993</v>
      </c>
      <c r="D280" t="s">
        <v>1624</v>
      </c>
      <c r="E280" t="s">
        <v>1886</v>
      </c>
      <c r="F280">
        <v>4</v>
      </c>
      <c r="G280" s="10">
        <v>285.82</v>
      </c>
      <c r="H280" s="13">
        <v>0.18</v>
      </c>
      <c r="I280" t="s">
        <v>1933</v>
      </c>
      <c r="J280" s="16">
        <v>937.4896</v>
      </c>
      <c r="K280" s="19">
        <f t="shared" si="20"/>
        <v>1865711.9720000017</v>
      </c>
      <c r="L280" s="22">
        <f t="shared" si="21"/>
        <v>1083.4564297328698</v>
      </c>
      <c r="M280" s="22">
        <f t="shared" si="22"/>
        <v>598</v>
      </c>
      <c r="N280" s="22" t="str">
        <f t="shared" si="23"/>
        <v>Low Value</v>
      </c>
      <c r="O280" s="22" t="str">
        <f t="shared" si="24"/>
        <v>May-2025</v>
      </c>
      <c r="P280" s="22" t="s">
        <v>1625</v>
      </c>
      <c r="Q280" s="22" t="s">
        <v>1536</v>
      </c>
      <c r="R280" s="22" t="s">
        <v>994</v>
      </c>
      <c r="S280" s="22"/>
      <c r="T280" s="22"/>
      <c r="V280" s="25" t="s">
        <v>266</v>
      </c>
      <c r="W280" s="6">
        <v>3</v>
      </c>
    </row>
    <row r="281" spans="1:23">
      <c r="A281" t="s">
        <v>2216</v>
      </c>
      <c r="B281" s="8">
        <v>45868</v>
      </c>
      <c r="C281" t="s">
        <v>1022</v>
      </c>
      <c r="D281" t="s">
        <v>1661</v>
      </c>
      <c r="E281" t="s">
        <v>1899</v>
      </c>
      <c r="F281">
        <v>3</v>
      </c>
      <c r="G281" s="10">
        <v>995.38</v>
      </c>
      <c r="H281" s="13">
        <v>0.1</v>
      </c>
      <c r="I281" t="s">
        <v>1933</v>
      </c>
      <c r="J281" s="16">
        <v>2687.5259999999998</v>
      </c>
      <c r="K281" s="19">
        <f t="shared" si="20"/>
        <v>1864774.482400002</v>
      </c>
      <c r="L281" s="22">
        <f t="shared" si="21"/>
        <v>1083.5412448576421</v>
      </c>
      <c r="M281" s="22">
        <f t="shared" si="22"/>
        <v>597</v>
      </c>
      <c r="N281" s="22" t="str">
        <f t="shared" si="23"/>
        <v>High Value</v>
      </c>
      <c r="O281" s="22" t="str">
        <f t="shared" si="24"/>
        <v>Jul-2025</v>
      </c>
      <c r="P281" s="22" t="s">
        <v>1662</v>
      </c>
      <c r="Q281" s="22" t="s">
        <v>1536</v>
      </c>
      <c r="R281" s="22" t="s">
        <v>1023</v>
      </c>
      <c r="S281" s="22"/>
      <c r="T281" s="22"/>
      <c r="V281" s="26" t="s">
        <v>1933</v>
      </c>
      <c r="W281" s="6">
        <v>3</v>
      </c>
    </row>
    <row r="282" spans="1:23">
      <c r="A282" t="s">
        <v>2217</v>
      </c>
      <c r="B282" s="8">
        <v>45757</v>
      </c>
      <c r="C282" t="s">
        <v>409</v>
      </c>
      <c r="D282" t="s">
        <v>1740</v>
      </c>
      <c r="E282" t="s">
        <v>1889</v>
      </c>
      <c r="F282">
        <v>1</v>
      </c>
      <c r="G282" s="10">
        <v>329.31</v>
      </c>
      <c r="H282" s="13">
        <v>0.09</v>
      </c>
      <c r="I282" t="s">
        <v>1931</v>
      </c>
      <c r="J282" s="16">
        <v>299.6721</v>
      </c>
      <c r="K282" s="19">
        <f t="shared" si="20"/>
        <v>1862086.9564000021</v>
      </c>
      <c r="L282" s="22">
        <f t="shared" si="21"/>
        <v>1082.6086955813967</v>
      </c>
      <c r="M282" s="22">
        <f t="shared" si="22"/>
        <v>596</v>
      </c>
      <c r="N282" s="22" t="str">
        <f t="shared" si="23"/>
        <v>Low Value</v>
      </c>
      <c r="O282" s="22" t="str">
        <f t="shared" si="24"/>
        <v>Apr-2025</v>
      </c>
      <c r="P282" s="22" t="s">
        <v>1741</v>
      </c>
      <c r="Q282" s="22" t="s">
        <v>1531</v>
      </c>
      <c r="R282" s="22" t="s">
        <v>410</v>
      </c>
      <c r="S282" s="22"/>
      <c r="T282" s="22"/>
      <c r="V282" s="25" t="s">
        <v>147</v>
      </c>
      <c r="W282" s="6">
        <v>11</v>
      </c>
    </row>
    <row r="283" spans="1:23">
      <c r="A283" t="s">
        <v>2218</v>
      </c>
      <c r="B283" s="8">
        <v>45475</v>
      </c>
      <c r="C283" t="s">
        <v>1495</v>
      </c>
      <c r="D283" t="s">
        <v>1693</v>
      </c>
      <c r="E283" t="s">
        <v>1911</v>
      </c>
      <c r="F283">
        <v>3</v>
      </c>
      <c r="G283" s="10">
        <v>64.2</v>
      </c>
      <c r="H283" s="13">
        <v>0.08</v>
      </c>
      <c r="I283" t="s">
        <v>1936</v>
      </c>
      <c r="J283" s="16">
        <v>177.19200000000001</v>
      </c>
      <c r="K283" s="19">
        <f t="shared" si="20"/>
        <v>1861787.284300002</v>
      </c>
      <c r="L283" s="22">
        <f t="shared" si="21"/>
        <v>1083.0641560791169</v>
      </c>
      <c r="M283" s="22">
        <f t="shared" si="22"/>
        <v>596</v>
      </c>
      <c r="N283" s="22" t="str">
        <f t="shared" si="23"/>
        <v>Low Value</v>
      </c>
      <c r="O283" s="22" t="str">
        <f t="shared" si="24"/>
        <v>Jul-2024</v>
      </c>
      <c r="P283" s="22" t="s">
        <v>1694</v>
      </c>
      <c r="Q283" s="22" t="s">
        <v>1555</v>
      </c>
      <c r="R283" s="22" t="s">
        <v>1496</v>
      </c>
      <c r="S283" s="22"/>
      <c r="T283" s="22"/>
      <c r="V283" s="26" t="s">
        <v>1936</v>
      </c>
      <c r="W283" s="6">
        <v>1</v>
      </c>
    </row>
    <row r="284" spans="1:23">
      <c r="A284" t="s">
        <v>2219</v>
      </c>
      <c r="B284" s="8">
        <v>45829</v>
      </c>
      <c r="C284" t="s">
        <v>836</v>
      </c>
      <c r="D284" t="s">
        <v>1576</v>
      </c>
      <c r="E284" t="s">
        <v>1904</v>
      </c>
      <c r="F284">
        <v>3</v>
      </c>
      <c r="G284" s="10">
        <v>697.13</v>
      </c>
      <c r="H284" s="13">
        <v>0.25</v>
      </c>
      <c r="I284" t="s">
        <v>1936</v>
      </c>
      <c r="J284" s="16">
        <v>1568.5425</v>
      </c>
      <c r="K284" s="19">
        <f t="shared" si="20"/>
        <v>1861610.0923000022</v>
      </c>
      <c r="L284" s="22">
        <f t="shared" si="21"/>
        <v>1083.5914390570445</v>
      </c>
      <c r="M284" s="22">
        <f t="shared" si="22"/>
        <v>596</v>
      </c>
      <c r="N284" s="22" t="str">
        <f t="shared" si="23"/>
        <v>High Value</v>
      </c>
      <c r="O284" s="22" t="str">
        <f t="shared" si="24"/>
        <v>Jun-2025</v>
      </c>
      <c r="P284" s="22" t="s">
        <v>1577</v>
      </c>
      <c r="Q284" s="22" t="s">
        <v>1531</v>
      </c>
      <c r="R284" s="22" t="s">
        <v>837</v>
      </c>
      <c r="S284" s="22"/>
      <c r="T284" s="22"/>
      <c r="V284" s="26" t="s">
        <v>1931</v>
      </c>
      <c r="W284" s="6">
        <v>4</v>
      </c>
    </row>
    <row r="285" spans="1:23">
      <c r="A285" t="s">
        <v>2220</v>
      </c>
      <c r="B285" s="8">
        <v>45639</v>
      </c>
      <c r="C285" t="s">
        <v>97</v>
      </c>
      <c r="D285" t="s">
        <v>1567</v>
      </c>
      <c r="E285" t="s">
        <v>1880</v>
      </c>
      <c r="F285">
        <v>3</v>
      </c>
      <c r="G285" s="10">
        <v>134.30000000000001</v>
      </c>
      <c r="H285" s="13">
        <v>0.14000000000000001</v>
      </c>
      <c r="I285" t="s">
        <v>1931</v>
      </c>
      <c r="J285" s="16">
        <v>346.49400000000003</v>
      </c>
      <c r="K285" s="19">
        <f t="shared" si="20"/>
        <v>1860041.549800002</v>
      </c>
      <c r="L285" s="22">
        <f t="shared" si="21"/>
        <v>1083.3089981362855</v>
      </c>
      <c r="M285" s="22">
        <f t="shared" si="22"/>
        <v>596</v>
      </c>
      <c r="N285" s="22" t="str">
        <f t="shared" si="23"/>
        <v>Low Value</v>
      </c>
      <c r="O285" s="22" t="str">
        <f t="shared" si="24"/>
        <v>Dec-2024</v>
      </c>
      <c r="P285" s="22" t="s">
        <v>1568</v>
      </c>
      <c r="Q285" s="22" t="s">
        <v>1569</v>
      </c>
      <c r="R285" s="22" t="s">
        <v>3942</v>
      </c>
      <c r="S285" s="22"/>
      <c r="T285" s="22"/>
      <c r="V285" s="26" t="s">
        <v>1933</v>
      </c>
      <c r="W285" s="6">
        <v>6</v>
      </c>
    </row>
    <row r="286" spans="1:23">
      <c r="A286" t="s">
        <v>2221</v>
      </c>
      <c r="B286" s="8">
        <v>45518</v>
      </c>
      <c r="C286" t="s">
        <v>830</v>
      </c>
      <c r="D286" t="s">
        <v>1807</v>
      </c>
      <c r="E286" t="s">
        <v>1904</v>
      </c>
      <c r="F286">
        <v>1</v>
      </c>
      <c r="G286" s="10">
        <v>520.92999999999995</v>
      </c>
      <c r="H286" s="13">
        <v>0.15</v>
      </c>
      <c r="I286" t="s">
        <v>1931</v>
      </c>
      <c r="J286" s="16">
        <v>442.79050000000001</v>
      </c>
      <c r="K286" s="19">
        <f t="shared" si="20"/>
        <v>1859695.0558000021</v>
      </c>
      <c r="L286" s="22">
        <f t="shared" si="21"/>
        <v>1083.7383775058288</v>
      </c>
      <c r="M286" s="22">
        <f t="shared" si="22"/>
        <v>596</v>
      </c>
      <c r="N286" s="22" t="str">
        <f t="shared" si="23"/>
        <v>Low Value</v>
      </c>
      <c r="O286" s="22" t="str">
        <f t="shared" si="24"/>
        <v>Aug-2024</v>
      </c>
      <c r="P286" s="22" t="s">
        <v>1808</v>
      </c>
      <c r="Q286" s="22" t="s">
        <v>1560</v>
      </c>
      <c r="R286" s="22" t="s">
        <v>831</v>
      </c>
      <c r="S286" s="22"/>
      <c r="T286" s="22"/>
      <c r="V286" s="25" t="s">
        <v>822</v>
      </c>
      <c r="W286" s="6">
        <v>17</v>
      </c>
    </row>
    <row r="287" spans="1:23">
      <c r="A287" t="s">
        <v>2222</v>
      </c>
      <c r="B287" s="8">
        <v>45721</v>
      </c>
      <c r="C287" t="s">
        <v>728</v>
      </c>
      <c r="D287" t="s">
        <v>1603</v>
      </c>
      <c r="E287" t="s">
        <v>1886</v>
      </c>
      <c r="F287">
        <v>2</v>
      </c>
      <c r="G287" s="10">
        <v>350.12</v>
      </c>
      <c r="H287" s="13">
        <v>0.21</v>
      </c>
      <c r="I287" t="s">
        <v>1936</v>
      </c>
      <c r="J287" s="16">
        <v>553.18960000000004</v>
      </c>
      <c r="K287" s="19">
        <f t="shared" si="20"/>
        <v>1859252.2653000022</v>
      </c>
      <c r="L287" s="22">
        <f t="shared" si="21"/>
        <v>1084.1121080466485</v>
      </c>
      <c r="M287" s="22">
        <f t="shared" si="22"/>
        <v>596</v>
      </c>
      <c r="N287" s="22" t="str">
        <f t="shared" si="23"/>
        <v>Low Value</v>
      </c>
      <c r="O287" s="22" t="str">
        <f t="shared" si="24"/>
        <v>Mar-2025</v>
      </c>
      <c r="P287" s="22" t="s">
        <v>1604</v>
      </c>
      <c r="Q287" s="22" t="s">
        <v>1569</v>
      </c>
      <c r="R287" s="22" t="s">
        <v>729</v>
      </c>
      <c r="S287" s="22"/>
      <c r="T287" s="22"/>
      <c r="V287" s="26" t="s">
        <v>1936</v>
      </c>
      <c r="W287" s="6">
        <v>5</v>
      </c>
    </row>
    <row r="288" spans="1:23">
      <c r="A288" t="s">
        <v>2223</v>
      </c>
      <c r="B288" s="8">
        <v>45308</v>
      </c>
      <c r="C288" t="s">
        <v>1427</v>
      </c>
      <c r="D288" t="s">
        <v>1697</v>
      </c>
      <c r="E288" t="s">
        <v>1920</v>
      </c>
      <c r="F288">
        <v>3</v>
      </c>
      <c r="G288" s="10">
        <v>807.95</v>
      </c>
      <c r="H288" s="13">
        <v>0.1</v>
      </c>
      <c r="I288" t="s">
        <v>1933</v>
      </c>
      <c r="J288" s="16">
        <v>2181.4650000000011</v>
      </c>
      <c r="K288" s="19">
        <f t="shared" si="20"/>
        <v>1858699.075700002</v>
      </c>
      <c r="L288" s="22">
        <f t="shared" si="21"/>
        <v>1084.4218644690793</v>
      </c>
      <c r="M288" s="22">
        <f t="shared" si="22"/>
        <v>596</v>
      </c>
      <c r="N288" s="22" t="str">
        <f t="shared" si="23"/>
        <v>High Value</v>
      </c>
      <c r="O288" s="22" t="str">
        <f t="shared" si="24"/>
        <v>Jan-2024</v>
      </c>
      <c r="P288" s="22" t="s">
        <v>1698</v>
      </c>
      <c r="Q288" s="22" t="s">
        <v>1531</v>
      </c>
      <c r="R288" s="22" t="s">
        <v>1428</v>
      </c>
      <c r="S288" s="22"/>
      <c r="T288" s="22"/>
      <c r="V288" s="26" t="s">
        <v>1931</v>
      </c>
      <c r="W288" s="6">
        <v>3</v>
      </c>
    </row>
    <row r="289" spans="1:23">
      <c r="A289" t="s">
        <v>2224</v>
      </c>
      <c r="B289" s="8">
        <v>45889</v>
      </c>
      <c r="C289" t="s">
        <v>1049</v>
      </c>
      <c r="D289" t="s">
        <v>1665</v>
      </c>
      <c r="E289" t="s">
        <v>1883</v>
      </c>
      <c r="F289">
        <v>4</v>
      </c>
      <c r="G289" s="10">
        <v>766.03</v>
      </c>
      <c r="H289" s="13">
        <v>0.28999999999999998</v>
      </c>
      <c r="I289" t="s">
        <v>1933</v>
      </c>
      <c r="J289" s="16">
        <v>2175.5252</v>
      </c>
      <c r="K289" s="19">
        <f t="shared" si="20"/>
        <v>1856517.6107000019</v>
      </c>
      <c r="L289" s="22">
        <f t="shared" si="21"/>
        <v>1083.7814423234104</v>
      </c>
      <c r="M289" s="22">
        <f t="shared" si="22"/>
        <v>595</v>
      </c>
      <c r="N289" s="22" t="str">
        <f t="shared" si="23"/>
        <v>High Value</v>
      </c>
      <c r="O289" s="22" t="str">
        <f t="shared" si="24"/>
        <v>Aug-2025</v>
      </c>
      <c r="P289" s="22" t="s">
        <v>1666</v>
      </c>
      <c r="Q289" s="22" t="s">
        <v>1569</v>
      </c>
      <c r="R289" s="22" t="s">
        <v>1050</v>
      </c>
      <c r="S289" s="22"/>
      <c r="T289" s="22"/>
      <c r="V289" s="26" t="s">
        <v>1933</v>
      </c>
      <c r="W289" s="6">
        <v>9</v>
      </c>
    </row>
    <row r="290" spans="1:23">
      <c r="A290" t="s">
        <v>2225</v>
      </c>
      <c r="B290" s="8">
        <v>45386</v>
      </c>
      <c r="C290" t="s">
        <v>599</v>
      </c>
      <c r="D290" t="s">
        <v>1725</v>
      </c>
      <c r="E290" t="s">
        <v>1889</v>
      </c>
      <c r="F290">
        <v>3</v>
      </c>
      <c r="G290" s="10">
        <v>545.1</v>
      </c>
      <c r="H290" s="13">
        <v>0.08</v>
      </c>
      <c r="I290" t="s">
        <v>1936</v>
      </c>
      <c r="J290" s="16">
        <v>1504.4760000000001</v>
      </c>
      <c r="K290" s="19">
        <f t="shared" si="20"/>
        <v>1854342.0855000021</v>
      </c>
      <c r="L290" s="22">
        <f t="shared" si="21"/>
        <v>1083.1437415303751</v>
      </c>
      <c r="M290" s="22">
        <f t="shared" si="22"/>
        <v>594</v>
      </c>
      <c r="N290" s="22" t="str">
        <f t="shared" si="23"/>
        <v>High Value</v>
      </c>
      <c r="O290" s="22" t="str">
        <f t="shared" si="24"/>
        <v>Apr-2024</v>
      </c>
      <c r="P290" s="22" t="s">
        <v>1726</v>
      </c>
      <c r="Q290" s="22" t="s">
        <v>1569</v>
      </c>
      <c r="R290" s="22" t="s">
        <v>600</v>
      </c>
      <c r="S290" s="22"/>
      <c r="T290" s="22"/>
      <c r="V290" s="25" t="s">
        <v>1512</v>
      </c>
      <c r="W290" s="6">
        <v>18</v>
      </c>
    </row>
    <row r="291" spans="1:23">
      <c r="A291" t="s">
        <v>2226</v>
      </c>
      <c r="B291" s="8">
        <v>45438</v>
      </c>
      <c r="C291" t="s">
        <v>839</v>
      </c>
      <c r="D291" t="s">
        <v>1749</v>
      </c>
      <c r="E291" t="s">
        <v>1886</v>
      </c>
      <c r="F291">
        <v>1</v>
      </c>
      <c r="G291" s="10">
        <v>203.61</v>
      </c>
      <c r="H291" s="13">
        <v>0.24</v>
      </c>
      <c r="I291" t="s">
        <v>1936</v>
      </c>
      <c r="J291" s="16">
        <v>154.74359999999999</v>
      </c>
      <c r="K291" s="19">
        <f t="shared" si="20"/>
        <v>1852837.6095000021</v>
      </c>
      <c r="L291" s="22">
        <f t="shared" si="21"/>
        <v>1082.8974924021052</v>
      </c>
      <c r="M291" s="22">
        <f t="shared" si="22"/>
        <v>594</v>
      </c>
      <c r="N291" s="22" t="str">
        <f t="shared" si="23"/>
        <v>Low Value</v>
      </c>
      <c r="O291" s="22" t="str">
        <f t="shared" si="24"/>
        <v>May-2024</v>
      </c>
      <c r="P291" s="22" t="s">
        <v>1750</v>
      </c>
      <c r="Q291" s="22" t="s">
        <v>1569</v>
      </c>
      <c r="R291" s="22" t="s">
        <v>840</v>
      </c>
      <c r="S291" s="22"/>
      <c r="T291" s="22"/>
      <c r="V291" s="26" t="s">
        <v>1936</v>
      </c>
      <c r="W291" s="6">
        <v>3</v>
      </c>
    </row>
    <row r="292" spans="1:23">
      <c r="A292" t="s">
        <v>2227</v>
      </c>
      <c r="B292" s="8">
        <v>45856</v>
      </c>
      <c r="C292" t="s">
        <v>1288</v>
      </c>
      <c r="D292" t="s">
        <v>1846</v>
      </c>
      <c r="E292" t="s">
        <v>1908</v>
      </c>
      <c r="F292">
        <v>4</v>
      </c>
      <c r="G292" s="10">
        <v>493.8</v>
      </c>
      <c r="H292" s="13">
        <v>0.24</v>
      </c>
      <c r="I292" t="s">
        <v>1936</v>
      </c>
      <c r="J292" s="16">
        <v>1501.152</v>
      </c>
      <c r="K292" s="19">
        <f t="shared" si="20"/>
        <v>1852682.865900002</v>
      </c>
      <c r="L292" s="22">
        <f t="shared" si="21"/>
        <v>1083.4402724561414</v>
      </c>
      <c r="M292" s="22">
        <f t="shared" si="22"/>
        <v>594</v>
      </c>
      <c r="N292" s="22" t="str">
        <f t="shared" si="23"/>
        <v>High Value</v>
      </c>
      <c r="O292" s="22" t="str">
        <f t="shared" si="24"/>
        <v>Jul-2025</v>
      </c>
      <c r="P292" s="22" t="s">
        <v>1847</v>
      </c>
      <c r="Q292" s="22" t="s">
        <v>1569</v>
      </c>
      <c r="R292" s="22" t="s">
        <v>1289</v>
      </c>
      <c r="S292" s="22"/>
      <c r="T292" s="22"/>
      <c r="V292" s="26" t="s">
        <v>1931</v>
      </c>
      <c r="W292" s="6">
        <v>11</v>
      </c>
    </row>
    <row r="293" spans="1:23">
      <c r="A293" t="s">
        <v>2228</v>
      </c>
      <c r="B293" s="8">
        <v>45485</v>
      </c>
      <c r="C293" t="s">
        <v>78</v>
      </c>
      <c r="D293" t="s">
        <v>1675</v>
      </c>
      <c r="E293" t="s">
        <v>1914</v>
      </c>
      <c r="F293">
        <v>1</v>
      </c>
      <c r="G293" s="10">
        <v>640.54999999999995</v>
      </c>
      <c r="H293" s="13">
        <v>0.25</v>
      </c>
      <c r="I293" t="s">
        <v>1931</v>
      </c>
      <c r="J293" s="16">
        <v>480.41250000000002</v>
      </c>
      <c r="K293" s="19">
        <f t="shared" si="20"/>
        <v>1851181.7139000022</v>
      </c>
      <c r="L293" s="22">
        <f t="shared" si="21"/>
        <v>1083.1958536571108</v>
      </c>
      <c r="M293" s="22">
        <f t="shared" si="22"/>
        <v>594</v>
      </c>
      <c r="N293" s="22" t="str">
        <f t="shared" si="23"/>
        <v>Low Value</v>
      </c>
      <c r="O293" s="22" t="str">
        <f t="shared" si="24"/>
        <v>Jul-2024</v>
      </c>
      <c r="P293" s="22" t="s">
        <v>1676</v>
      </c>
      <c r="Q293" s="22" t="s">
        <v>1569</v>
      </c>
      <c r="R293" s="22" t="s">
        <v>79</v>
      </c>
      <c r="S293" s="22"/>
      <c r="T293" s="22"/>
      <c r="V293" s="26" t="s">
        <v>1933</v>
      </c>
      <c r="W293" s="6">
        <v>4</v>
      </c>
    </row>
    <row r="294" spans="1:23">
      <c r="A294" t="s">
        <v>2229</v>
      </c>
      <c r="B294" s="8">
        <v>45545</v>
      </c>
      <c r="C294" t="s">
        <v>409</v>
      </c>
      <c r="D294" t="s">
        <v>1777</v>
      </c>
      <c r="E294" t="s">
        <v>1876</v>
      </c>
      <c r="F294">
        <v>1</v>
      </c>
      <c r="G294" s="10">
        <v>702.53</v>
      </c>
      <c r="H294" s="13">
        <v>0.3</v>
      </c>
      <c r="I294" t="s">
        <v>1931</v>
      </c>
      <c r="J294" s="16">
        <v>491.77100000000002</v>
      </c>
      <c r="K294" s="19">
        <f t="shared" si="20"/>
        <v>1850701.3014000021</v>
      </c>
      <c r="L294" s="22">
        <f t="shared" si="21"/>
        <v>1083.5487713114767</v>
      </c>
      <c r="M294" s="22">
        <f t="shared" si="22"/>
        <v>594</v>
      </c>
      <c r="N294" s="22" t="str">
        <f t="shared" si="23"/>
        <v>Low Value</v>
      </c>
      <c r="O294" s="22" t="str">
        <f t="shared" si="24"/>
        <v>Sep-2024</v>
      </c>
      <c r="P294" s="22" t="s">
        <v>1778</v>
      </c>
      <c r="Q294" s="22" t="s">
        <v>1531</v>
      </c>
      <c r="R294" s="22" t="s">
        <v>410</v>
      </c>
      <c r="S294" s="22"/>
      <c r="T294" s="22"/>
      <c r="V294" s="25" t="s">
        <v>3948</v>
      </c>
      <c r="W294" s="6">
        <v>9</v>
      </c>
    </row>
    <row r="295" spans="1:23">
      <c r="A295" t="s">
        <v>2230</v>
      </c>
      <c r="B295" s="8">
        <v>45826</v>
      </c>
      <c r="C295" t="s">
        <v>725</v>
      </c>
      <c r="D295" t="s">
        <v>1668</v>
      </c>
      <c r="E295" t="s">
        <v>1889</v>
      </c>
      <c r="F295">
        <v>4</v>
      </c>
      <c r="G295" s="10">
        <v>139.94</v>
      </c>
      <c r="H295" s="13">
        <v>0.24</v>
      </c>
      <c r="I295" t="s">
        <v>1931</v>
      </c>
      <c r="J295" s="16">
        <v>425.41759999999999</v>
      </c>
      <c r="K295" s="19">
        <f t="shared" si="20"/>
        <v>1850209.5304000019</v>
      </c>
      <c r="L295" s="22">
        <f t="shared" si="21"/>
        <v>1083.8954483889877</v>
      </c>
      <c r="M295" s="22">
        <f t="shared" si="22"/>
        <v>594</v>
      </c>
      <c r="N295" s="22" t="str">
        <f t="shared" si="23"/>
        <v>Low Value</v>
      </c>
      <c r="O295" s="22" t="str">
        <f t="shared" si="24"/>
        <v>Jun-2025</v>
      </c>
      <c r="P295" s="22" t="s">
        <v>1669</v>
      </c>
      <c r="Q295" s="22" t="s">
        <v>1531</v>
      </c>
      <c r="R295" s="22" t="s">
        <v>726</v>
      </c>
      <c r="S295" s="22"/>
      <c r="T295" s="22"/>
      <c r="V295" s="26" t="s">
        <v>1936</v>
      </c>
      <c r="W295" s="6">
        <v>3</v>
      </c>
    </row>
    <row r="296" spans="1:23">
      <c r="A296" t="s">
        <v>2231</v>
      </c>
      <c r="B296" s="8">
        <v>45654</v>
      </c>
      <c r="C296" t="s">
        <v>880</v>
      </c>
      <c r="D296" t="s">
        <v>1603</v>
      </c>
      <c r="E296" t="s">
        <v>1889</v>
      </c>
      <c r="F296">
        <v>2</v>
      </c>
      <c r="G296" s="10">
        <v>230.85</v>
      </c>
      <c r="H296" s="13">
        <v>0.18</v>
      </c>
      <c r="I296" t="s">
        <v>1931</v>
      </c>
      <c r="J296" s="16">
        <v>378.59399999999999</v>
      </c>
      <c r="K296" s="19">
        <f t="shared" si="20"/>
        <v>1849784.1128000021</v>
      </c>
      <c r="L296" s="22">
        <f t="shared" si="21"/>
        <v>1084.2814260257926</v>
      </c>
      <c r="M296" s="22">
        <f t="shared" si="22"/>
        <v>594</v>
      </c>
      <c r="N296" s="22" t="str">
        <f t="shared" si="23"/>
        <v>Low Value</v>
      </c>
      <c r="O296" s="22" t="str">
        <f t="shared" si="24"/>
        <v>Dec-2024</v>
      </c>
      <c r="P296" s="22" t="s">
        <v>1604</v>
      </c>
      <c r="Q296" s="22" t="s">
        <v>1569</v>
      </c>
      <c r="R296" s="22" t="s">
        <v>881</v>
      </c>
      <c r="S296" s="22"/>
      <c r="T296" s="22"/>
      <c r="V296" s="26" t="s">
        <v>1931</v>
      </c>
      <c r="W296" s="6">
        <v>2</v>
      </c>
    </row>
    <row r="297" spans="1:23">
      <c r="A297" t="s">
        <v>2232</v>
      </c>
      <c r="B297" s="8">
        <v>45556</v>
      </c>
      <c r="C297" t="s">
        <v>685</v>
      </c>
      <c r="D297" t="s">
        <v>1810</v>
      </c>
      <c r="E297" t="s">
        <v>1914</v>
      </c>
      <c r="F297">
        <v>4</v>
      </c>
      <c r="G297" s="10">
        <v>626.35</v>
      </c>
      <c r="H297" s="13">
        <v>0.25</v>
      </c>
      <c r="I297" t="s">
        <v>1936</v>
      </c>
      <c r="J297" s="16">
        <v>1879.05</v>
      </c>
      <c r="K297" s="19">
        <f t="shared" si="20"/>
        <v>1849405.5188000023</v>
      </c>
      <c r="L297" s="22">
        <f t="shared" si="21"/>
        <v>1084.6953189442829</v>
      </c>
      <c r="M297" s="22">
        <f t="shared" si="22"/>
        <v>594</v>
      </c>
      <c r="N297" s="22" t="str">
        <f t="shared" si="23"/>
        <v>High Value</v>
      </c>
      <c r="O297" s="22" t="str">
        <f t="shared" si="24"/>
        <v>Sep-2024</v>
      </c>
      <c r="P297" s="22" t="s">
        <v>1811</v>
      </c>
      <c r="Q297" s="22" t="s">
        <v>1536</v>
      </c>
      <c r="R297" s="22" t="s">
        <v>686</v>
      </c>
      <c r="S297" s="22"/>
      <c r="T297" s="22"/>
      <c r="V297" s="26" t="s">
        <v>1933</v>
      </c>
      <c r="W297" s="6">
        <v>4</v>
      </c>
    </row>
    <row r="298" spans="1:23">
      <c r="A298" t="s">
        <v>2233</v>
      </c>
      <c r="B298" s="8">
        <v>45434</v>
      </c>
      <c r="C298" t="s">
        <v>295</v>
      </c>
      <c r="D298" t="s">
        <v>1675</v>
      </c>
      <c r="E298" t="s">
        <v>1906</v>
      </c>
      <c r="F298">
        <v>4</v>
      </c>
      <c r="G298" s="10">
        <v>108.55</v>
      </c>
      <c r="H298" s="13">
        <v>0.18</v>
      </c>
      <c r="I298" t="s">
        <v>1933</v>
      </c>
      <c r="J298" s="16">
        <v>356.04399999999998</v>
      </c>
      <c r="K298" s="19">
        <f t="shared" si="20"/>
        <v>1847526.4688000022</v>
      </c>
      <c r="L298" s="22">
        <f t="shared" si="21"/>
        <v>1084.2291483568088</v>
      </c>
      <c r="M298" s="22">
        <f t="shared" si="22"/>
        <v>594</v>
      </c>
      <c r="N298" s="22" t="str">
        <f t="shared" si="23"/>
        <v>Low Value</v>
      </c>
      <c r="O298" s="22" t="str">
        <f t="shared" si="24"/>
        <v>May-2024</v>
      </c>
      <c r="P298" s="22" t="s">
        <v>1676</v>
      </c>
      <c r="Q298" s="22" t="s">
        <v>1569</v>
      </c>
      <c r="R298" s="22" t="s">
        <v>296</v>
      </c>
      <c r="S298" s="22"/>
      <c r="T298" s="22"/>
      <c r="V298" s="25" t="s">
        <v>365</v>
      </c>
      <c r="W298" s="6">
        <v>19</v>
      </c>
    </row>
    <row r="299" spans="1:23">
      <c r="A299" t="s">
        <v>2234</v>
      </c>
      <c r="B299" s="8">
        <v>45871</v>
      </c>
      <c r="C299" t="s">
        <v>626</v>
      </c>
      <c r="D299" t="s">
        <v>1597</v>
      </c>
      <c r="E299" t="s">
        <v>1864</v>
      </c>
      <c r="F299">
        <v>4</v>
      </c>
      <c r="G299" s="10">
        <v>353.67</v>
      </c>
      <c r="H299" s="13">
        <v>0.03</v>
      </c>
      <c r="I299" t="s">
        <v>1936</v>
      </c>
      <c r="J299" s="16">
        <v>1372.2396000000001</v>
      </c>
      <c r="K299" s="19">
        <f t="shared" si="20"/>
        <v>1847170.4248000022</v>
      </c>
      <c r="L299" s="22">
        <f t="shared" si="21"/>
        <v>1084.6567379917806</v>
      </c>
      <c r="M299" s="22">
        <f t="shared" si="22"/>
        <v>593</v>
      </c>
      <c r="N299" s="22" t="str">
        <f t="shared" si="23"/>
        <v>High Value</v>
      </c>
      <c r="O299" s="22" t="str">
        <f t="shared" si="24"/>
        <v>Aug-2025</v>
      </c>
      <c r="P299" s="22" t="s">
        <v>1598</v>
      </c>
      <c r="Q299" s="22" t="s">
        <v>1569</v>
      </c>
      <c r="R299" s="22" t="s">
        <v>627</v>
      </c>
      <c r="S299" s="22"/>
      <c r="T299" s="22"/>
      <c r="V299" s="26" t="s">
        <v>1936</v>
      </c>
      <c r="W299" s="6">
        <v>2</v>
      </c>
    </row>
    <row r="300" spans="1:23">
      <c r="A300" t="s">
        <v>2235</v>
      </c>
      <c r="B300" s="8">
        <v>45583</v>
      </c>
      <c r="C300" t="s">
        <v>238</v>
      </c>
      <c r="D300" t="s">
        <v>1825</v>
      </c>
      <c r="E300" t="s">
        <v>1864</v>
      </c>
      <c r="F300">
        <v>4</v>
      </c>
      <c r="G300" s="10">
        <v>61.98</v>
      </c>
      <c r="H300" s="13">
        <v>0.16</v>
      </c>
      <c r="I300" t="s">
        <v>1931</v>
      </c>
      <c r="J300" s="16">
        <v>208.25280000000001</v>
      </c>
      <c r="K300" s="19">
        <f t="shared" si="20"/>
        <v>1845798.1852000025</v>
      </c>
      <c r="L300" s="22">
        <f t="shared" si="21"/>
        <v>1084.4877703877805</v>
      </c>
      <c r="M300" s="22">
        <f t="shared" si="22"/>
        <v>593</v>
      </c>
      <c r="N300" s="22" t="str">
        <f t="shared" si="23"/>
        <v>Low Value</v>
      </c>
      <c r="O300" s="22" t="str">
        <f t="shared" si="24"/>
        <v>Oct-2024</v>
      </c>
      <c r="P300" s="22" t="s">
        <v>1826</v>
      </c>
      <c r="Q300" s="22" t="s">
        <v>1531</v>
      </c>
      <c r="R300" s="22" t="s">
        <v>239</v>
      </c>
      <c r="S300" s="22"/>
      <c r="T300" s="22"/>
      <c r="V300" s="26" t="s">
        <v>1931</v>
      </c>
      <c r="W300" s="6">
        <v>11</v>
      </c>
    </row>
    <row r="301" spans="1:23">
      <c r="A301" t="s">
        <v>2236</v>
      </c>
      <c r="B301" s="8">
        <v>45348</v>
      </c>
      <c r="C301" t="s">
        <v>700</v>
      </c>
      <c r="D301" t="s">
        <v>1614</v>
      </c>
      <c r="E301" t="s">
        <v>1920</v>
      </c>
      <c r="F301">
        <v>2</v>
      </c>
      <c r="G301" s="10">
        <v>873.1</v>
      </c>
      <c r="H301" s="13">
        <v>0.12</v>
      </c>
      <c r="I301" t="s">
        <v>1933</v>
      </c>
      <c r="J301" s="16">
        <v>1536.6559999999999</v>
      </c>
      <c r="K301" s="19">
        <f t="shared" si="20"/>
        <v>1845589.9324000024</v>
      </c>
      <c r="L301" s="22">
        <f t="shared" si="21"/>
        <v>1085.0028997060567</v>
      </c>
      <c r="M301" s="22">
        <f t="shared" si="22"/>
        <v>593</v>
      </c>
      <c r="N301" s="22" t="str">
        <f t="shared" si="23"/>
        <v>High Value</v>
      </c>
      <c r="O301" s="22" t="str">
        <f t="shared" si="24"/>
        <v>Feb-2024</v>
      </c>
      <c r="P301" s="22" t="s">
        <v>1615</v>
      </c>
      <c r="Q301" s="22" t="s">
        <v>1569</v>
      </c>
      <c r="R301" s="22" t="s">
        <v>701</v>
      </c>
      <c r="S301" s="22"/>
      <c r="T301" s="22"/>
      <c r="V301" s="26" t="s">
        <v>1933</v>
      </c>
      <c r="W301" s="6">
        <v>6</v>
      </c>
    </row>
    <row r="302" spans="1:23">
      <c r="A302" t="s">
        <v>2237</v>
      </c>
      <c r="B302" s="8">
        <v>45268</v>
      </c>
      <c r="C302" t="s">
        <v>646</v>
      </c>
      <c r="D302" t="s">
        <v>1579</v>
      </c>
      <c r="E302" t="s">
        <v>1908</v>
      </c>
      <c r="F302">
        <v>4</v>
      </c>
      <c r="G302" s="10">
        <v>889.47</v>
      </c>
      <c r="H302" s="13">
        <v>0.24</v>
      </c>
      <c r="I302" t="s">
        <v>1931</v>
      </c>
      <c r="J302" s="16">
        <v>2703.9888000000001</v>
      </c>
      <c r="K302" s="19">
        <f t="shared" si="20"/>
        <v>1844053.2764000022</v>
      </c>
      <c r="L302" s="22">
        <f t="shared" si="21"/>
        <v>1084.7372214117661</v>
      </c>
      <c r="M302" s="22">
        <f t="shared" si="22"/>
        <v>592</v>
      </c>
      <c r="N302" s="22" t="str">
        <f t="shared" si="23"/>
        <v>High Value</v>
      </c>
      <c r="O302" s="22" t="str">
        <f t="shared" si="24"/>
        <v>Dec-2023</v>
      </c>
      <c r="P302" s="22" t="s">
        <v>1580</v>
      </c>
      <c r="Q302" s="22" t="s">
        <v>1555</v>
      </c>
      <c r="R302" s="22" t="s">
        <v>647</v>
      </c>
      <c r="S302" s="22"/>
      <c r="T302" s="22"/>
      <c r="V302" s="25" t="s">
        <v>137</v>
      </c>
      <c r="W302" s="6">
        <v>12</v>
      </c>
    </row>
    <row r="303" spans="1:23">
      <c r="A303" t="s">
        <v>2238</v>
      </c>
      <c r="B303" s="8">
        <v>45596</v>
      </c>
      <c r="C303" t="s">
        <v>118</v>
      </c>
      <c r="D303" t="s">
        <v>1777</v>
      </c>
      <c r="E303" t="s">
        <v>1899</v>
      </c>
      <c r="F303">
        <v>3</v>
      </c>
      <c r="G303" s="10">
        <v>803.76</v>
      </c>
      <c r="H303" s="13">
        <v>0.19</v>
      </c>
      <c r="I303" t="s">
        <v>1936</v>
      </c>
      <c r="J303" s="16">
        <v>1953.1368</v>
      </c>
      <c r="K303" s="19">
        <f t="shared" si="20"/>
        <v>1841349.2876000025</v>
      </c>
      <c r="L303" s="22">
        <f t="shared" si="21"/>
        <v>1083.784159858742</v>
      </c>
      <c r="M303" s="22">
        <f t="shared" si="22"/>
        <v>592</v>
      </c>
      <c r="N303" s="22" t="str">
        <f t="shared" si="23"/>
        <v>High Value</v>
      </c>
      <c r="O303" s="22" t="str">
        <f t="shared" si="24"/>
        <v>Oct-2024</v>
      </c>
      <c r="P303" s="22" t="s">
        <v>1778</v>
      </c>
      <c r="Q303" s="22" t="s">
        <v>1531</v>
      </c>
      <c r="R303" s="22" t="s">
        <v>119</v>
      </c>
      <c r="S303" s="22"/>
      <c r="T303" s="22"/>
      <c r="V303" s="26" t="s">
        <v>1936</v>
      </c>
      <c r="W303" s="6">
        <v>4</v>
      </c>
    </row>
    <row r="304" spans="1:23">
      <c r="A304" t="s">
        <v>2239</v>
      </c>
      <c r="B304" s="8">
        <v>45624</v>
      </c>
      <c r="C304" t="s">
        <v>1433</v>
      </c>
      <c r="D304" t="s">
        <v>1780</v>
      </c>
      <c r="E304" t="s">
        <v>1880</v>
      </c>
      <c r="F304">
        <v>2</v>
      </c>
      <c r="G304" s="10">
        <v>865.14</v>
      </c>
      <c r="H304" s="13">
        <v>0.2</v>
      </c>
      <c r="I304" t="s">
        <v>1933</v>
      </c>
      <c r="J304" s="16">
        <v>1384.2239999999999</v>
      </c>
      <c r="K304" s="19">
        <f t="shared" si="20"/>
        <v>1839396.1508000025</v>
      </c>
      <c r="L304" s="22">
        <f t="shared" si="21"/>
        <v>1083.2721736160204</v>
      </c>
      <c r="M304" s="22">
        <f t="shared" si="22"/>
        <v>592</v>
      </c>
      <c r="N304" s="22" t="str">
        <f t="shared" si="23"/>
        <v>High Value</v>
      </c>
      <c r="O304" s="22" t="str">
        <f t="shared" si="24"/>
        <v>Nov-2024</v>
      </c>
      <c r="P304" s="22" t="s">
        <v>1781</v>
      </c>
      <c r="Q304" s="22" t="s">
        <v>1536</v>
      </c>
      <c r="R304" s="22" t="s">
        <v>1434</v>
      </c>
      <c r="S304" s="22"/>
      <c r="T304" s="22"/>
      <c r="V304" s="26" t="s">
        <v>1931</v>
      </c>
      <c r="W304" s="6">
        <v>3</v>
      </c>
    </row>
    <row r="305" spans="1:23">
      <c r="A305" t="s">
        <v>2240</v>
      </c>
      <c r="B305" s="8">
        <v>45813</v>
      </c>
      <c r="C305" t="s">
        <v>342</v>
      </c>
      <c r="D305" t="s">
        <v>1642</v>
      </c>
      <c r="E305" t="s">
        <v>1893</v>
      </c>
      <c r="F305">
        <v>2</v>
      </c>
      <c r="G305" s="10">
        <v>916.49</v>
      </c>
      <c r="H305" s="13">
        <v>0.3</v>
      </c>
      <c r="I305" t="s">
        <v>1936</v>
      </c>
      <c r="J305" s="16">
        <v>1283.086</v>
      </c>
      <c r="K305" s="19">
        <f t="shared" si="20"/>
        <v>1838011.9268000023</v>
      </c>
      <c r="L305" s="22">
        <f t="shared" si="21"/>
        <v>1083.0948301708911</v>
      </c>
      <c r="M305" s="22">
        <f t="shared" si="22"/>
        <v>591</v>
      </c>
      <c r="N305" s="22" t="str">
        <f t="shared" si="23"/>
        <v>High Value</v>
      </c>
      <c r="O305" s="22" t="str">
        <f t="shared" si="24"/>
        <v>Jun-2025</v>
      </c>
      <c r="P305" s="22" t="s">
        <v>1643</v>
      </c>
      <c r="Q305" s="22" t="s">
        <v>1569</v>
      </c>
      <c r="R305" s="22" t="s">
        <v>343</v>
      </c>
      <c r="S305" s="22"/>
      <c r="T305" s="22"/>
      <c r="V305" s="26" t="s">
        <v>1933</v>
      </c>
      <c r="W305" s="6">
        <v>5</v>
      </c>
    </row>
    <row r="306" spans="1:23">
      <c r="A306" t="s">
        <v>2241</v>
      </c>
      <c r="B306" s="8">
        <v>45615</v>
      </c>
      <c r="C306" t="s">
        <v>163</v>
      </c>
      <c r="D306" t="s">
        <v>1707</v>
      </c>
      <c r="E306" t="s">
        <v>1901</v>
      </c>
      <c r="F306">
        <v>3</v>
      </c>
      <c r="G306" s="10">
        <v>781.39</v>
      </c>
      <c r="H306" s="13">
        <v>0.12</v>
      </c>
      <c r="I306" t="s">
        <v>1931</v>
      </c>
      <c r="J306" s="16">
        <v>2062.8696</v>
      </c>
      <c r="K306" s="19">
        <f t="shared" si="20"/>
        <v>1836728.8408000025</v>
      </c>
      <c r="L306" s="22">
        <f t="shared" si="21"/>
        <v>1082.976910849058</v>
      </c>
      <c r="M306" s="22">
        <f t="shared" si="22"/>
        <v>591</v>
      </c>
      <c r="N306" s="22" t="str">
        <f t="shared" si="23"/>
        <v>High Value</v>
      </c>
      <c r="O306" s="22" t="str">
        <f t="shared" si="24"/>
        <v>Nov-2024</v>
      </c>
      <c r="P306" s="22" t="s">
        <v>1708</v>
      </c>
      <c r="Q306" s="22" t="s">
        <v>1531</v>
      </c>
      <c r="R306" s="22" t="s">
        <v>164</v>
      </c>
      <c r="S306" s="22"/>
      <c r="T306" s="22"/>
      <c r="V306" s="25" t="s">
        <v>624</v>
      </c>
      <c r="W306" s="6">
        <v>9</v>
      </c>
    </row>
    <row r="307" spans="1:23">
      <c r="A307" t="s">
        <v>2242</v>
      </c>
      <c r="B307" s="8">
        <v>45431</v>
      </c>
      <c r="C307" t="s">
        <v>685</v>
      </c>
      <c r="D307" t="s">
        <v>1665</v>
      </c>
      <c r="E307" t="s">
        <v>1901</v>
      </c>
      <c r="F307">
        <v>4</v>
      </c>
      <c r="G307" s="10">
        <v>619.74</v>
      </c>
      <c r="H307" s="13">
        <v>0.13</v>
      </c>
      <c r="I307" t="s">
        <v>1936</v>
      </c>
      <c r="J307" s="16">
        <v>2156.6952000000001</v>
      </c>
      <c r="K307" s="19">
        <f t="shared" si="20"/>
        <v>1834665.9712000024</v>
      </c>
      <c r="L307" s="22">
        <f t="shared" si="21"/>
        <v>1082.3988030678479</v>
      </c>
      <c r="M307" s="22">
        <f t="shared" si="22"/>
        <v>591</v>
      </c>
      <c r="N307" s="22" t="str">
        <f t="shared" si="23"/>
        <v>High Value</v>
      </c>
      <c r="O307" s="22" t="str">
        <f t="shared" si="24"/>
        <v>May-2024</v>
      </c>
      <c r="P307" s="22" t="s">
        <v>1666</v>
      </c>
      <c r="Q307" s="22" t="s">
        <v>1569</v>
      </c>
      <c r="R307" s="22" t="s">
        <v>686</v>
      </c>
      <c r="S307" s="22"/>
      <c r="T307" s="22"/>
      <c r="V307" s="26" t="s">
        <v>1936</v>
      </c>
      <c r="W307" s="6">
        <v>4</v>
      </c>
    </row>
    <row r="308" spans="1:23">
      <c r="A308" t="s">
        <v>2243</v>
      </c>
      <c r="B308" s="8">
        <v>45679</v>
      </c>
      <c r="C308" t="s">
        <v>1470</v>
      </c>
      <c r="D308" t="s">
        <v>1740</v>
      </c>
      <c r="E308" t="s">
        <v>1906</v>
      </c>
      <c r="F308">
        <v>2</v>
      </c>
      <c r="G308" s="10">
        <v>837.76</v>
      </c>
      <c r="H308" s="13">
        <v>0.03</v>
      </c>
      <c r="I308" t="s">
        <v>1936</v>
      </c>
      <c r="J308" s="16">
        <v>1625.2544</v>
      </c>
      <c r="K308" s="19">
        <f t="shared" si="20"/>
        <v>1832509.2760000024</v>
      </c>
      <c r="L308" s="22">
        <f t="shared" si="21"/>
        <v>1081.7646257378999</v>
      </c>
      <c r="M308" s="22">
        <f t="shared" si="22"/>
        <v>591</v>
      </c>
      <c r="N308" s="22" t="str">
        <f t="shared" si="23"/>
        <v>High Value</v>
      </c>
      <c r="O308" s="22" t="str">
        <f t="shared" si="24"/>
        <v>Jan-2025</v>
      </c>
      <c r="P308" s="22" t="s">
        <v>1741</v>
      </c>
      <c r="Q308" s="22" t="s">
        <v>1531</v>
      </c>
      <c r="R308" s="22" t="s">
        <v>1471</v>
      </c>
      <c r="S308" s="22"/>
      <c r="T308" s="22"/>
      <c r="V308" s="26" t="s">
        <v>1931</v>
      </c>
      <c r="W308" s="6">
        <v>2</v>
      </c>
    </row>
    <row r="309" spans="1:23">
      <c r="A309" t="s">
        <v>2244</v>
      </c>
      <c r="B309" s="8">
        <v>45842</v>
      </c>
      <c r="C309" t="s">
        <v>1386</v>
      </c>
      <c r="D309" t="s">
        <v>1825</v>
      </c>
      <c r="E309" t="s">
        <v>1864</v>
      </c>
      <c r="F309">
        <v>3</v>
      </c>
      <c r="G309" s="10">
        <v>135.94</v>
      </c>
      <c r="H309" s="13">
        <v>0.2</v>
      </c>
      <c r="I309" t="s">
        <v>1931</v>
      </c>
      <c r="J309" s="16">
        <v>326.25599999999997</v>
      </c>
      <c r="K309" s="19">
        <f t="shared" si="20"/>
        <v>1830884.0216000024</v>
      </c>
      <c r="L309" s="22">
        <f t="shared" si="21"/>
        <v>1081.4436040165401</v>
      </c>
      <c r="M309" s="22">
        <f t="shared" si="22"/>
        <v>591</v>
      </c>
      <c r="N309" s="22" t="str">
        <f t="shared" si="23"/>
        <v>Low Value</v>
      </c>
      <c r="O309" s="22" t="str">
        <f t="shared" si="24"/>
        <v>Jul-2025</v>
      </c>
      <c r="P309" s="22" t="s">
        <v>1826</v>
      </c>
      <c r="Q309" s="22" t="s">
        <v>1531</v>
      </c>
      <c r="R309" s="22" t="s">
        <v>1387</v>
      </c>
      <c r="S309" s="22"/>
      <c r="T309" s="22"/>
      <c r="V309" s="26" t="s">
        <v>1933</v>
      </c>
      <c r="W309" s="6">
        <v>3</v>
      </c>
    </row>
    <row r="310" spans="1:23">
      <c r="A310" t="s">
        <v>2245</v>
      </c>
      <c r="B310" s="8">
        <v>45796</v>
      </c>
      <c r="C310" t="s">
        <v>1464</v>
      </c>
      <c r="D310" t="s">
        <v>1777</v>
      </c>
      <c r="E310" t="s">
        <v>1864</v>
      </c>
      <c r="F310">
        <v>4</v>
      </c>
      <c r="G310" s="10">
        <v>396.53</v>
      </c>
      <c r="H310" s="13">
        <v>7.0000000000000007E-2</v>
      </c>
      <c r="I310" t="s">
        <v>1933</v>
      </c>
      <c r="J310" s="16">
        <v>1475.0916</v>
      </c>
      <c r="K310" s="19">
        <f t="shared" si="20"/>
        <v>1830557.7656000024</v>
      </c>
      <c r="L310" s="22">
        <f t="shared" si="21"/>
        <v>1081.8899323877083</v>
      </c>
      <c r="M310" s="22">
        <f t="shared" si="22"/>
        <v>591</v>
      </c>
      <c r="N310" s="22" t="str">
        <f t="shared" si="23"/>
        <v>High Value</v>
      </c>
      <c r="O310" s="22" t="str">
        <f t="shared" si="24"/>
        <v>May-2025</v>
      </c>
      <c r="P310" s="22" t="s">
        <v>1778</v>
      </c>
      <c r="Q310" s="22" t="s">
        <v>1531</v>
      </c>
      <c r="R310" s="22" t="s">
        <v>1465</v>
      </c>
      <c r="S310" s="22"/>
      <c r="T310" s="22"/>
      <c r="V310" s="25" t="s">
        <v>209</v>
      </c>
      <c r="W310" s="6">
        <v>16</v>
      </c>
    </row>
    <row r="311" spans="1:23">
      <c r="A311" t="s">
        <v>2246</v>
      </c>
      <c r="B311" s="8">
        <v>45264</v>
      </c>
      <c r="C311" t="s">
        <v>712</v>
      </c>
      <c r="D311" t="s">
        <v>1636</v>
      </c>
      <c r="E311" t="s">
        <v>1906</v>
      </c>
      <c r="F311">
        <v>2</v>
      </c>
      <c r="G311" s="10">
        <v>722.45</v>
      </c>
      <c r="H311" s="13">
        <v>0.22</v>
      </c>
      <c r="I311" t="s">
        <v>1933</v>
      </c>
      <c r="J311" s="16">
        <v>1127.0219999999999</v>
      </c>
      <c r="K311" s="19">
        <f t="shared" si="20"/>
        <v>1829082.6740000027</v>
      </c>
      <c r="L311" s="22">
        <f t="shared" si="21"/>
        <v>1081.6574062684817</v>
      </c>
      <c r="M311" s="22">
        <f t="shared" si="22"/>
        <v>590</v>
      </c>
      <c r="N311" s="22" t="str">
        <f t="shared" si="23"/>
        <v>High Value</v>
      </c>
      <c r="O311" s="22" t="str">
        <f t="shared" si="24"/>
        <v>Dec-2023</v>
      </c>
      <c r="P311" s="22" t="s">
        <v>1637</v>
      </c>
      <c r="Q311" s="22" t="s">
        <v>1560</v>
      </c>
      <c r="R311" s="22" t="s">
        <v>713</v>
      </c>
      <c r="S311" s="22"/>
      <c r="T311" s="22"/>
      <c r="V311" s="26" t="s">
        <v>1936</v>
      </c>
      <c r="W311" s="6">
        <v>6</v>
      </c>
    </row>
    <row r="312" spans="1:23">
      <c r="A312" t="s">
        <v>2247</v>
      </c>
      <c r="B312" s="8">
        <v>45504</v>
      </c>
      <c r="C312" t="s">
        <v>178</v>
      </c>
      <c r="D312" t="s">
        <v>1746</v>
      </c>
      <c r="E312" t="s">
        <v>1868</v>
      </c>
      <c r="F312">
        <v>2</v>
      </c>
      <c r="G312" s="10">
        <v>138.41</v>
      </c>
      <c r="H312" s="13">
        <v>0.02</v>
      </c>
      <c r="I312" t="s">
        <v>1931</v>
      </c>
      <c r="J312" s="16">
        <v>271.28359999999998</v>
      </c>
      <c r="K312" s="19">
        <f t="shared" si="20"/>
        <v>1827955.6520000028</v>
      </c>
      <c r="L312" s="22">
        <f t="shared" si="21"/>
        <v>1081.6305633136112</v>
      </c>
      <c r="M312" s="22">
        <f t="shared" si="22"/>
        <v>589</v>
      </c>
      <c r="N312" s="22" t="str">
        <f t="shared" si="23"/>
        <v>Low Value</v>
      </c>
      <c r="O312" s="22" t="str">
        <f t="shared" si="24"/>
        <v>Jul-2024</v>
      </c>
      <c r="P312" s="22" t="s">
        <v>1747</v>
      </c>
      <c r="Q312" s="22" t="s">
        <v>1555</v>
      </c>
      <c r="R312" s="22" t="s">
        <v>179</v>
      </c>
      <c r="S312" s="22"/>
      <c r="T312" s="22"/>
      <c r="V312" s="26" t="s">
        <v>1931</v>
      </c>
      <c r="W312" s="6">
        <v>10</v>
      </c>
    </row>
    <row r="313" spans="1:23">
      <c r="A313" t="s">
        <v>2248</v>
      </c>
      <c r="B313" s="8">
        <v>45679</v>
      </c>
      <c r="C313" t="s">
        <v>431</v>
      </c>
      <c r="D313" t="s">
        <v>1795</v>
      </c>
      <c r="E313" t="s">
        <v>1868</v>
      </c>
      <c r="F313">
        <v>4</v>
      </c>
      <c r="G313" s="10">
        <v>741.51</v>
      </c>
      <c r="H313" s="13">
        <v>0.09</v>
      </c>
      <c r="I313" t="s">
        <v>1936</v>
      </c>
      <c r="J313" s="16">
        <v>2699.0963999999999</v>
      </c>
      <c r="K313" s="19">
        <f t="shared" si="20"/>
        <v>1827684.3684000028</v>
      </c>
      <c r="L313" s="22">
        <f t="shared" si="21"/>
        <v>1082.1103424511562</v>
      </c>
      <c r="M313" s="22">
        <f t="shared" si="22"/>
        <v>589</v>
      </c>
      <c r="N313" s="22" t="str">
        <f t="shared" si="23"/>
        <v>High Value</v>
      </c>
      <c r="O313" s="22" t="str">
        <f t="shared" si="24"/>
        <v>Jan-2025</v>
      </c>
      <c r="P313" s="22" t="s">
        <v>1796</v>
      </c>
      <c r="Q313" s="22" t="s">
        <v>1560</v>
      </c>
      <c r="R313" s="22" t="s">
        <v>432</v>
      </c>
      <c r="S313" s="22"/>
      <c r="T313" s="22"/>
      <c r="V313" s="25" t="s">
        <v>748</v>
      </c>
      <c r="W313" s="6">
        <v>13</v>
      </c>
    </row>
    <row r="314" spans="1:23">
      <c r="A314" t="s">
        <v>2249</v>
      </c>
      <c r="B314" s="8">
        <v>45611</v>
      </c>
      <c r="C314" t="s">
        <v>100</v>
      </c>
      <c r="D314" t="s">
        <v>1795</v>
      </c>
      <c r="E314" t="s">
        <v>1914</v>
      </c>
      <c r="F314">
        <v>2</v>
      </c>
      <c r="G314" s="10">
        <v>588.9</v>
      </c>
      <c r="H314" s="13">
        <v>0.19</v>
      </c>
      <c r="I314" t="s">
        <v>1933</v>
      </c>
      <c r="J314" s="16">
        <v>954.01800000000003</v>
      </c>
      <c r="K314" s="19">
        <f t="shared" si="20"/>
        <v>1824985.2720000027</v>
      </c>
      <c r="L314" s="22">
        <f t="shared" si="21"/>
        <v>1081.1524123222764</v>
      </c>
      <c r="M314" s="22">
        <f t="shared" si="22"/>
        <v>589</v>
      </c>
      <c r="N314" s="22" t="str">
        <f t="shared" si="23"/>
        <v>Low Value</v>
      </c>
      <c r="O314" s="22" t="str">
        <f t="shared" si="24"/>
        <v>Nov-2024</v>
      </c>
      <c r="P314" s="22" t="s">
        <v>1796</v>
      </c>
      <c r="Q314" s="22" t="s">
        <v>1560</v>
      </c>
      <c r="R314" s="22" t="s">
        <v>101</v>
      </c>
      <c r="S314" s="22"/>
      <c r="T314" s="22"/>
      <c r="V314" s="26" t="s">
        <v>1936</v>
      </c>
      <c r="W314" s="6">
        <v>5</v>
      </c>
    </row>
    <row r="315" spans="1:23">
      <c r="A315" t="s">
        <v>2250</v>
      </c>
      <c r="B315" s="8">
        <v>45389</v>
      </c>
      <c r="C315" t="s">
        <v>958</v>
      </c>
      <c r="D315" t="s">
        <v>1704</v>
      </c>
      <c r="E315" t="s">
        <v>1868</v>
      </c>
      <c r="F315">
        <v>1</v>
      </c>
      <c r="G315" s="10">
        <v>88.92</v>
      </c>
      <c r="H315" s="13">
        <v>0.19</v>
      </c>
      <c r="I315" t="s">
        <v>1933</v>
      </c>
      <c r="J315" s="16">
        <v>72.025200000000012</v>
      </c>
      <c r="K315" s="19">
        <f t="shared" si="20"/>
        <v>1824031.2540000025</v>
      </c>
      <c r="L315" s="22">
        <f t="shared" si="21"/>
        <v>1081.2277735625385</v>
      </c>
      <c r="M315" s="22">
        <f t="shared" si="22"/>
        <v>588</v>
      </c>
      <c r="N315" s="22" t="str">
        <f t="shared" si="23"/>
        <v>Low Value</v>
      </c>
      <c r="O315" s="22" t="str">
        <f t="shared" si="24"/>
        <v>Apr-2024</v>
      </c>
      <c r="P315" s="22" t="s">
        <v>1705</v>
      </c>
      <c r="Q315" s="22" t="s">
        <v>1569</v>
      </c>
      <c r="R315" s="22" t="s">
        <v>3952</v>
      </c>
      <c r="S315" s="22"/>
      <c r="T315" s="22"/>
      <c r="V315" s="26" t="s">
        <v>1931</v>
      </c>
      <c r="W315" s="6">
        <v>8</v>
      </c>
    </row>
    <row r="316" spans="1:23">
      <c r="A316" t="s">
        <v>2251</v>
      </c>
      <c r="B316" s="8">
        <v>45339</v>
      </c>
      <c r="C316" t="s">
        <v>406</v>
      </c>
      <c r="D316" t="s">
        <v>1737</v>
      </c>
      <c r="E316" t="s">
        <v>1911</v>
      </c>
      <c r="F316">
        <v>1</v>
      </c>
      <c r="G316" s="10">
        <v>299.13</v>
      </c>
      <c r="H316" s="13">
        <v>0.1</v>
      </c>
      <c r="I316" t="s">
        <v>1936</v>
      </c>
      <c r="J316" s="16">
        <v>269.21699999999998</v>
      </c>
      <c r="K316" s="19">
        <f t="shared" si="20"/>
        <v>1823959.2288000027</v>
      </c>
      <c r="L316" s="22">
        <f t="shared" si="21"/>
        <v>1081.8263516014251</v>
      </c>
      <c r="M316" s="22">
        <f t="shared" si="22"/>
        <v>587</v>
      </c>
      <c r="N316" s="22" t="str">
        <f t="shared" si="23"/>
        <v>Low Value</v>
      </c>
      <c r="O316" s="22" t="str">
        <f t="shared" si="24"/>
        <v>Feb-2024</v>
      </c>
      <c r="P316" s="22" t="s">
        <v>1738</v>
      </c>
      <c r="Q316" s="22" t="s">
        <v>1569</v>
      </c>
      <c r="R316" s="22" t="s">
        <v>407</v>
      </c>
      <c r="S316" s="22"/>
      <c r="T316" s="22"/>
      <c r="V316" s="25" t="s">
        <v>302</v>
      </c>
      <c r="W316" s="6">
        <v>27</v>
      </c>
    </row>
    <row r="317" spans="1:23">
      <c r="A317" t="s">
        <v>2252</v>
      </c>
      <c r="B317" s="8">
        <v>45433</v>
      </c>
      <c r="C317" t="s">
        <v>400</v>
      </c>
      <c r="D317" t="s">
        <v>1786</v>
      </c>
      <c r="E317" t="s">
        <v>1873</v>
      </c>
      <c r="F317">
        <v>2</v>
      </c>
      <c r="G317" s="10">
        <v>548.29999999999995</v>
      </c>
      <c r="H317" s="13">
        <v>0.23</v>
      </c>
      <c r="I317" t="s">
        <v>1931</v>
      </c>
      <c r="J317" s="16">
        <v>844.38199999999995</v>
      </c>
      <c r="K317" s="19">
        <f t="shared" si="20"/>
        <v>1823690.0118000025</v>
      </c>
      <c r="L317" s="22">
        <f t="shared" si="21"/>
        <v>1082.3086123442151</v>
      </c>
      <c r="M317" s="22">
        <f t="shared" si="22"/>
        <v>587</v>
      </c>
      <c r="N317" s="22" t="str">
        <f t="shared" si="23"/>
        <v>Low Value</v>
      </c>
      <c r="O317" s="22" t="str">
        <f t="shared" si="24"/>
        <v>May-2024</v>
      </c>
      <c r="P317" s="22" t="s">
        <v>1787</v>
      </c>
      <c r="Q317" s="22" t="s">
        <v>1531</v>
      </c>
      <c r="R317" s="22" t="s">
        <v>401</v>
      </c>
      <c r="S317" s="22"/>
      <c r="T317" s="22"/>
      <c r="V317" s="26" t="s">
        <v>1936</v>
      </c>
      <c r="W317" s="6">
        <v>6</v>
      </c>
    </row>
    <row r="318" spans="1:23">
      <c r="A318" t="s">
        <v>2253</v>
      </c>
      <c r="B318" s="8">
        <v>45435</v>
      </c>
      <c r="C318" t="s">
        <v>836</v>
      </c>
      <c r="D318" t="s">
        <v>1716</v>
      </c>
      <c r="E318" t="s">
        <v>1896</v>
      </c>
      <c r="F318">
        <v>3</v>
      </c>
      <c r="G318" s="10">
        <v>977.55</v>
      </c>
      <c r="H318" s="13">
        <v>0.02</v>
      </c>
      <c r="I318" t="s">
        <v>1933</v>
      </c>
      <c r="J318" s="16">
        <v>2873.9969999999989</v>
      </c>
      <c r="K318" s="19">
        <f t="shared" si="20"/>
        <v>1822845.6298000026</v>
      </c>
      <c r="L318" s="22">
        <f t="shared" si="21"/>
        <v>1082.449898931118</v>
      </c>
      <c r="M318" s="22">
        <f t="shared" si="22"/>
        <v>587</v>
      </c>
      <c r="N318" s="22" t="str">
        <f t="shared" si="23"/>
        <v>High Value</v>
      </c>
      <c r="O318" s="22" t="str">
        <f t="shared" si="24"/>
        <v>May-2024</v>
      </c>
      <c r="P318" s="22" t="s">
        <v>1717</v>
      </c>
      <c r="Q318" s="22" t="s">
        <v>1569</v>
      </c>
      <c r="R318" s="22" t="s">
        <v>837</v>
      </c>
      <c r="S318" s="22"/>
      <c r="T318" s="22"/>
      <c r="V318" s="26" t="s">
        <v>1931</v>
      </c>
      <c r="W318" s="6">
        <v>11</v>
      </c>
    </row>
    <row r="319" spans="1:23">
      <c r="A319" t="s">
        <v>2254</v>
      </c>
      <c r="B319" s="8">
        <v>45823</v>
      </c>
      <c r="C319" t="s">
        <v>1082</v>
      </c>
      <c r="D319" t="s">
        <v>1684</v>
      </c>
      <c r="E319" t="s">
        <v>1917</v>
      </c>
      <c r="F319">
        <v>1</v>
      </c>
      <c r="G319" s="10">
        <v>459.42</v>
      </c>
      <c r="H319" s="13">
        <v>0.28000000000000003</v>
      </c>
      <c r="I319" t="s">
        <v>1936</v>
      </c>
      <c r="J319" s="16">
        <v>330.7824</v>
      </c>
      <c r="K319" s="19">
        <f t="shared" si="20"/>
        <v>1819971.6328000023</v>
      </c>
      <c r="L319" s="22">
        <f t="shared" si="21"/>
        <v>1081.3854027332159</v>
      </c>
      <c r="M319" s="22">
        <f t="shared" si="22"/>
        <v>586</v>
      </c>
      <c r="N319" s="22" t="str">
        <f t="shared" si="23"/>
        <v>Low Value</v>
      </c>
      <c r="O319" s="22" t="str">
        <f t="shared" si="24"/>
        <v>Jun-2025</v>
      </c>
      <c r="P319" s="22" t="s">
        <v>1685</v>
      </c>
      <c r="Q319" s="22" t="s">
        <v>1569</v>
      </c>
      <c r="R319" s="22" t="s">
        <v>1083</v>
      </c>
      <c r="S319" s="22"/>
      <c r="T319" s="22"/>
      <c r="V319" s="26" t="s">
        <v>1933</v>
      </c>
      <c r="W319" s="6">
        <v>10</v>
      </c>
    </row>
    <row r="320" spans="1:23">
      <c r="A320" t="s">
        <v>2255</v>
      </c>
      <c r="B320" s="8">
        <v>45663</v>
      </c>
      <c r="C320" t="s">
        <v>313</v>
      </c>
      <c r="D320" t="s">
        <v>1539</v>
      </c>
      <c r="E320" t="s">
        <v>1876</v>
      </c>
      <c r="F320">
        <v>2</v>
      </c>
      <c r="G320" s="10">
        <v>123.19</v>
      </c>
      <c r="H320" s="13">
        <v>0.19</v>
      </c>
      <c r="I320" t="s">
        <v>1931</v>
      </c>
      <c r="J320" s="16">
        <v>199.56780000000001</v>
      </c>
      <c r="K320" s="19">
        <f t="shared" si="20"/>
        <v>1819640.8504000022</v>
      </c>
      <c r="L320" s="22">
        <f t="shared" si="21"/>
        <v>1081.8316589774092</v>
      </c>
      <c r="M320" s="22">
        <f t="shared" si="22"/>
        <v>586</v>
      </c>
      <c r="N320" s="22" t="str">
        <f t="shared" si="23"/>
        <v>Low Value</v>
      </c>
      <c r="O320" s="22" t="str">
        <f t="shared" si="24"/>
        <v>Jan-2025</v>
      </c>
      <c r="P320" s="22" t="s">
        <v>1540</v>
      </c>
      <c r="Q320" s="22" t="s">
        <v>1536</v>
      </c>
      <c r="R320" s="22" t="s">
        <v>314</v>
      </c>
      <c r="S320" s="22"/>
      <c r="T320" s="22"/>
      <c r="V320" s="25" t="s">
        <v>331</v>
      </c>
      <c r="W320" s="6">
        <v>14</v>
      </c>
    </row>
    <row r="321" spans="1:23">
      <c r="A321" t="s">
        <v>2256</v>
      </c>
      <c r="B321" s="8">
        <v>45879</v>
      </c>
      <c r="C321" t="s">
        <v>1116</v>
      </c>
      <c r="D321" t="s">
        <v>1719</v>
      </c>
      <c r="E321" t="s">
        <v>1920</v>
      </c>
      <c r="F321">
        <v>1</v>
      </c>
      <c r="G321" s="10">
        <v>222.95</v>
      </c>
      <c r="H321" s="13">
        <v>0.02</v>
      </c>
      <c r="I321" t="s">
        <v>1933</v>
      </c>
      <c r="J321" s="16">
        <v>218.49100000000001</v>
      </c>
      <c r="K321" s="19">
        <f t="shared" si="20"/>
        <v>1819441.2826000024</v>
      </c>
      <c r="L321" s="22">
        <f t="shared" si="21"/>
        <v>1082.3565036287937</v>
      </c>
      <c r="M321" s="22">
        <f t="shared" si="22"/>
        <v>586</v>
      </c>
      <c r="N321" s="22" t="str">
        <f t="shared" si="23"/>
        <v>Low Value</v>
      </c>
      <c r="O321" s="22" t="str">
        <f t="shared" si="24"/>
        <v>Aug-2025</v>
      </c>
      <c r="P321" s="22" t="s">
        <v>1720</v>
      </c>
      <c r="Q321" s="22" t="s">
        <v>1560</v>
      </c>
      <c r="R321" s="22" t="s">
        <v>1117</v>
      </c>
      <c r="S321" s="22"/>
      <c r="T321" s="22"/>
      <c r="V321" s="26" t="s">
        <v>1936</v>
      </c>
      <c r="W321" s="6">
        <v>6</v>
      </c>
    </row>
    <row r="322" spans="1:23">
      <c r="A322" t="s">
        <v>2257</v>
      </c>
      <c r="B322" s="8">
        <v>45840</v>
      </c>
      <c r="C322" t="s">
        <v>1040</v>
      </c>
      <c r="D322" t="s">
        <v>1646</v>
      </c>
      <c r="E322" t="s">
        <v>1876</v>
      </c>
      <c r="F322">
        <v>3</v>
      </c>
      <c r="G322" s="10">
        <v>601.92999999999995</v>
      </c>
      <c r="H322" s="13">
        <v>0.14000000000000001</v>
      </c>
      <c r="I322" t="s">
        <v>1931</v>
      </c>
      <c r="J322" s="16">
        <v>1552.9793999999999</v>
      </c>
      <c r="K322" s="19">
        <f t="shared" ref="K322:K385" si="25">SUM(J322:J2321)</f>
        <v>1819222.7916000022</v>
      </c>
      <c r="L322" s="22">
        <f t="shared" ref="L322:L385" si="26">AVERAGE(J322:J2321)</f>
        <v>1082.8707092857155</v>
      </c>
      <c r="M322" s="22">
        <f t="shared" ref="M322:M385" si="27">COUNTIF(I322:I2321,"PayPal")</f>
        <v>585</v>
      </c>
      <c r="N322" s="22" t="str">
        <f t="shared" ref="N322:N385" si="28">IF(J322&gt;=1000,"High Value","Low Value")</f>
        <v>High Value</v>
      </c>
      <c r="O322" s="22" t="str">
        <f t="shared" ref="O322:O385" si="29">TEXT(B322,"mmm-yyyy")</f>
        <v>Jul-2025</v>
      </c>
      <c r="P322" s="22" t="s">
        <v>1647</v>
      </c>
      <c r="Q322" s="22" t="s">
        <v>1555</v>
      </c>
      <c r="R322" s="22" t="s">
        <v>1041</v>
      </c>
      <c r="S322" s="22"/>
      <c r="T322" s="22"/>
      <c r="V322" s="26" t="s">
        <v>1933</v>
      </c>
      <c r="W322" s="6">
        <v>8</v>
      </c>
    </row>
    <row r="323" spans="1:23">
      <c r="A323" t="s">
        <v>2258</v>
      </c>
      <c r="B323" s="8">
        <v>45380</v>
      </c>
      <c r="C323" t="s">
        <v>937</v>
      </c>
      <c r="D323" t="s">
        <v>1762</v>
      </c>
      <c r="E323" t="s">
        <v>1868</v>
      </c>
      <c r="F323">
        <v>1</v>
      </c>
      <c r="G323" s="10">
        <v>564.1</v>
      </c>
      <c r="H323" s="13">
        <v>0.03</v>
      </c>
      <c r="I323" t="s">
        <v>1931</v>
      </c>
      <c r="J323" s="16">
        <v>547.17700000000002</v>
      </c>
      <c r="K323" s="19">
        <f t="shared" si="25"/>
        <v>1817669.8122000021</v>
      </c>
      <c r="L323" s="22">
        <f t="shared" si="26"/>
        <v>1082.5907160214426</v>
      </c>
      <c r="M323" s="22">
        <f t="shared" si="27"/>
        <v>585</v>
      </c>
      <c r="N323" s="22" t="str">
        <f t="shared" si="28"/>
        <v>Low Value</v>
      </c>
      <c r="O323" s="22" t="str">
        <f t="shared" si="29"/>
        <v>Mar-2024</v>
      </c>
      <c r="P323" s="22" t="s">
        <v>1763</v>
      </c>
      <c r="Q323" s="22" t="s">
        <v>1536</v>
      </c>
      <c r="R323" s="22" t="s">
        <v>938</v>
      </c>
      <c r="S323" s="22"/>
      <c r="T323" s="22"/>
      <c r="V323" s="25" t="s">
        <v>282</v>
      </c>
      <c r="W323" s="6">
        <v>6</v>
      </c>
    </row>
    <row r="324" spans="1:23">
      <c r="A324" t="s">
        <v>2259</v>
      </c>
      <c r="B324" s="8">
        <v>45672</v>
      </c>
      <c r="C324" t="s">
        <v>336</v>
      </c>
      <c r="D324" t="s">
        <v>1795</v>
      </c>
      <c r="E324" t="s">
        <v>1880</v>
      </c>
      <c r="F324">
        <v>1</v>
      </c>
      <c r="G324" s="10">
        <v>516.62</v>
      </c>
      <c r="H324" s="13">
        <v>0.18</v>
      </c>
      <c r="I324" t="s">
        <v>1931</v>
      </c>
      <c r="J324" s="16">
        <v>423.62840000000011</v>
      </c>
      <c r="K324" s="19">
        <f t="shared" si="25"/>
        <v>1817122.6352000022</v>
      </c>
      <c r="L324" s="22">
        <f t="shared" si="26"/>
        <v>1082.9097945172839</v>
      </c>
      <c r="M324" s="22">
        <f t="shared" si="27"/>
        <v>585</v>
      </c>
      <c r="N324" s="22" t="str">
        <f t="shared" si="28"/>
        <v>Low Value</v>
      </c>
      <c r="O324" s="22" t="str">
        <f t="shared" si="29"/>
        <v>Jan-2025</v>
      </c>
      <c r="P324" s="22" t="s">
        <v>1796</v>
      </c>
      <c r="Q324" s="22" t="s">
        <v>1560</v>
      </c>
      <c r="R324" s="22" t="s">
        <v>337</v>
      </c>
      <c r="S324" s="22"/>
      <c r="T324" s="22"/>
      <c r="V324" s="26" t="s">
        <v>1936</v>
      </c>
      <c r="W324" s="6">
        <v>3</v>
      </c>
    </row>
    <row r="325" spans="1:23">
      <c r="A325" t="s">
        <v>2260</v>
      </c>
      <c r="B325" s="8">
        <v>45497</v>
      </c>
      <c r="C325" t="s">
        <v>1348</v>
      </c>
      <c r="D325" t="s">
        <v>1743</v>
      </c>
      <c r="E325" t="s">
        <v>1901</v>
      </c>
      <c r="F325">
        <v>1</v>
      </c>
      <c r="G325" s="10">
        <v>934.75</v>
      </c>
      <c r="H325" s="13">
        <v>0.11</v>
      </c>
      <c r="I325" t="s">
        <v>1933</v>
      </c>
      <c r="J325" s="16">
        <v>831.92750000000001</v>
      </c>
      <c r="K325" s="19">
        <f t="shared" si="25"/>
        <v>1816699.0068000022</v>
      </c>
      <c r="L325" s="22">
        <f t="shared" si="26"/>
        <v>1083.3029259391783</v>
      </c>
      <c r="M325" s="22">
        <f t="shared" si="27"/>
        <v>585</v>
      </c>
      <c r="N325" s="22" t="str">
        <f t="shared" si="28"/>
        <v>Low Value</v>
      </c>
      <c r="O325" s="22" t="str">
        <f t="shared" si="29"/>
        <v>Jul-2024</v>
      </c>
      <c r="P325" s="22" t="s">
        <v>1744</v>
      </c>
      <c r="Q325" s="22" t="s">
        <v>1555</v>
      </c>
      <c r="R325" s="22" t="s">
        <v>1349</v>
      </c>
      <c r="S325" s="22"/>
      <c r="T325" s="22"/>
      <c r="V325" s="26" t="s">
        <v>1931</v>
      </c>
      <c r="W325" s="6">
        <v>3</v>
      </c>
    </row>
    <row r="326" spans="1:23">
      <c r="A326" t="s">
        <v>2261</v>
      </c>
      <c r="B326" s="8">
        <v>45407</v>
      </c>
      <c r="C326" t="s">
        <v>753</v>
      </c>
      <c r="D326" t="s">
        <v>1849</v>
      </c>
      <c r="E326" t="s">
        <v>1886</v>
      </c>
      <c r="F326">
        <v>4</v>
      </c>
      <c r="G326" s="10">
        <v>548.44000000000005</v>
      </c>
      <c r="H326" s="13">
        <v>0.05</v>
      </c>
      <c r="I326" t="s">
        <v>1933</v>
      </c>
      <c r="J326" s="16">
        <v>2084.0720000000001</v>
      </c>
      <c r="K326" s="19">
        <f t="shared" si="25"/>
        <v>1815867.079300002</v>
      </c>
      <c r="L326" s="22">
        <f t="shared" si="26"/>
        <v>1083.4529112768507</v>
      </c>
      <c r="M326" s="22">
        <f t="shared" si="27"/>
        <v>584</v>
      </c>
      <c r="N326" s="22" t="str">
        <f t="shared" si="28"/>
        <v>High Value</v>
      </c>
      <c r="O326" s="22" t="str">
        <f t="shared" si="29"/>
        <v>Apr-2024</v>
      </c>
      <c r="P326" s="22" t="s">
        <v>1850</v>
      </c>
      <c r="Q326" s="22" t="s">
        <v>1531</v>
      </c>
      <c r="R326" s="22" t="s">
        <v>754</v>
      </c>
      <c r="S326" s="22"/>
      <c r="T326" s="22"/>
      <c r="V326" s="25" t="s">
        <v>242</v>
      </c>
      <c r="W326" s="6">
        <v>18</v>
      </c>
    </row>
    <row r="327" spans="1:23">
      <c r="A327" t="s">
        <v>2262</v>
      </c>
      <c r="B327" s="8">
        <v>45764</v>
      </c>
      <c r="C327" t="s">
        <v>63</v>
      </c>
      <c r="D327" t="s">
        <v>1661</v>
      </c>
      <c r="E327" t="s">
        <v>1873</v>
      </c>
      <c r="F327">
        <v>3</v>
      </c>
      <c r="G327" s="10">
        <v>361.11</v>
      </c>
      <c r="H327" s="13">
        <v>0.06</v>
      </c>
      <c r="I327" t="s">
        <v>1931</v>
      </c>
      <c r="J327" s="16">
        <v>1018.3302</v>
      </c>
      <c r="K327" s="19">
        <f t="shared" si="25"/>
        <v>1813783.007300002</v>
      </c>
      <c r="L327" s="22">
        <f t="shared" si="26"/>
        <v>1082.8555267462698</v>
      </c>
      <c r="M327" s="22">
        <f t="shared" si="27"/>
        <v>583</v>
      </c>
      <c r="N327" s="22" t="str">
        <f t="shared" si="28"/>
        <v>High Value</v>
      </c>
      <c r="O327" s="22" t="str">
        <f t="shared" si="29"/>
        <v>Apr-2025</v>
      </c>
      <c r="P327" s="22" t="s">
        <v>1662</v>
      </c>
      <c r="Q327" s="22" t="s">
        <v>1536</v>
      </c>
      <c r="R327" s="22" t="s">
        <v>64</v>
      </c>
      <c r="S327" s="22"/>
      <c r="T327" s="22"/>
      <c r="V327" s="26" t="s">
        <v>1936</v>
      </c>
      <c r="W327" s="6">
        <v>12</v>
      </c>
    </row>
    <row r="328" spans="1:23">
      <c r="A328" t="s">
        <v>2263</v>
      </c>
      <c r="B328" s="8">
        <v>45924</v>
      </c>
      <c r="C328" t="s">
        <v>614</v>
      </c>
      <c r="D328" t="s">
        <v>1583</v>
      </c>
      <c r="E328" t="s">
        <v>1864</v>
      </c>
      <c r="F328">
        <v>2</v>
      </c>
      <c r="G328" s="10">
        <v>610.37</v>
      </c>
      <c r="H328" s="13">
        <v>0.1</v>
      </c>
      <c r="I328" t="s">
        <v>1933</v>
      </c>
      <c r="J328" s="16">
        <v>1098.6659999999999</v>
      </c>
      <c r="K328" s="19">
        <f t="shared" si="25"/>
        <v>1812764.6771000018</v>
      </c>
      <c r="L328" s="22">
        <f t="shared" si="26"/>
        <v>1082.8940723416977</v>
      </c>
      <c r="M328" s="22">
        <f t="shared" si="27"/>
        <v>583</v>
      </c>
      <c r="N328" s="22" t="str">
        <f t="shared" si="28"/>
        <v>High Value</v>
      </c>
      <c r="O328" s="22" t="str">
        <f t="shared" si="29"/>
        <v>Sep-2025</v>
      </c>
      <c r="P328" s="22" t="s">
        <v>1584</v>
      </c>
      <c r="Q328" s="22" t="s">
        <v>1531</v>
      </c>
      <c r="R328" s="22" t="s">
        <v>615</v>
      </c>
      <c r="S328" s="22"/>
      <c r="T328" s="22"/>
      <c r="V328" s="26" t="s">
        <v>1931</v>
      </c>
      <c r="W328" s="6">
        <v>1</v>
      </c>
    </row>
    <row r="329" spans="1:23">
      <c r="A329" t="s">
        <v>2264</v>
      </c>
      <c r="B329" s="8">
        <v>45240</v>
      </c>
      <c r="C329" t="s">
        <v>1046</v>
      </c>
      <c r="D329" t="s">
        <v>1707</v>
      </c>
      <c r="E329" t="s">
        <v>1911</v>
      </c>
      <c r="F329">
        <v>1</v>
      </c>
      <c r="G329" s="10">
        <v>272.2</v>
      </c>
      <c r="H329" s="13">
        <v>0.3</v>
      </c>
      <c r="I329" t="s">
        <v>1931</v>
      </c>
      <c r="J329" s="16">
        <v>190.54</v>
      </c>
      <c r="K329" s="19">
        <f t="shared" si="25"/>
        <v>1811666.0111000019</v>
      </c>
      <c r="L329" s="22">
        <f t="shared" si="26"/>
        <v>1082.884645008967</v>
      </c>
      <c r="M329" s="22">
        <f t="shared" si="27"/>
        <v>582</v>
      </c>
      <c r="N329" s="22" t="str">
        <f t="shared" si="28"/>
        <v>Low Value</v>
      </c>
      <c r="O329" s="22" t="str">
        <f t="shared" si="29"/>
        <v>Nov-2023</v>
      </c>
      <c r="P329" s="22" t="s">
        <v>1708</v>
      </c>
      <c r="Q329" s="22" t="s">
        <v>1531</v>
      </c>
      <c r="R329" s="22" t="s">
        <v>1047</v>
      </c>
      <c r="S329" s="22"/>
      <c r="T329" s="22"/>
      <c r="V329" s="26" t="s">
        <v>1933</v>
      </c>
      <c r="W329" s="6">
        <v>5</v>
      </c>
    </row>
    <row r="330" spans="1:23">
      <c r="A330" t="s">
        <v>2265</v>
      </c>
      <c r="B330" s="8">
        <v>45349</v>
      </c>
      <c r="C330" t="s">
        <v>1348</v>
      </c>
      <c r="D330" t="s">
        <v>1786</v>
      </c>
      <c r="E330" t="s">
        <v>1883</v>
      </c>
      <c r="F330">
        <v>3</v>
      </c>
      <c r="G330" s="10">
        <v>573.1</v>
      </c>
      <c r="H330" s="13">
        <v>0.16</v>
      </c>
      <c r="I330" t="s">
        <v>1936</v>
      </c>
      <c r="J330" s="16">
        <v>1444.212</v>
      </c>
      <c r="K330" s="19">
        <f t="shared" si="25"/>
        <v>1811475.4711000018</v>
      </c>
      <c r="L330" s="22">
        <f t="shared" si="26"/>
        <v>1083.4183439593312</v>
      </c>
      <c r="M330" s="22">
        <f t="shared" si="27"/>
        <v>582</v>
      </c>
      <c r="N330" s="22" t="str">
        <f t="shared" si="28"/>
        <v>High Value</v>
      </c>
      <c r="O330" s="22" t="str">
        <f t="shared" si="29"/>
        <v>Feb-2024</v>
      </c>
      <c r="P330" s="22" t="s">
        <v>1787</v>
      </c>
      <c r="Q330" s="22" t="s">
        <v>1531</v>
      </c>
      <c r="R330" s="22" t="s">
        <v>1349</v>
      </c>
      <c r="S330" s="22"/>
      <c r="T330" s="22"/>
      <c r="V330" s="25" t="s">
        <v>356</v>
      </c>
      <c r="W330" s="6">
        <v>20</v>
      </c>
    </row>
    <row r="331" spans="1:23">
      <c r="A331" t="s">
        <v>2266</v>
      </c>
      <c r="B331" s="8">
        <v>45756</v>
      </c>
      <c r="C331" t="s">
        <v>1011</v>
      </c>
      <c r="D331" t="s">
        <v>1553</v>
      </c>
      <c r="E331" t="s">
        <v>1859</v>
      </c>
      <c r="F331">
        <v>4</v>
      </c>
      <c r="G331" s="10">
        <v>24.72</v>
      </c>
      <c r="H331" s="13">
        <v>0.28000000000000003</v>
      </c>
      <c r="I331" t="s">
        <v>1931</v>
      </c>
      <c r="J331" s="16">
        <v>71.193599999999989</v>
      </c>
      <c r="K331" s="19">
        <f t="shared" si="25"/>
        <v>1810031.2591000018</v>
      </c>
      <c r="L331" s="22">
        <f t="shared" si="26"/>
        <v>1083.202429144226</v>
      </c>
      <c r="M331" s="22">
        <f t="shared" si="27"/>
        <v>582</v>
      </c>
      <c r="N331" s="22" t="str">
        <f t="shared" si="28"/>
        <v>Low Value</v>
      </c>
      <c r="O331" s="22" t="str">
        <f t="shared" si="29"/>
        <v>Apr-2025</v>
      </c>
      <c r="P331" s="22" t="s">
        <v>1554</v>
      </c>
      <c r="Q331" s="22" t="s">
        <v>1555</v>
      </c>
      <c r="R331" s="22" t="s">
        <v>1012</v>
      </c>
      <c r="S331" s="22"/>
      <c r="T331" s="22"/>
      <c r="V331" s="26" t="s">
        <v>1936</v>
      </c>
      <c r="W331" s="6">
        <v>1</v>
      </c>
    </row>
    <row r="332" spans="1:23">
      <c r="A332" t="s">
        <v>2267</v>
      </c>
      <c r="B332" s="8">
        <v>45478</v>
      </c>
      <c r="C332" t="s">
        <v>804</v>
      </c>
      <c r="D332" t="s">
        <v>1567</v>
      </c>
      <c r="E332" t="s">
        <v>1893</v>
      </c>
      <c r="F332">
        <v>3</v>
      </c>
      <c r="G332" s="10">
        <v>268.89</v>
      </c>
      <c r="H332" s="13">
        <v>7.0000000000000007E-2</v>
      </c>
      <c r="I332" t="s">
        <v>1936</v>
      </c>
      <c r="J332" s="16">
        <v>750.20309999999995</v>
      </c>
      <c r="K332" s="19">
        <f t="shared" si="25"/>
        <v>1809960.0655000017</v>
      </c>
      <c r="L332" s="22">
        <f t="shared" si="26"/>
        <v>1083.8084224550907</v>
      </c>
      <c r="M332" s="22">
        <f t="shared" si="27"/>
        <v>582</v>
      </c>
      <c r="N332" s="22" t="str">
        <f t="shared" si="28"/>
        <v>Low Value</v>
      </c>
      <c r="O332" s="22" t="str">
        <f t="shared" si="29"/>
        <v>Jul-2024</v>
      </c>
      <c r="P332" s="22" t="s">
        <v>1568</v>
      </c>
      <c r="Q332" s="22" t="s">
        <v>1569</v>
      </c>
      <c r="R332" s="22" t="s">
        <v>805</v>
      </c>
      <c r="S332" s="22"/>
      <c r="T332" s="22"/>
      <c r="V332" s="26" t="s">
        <v>1931</v>
      </c>
      <c r="W332" s="6">
        <v>12</v>
      </c>
    </row>
    <row r="333" spans="1:23">
      <c r="A333" t="s">
        <v>2268</v>
      </c>
      <c r="B333" s="8">
        <v>45890</v>
      </c>
      <c r="C333" t="s">
        <v>821</v>
      </c>
      <c r="D333" t="s">
        <v>1758</v>
      </c>
      <c r="E333" t="s">
        <v>1893</v>
      </c>
      <c r="F333">
        <v>1</v>
      </c>
      <c r="G333" s="10">
        <v>78.5</v>
      </c>
      <c r="H333" s="13">
        <v>0.17</v>
      </c>
      <c r="I333" t="s">
        <v>1936</v>
      </c>
      <c r="J333" s="16">
        <v>65.155000000000001</v>
      </c>
      <c r="K333" s="19">
        <f t="shared" si="25"/>
        <v>1809209.8624000016</v>
      </c>
      <c r="L333" s="22">
        <f t="shared" si="26"/>
        <v>1084.0083058118644</v>
      </c>
      <c r="M333" s="22">
        <f t="shared" si="27"/>
        <v>582</v>
      </c>
      <c r="N333" s="22" t="str">
        <f t="shared" si="28"/>
        <v>Low Value</v>
      </c>
      <c r="O333" s="22" t="str">
        <f t="shared" si="29"/>
        <v>Aug-2025</v>
      </c>
      <c r="P333" s="22" t="s">
        <v>1759</v>
      </c>
      <c r="Q333" s="22" t="s">
        <v>1560</v>
      </c>
      <c r="R333" s="22" t="s">
        <v>822</v>
      </c>
      <c r="S333" s="22"/>
      <c r="T333" s="22"/>
      <c r="V333" s="26" t="s">
        <v>1933</v>
      </c>
      <c r="W333" s="6">
        <v>7</v>
      </c>
    </row>
    <row r="334" spans="1:23">
      <c r="A334" t="s">
        <v>2269</v>
      </c>
      <c r="B334" s="8">
        <v>45815</v>
      </c>
      <c r="C334" t="s">
        <v>453</v>
      </c>
      <c r="D334" t="s">
        <v>1658</v>
      </c>
      <c r="E334" t="s">
        <v>1876</v>
      </c>
      <c r="F334">
        <v>3</v>
      </c>
      <c r="G334" s="10">
        <v>399.42</v>
      </c>
      <c r="H334" s="13">
        <v>0.02</v>
      </c>
      <c r="I334" t="s">
        <v>1931</v>
      </c>
      <c r="J334" s="16">
        <v>1174.2947999999999</v>
      </c>
      <c r="K334" s="19">
        <f t="shared" si="25"/>
        <v>1809144.7074000016</v>
      </c>
      <c r="L334" s="22">
        <f t="shared" si="26"/>
        <v>1084.6191291366915</v>
      </c>
      <c r="M334" s="22">
        <f t="shared" si="27"/>
        <v>582</v>
      </c>
      <c r="N334" s="22" t="str">
        <f t="shared" si="28"/>
        <v>High Value</v>
      </c>
      <c r="O334" s="22" t="str">
        <f t="shared" si="29"/>
        <v>Jun-2025</v>
      </c>
      <c r="P334" s="22" t="s">
        <v>1659</v>
      </c>
      <c r="Q334" s="22" t="s">
        <v>1536</v>
      </c>
      <c r="R334" s="22" t="s">
        <v>454</v>
      </c>
      <c r="S334" s="22"/>
      <c r="T334" s="22"/>
      <c r="V334" s="25" t="s">
        <v>404</v>
      </c>
      <c r="W334" s="6">
        <v>7</v>
      </c>
    </row>
    <row r="335" spans="1:23">
      <c r="A335" t="s">
        <v>2270</v>
      </c>
      <c r="B335" s="8">
        <v>45891</v>
      </c>
      <c r="C335" t="s">
        <v>304</v>
      </c>
      <c r="D335" t="s">
        <v>1642</v>
      </c>
      <c r="E335" t="s">
        <v>1920</v>
      </c>
      <c r="F335">
        <v>3</v>
      </c>
      <c r="G335" s="10">
        <v>455.82</v>
      </c>
      <c r="H335" s="13">
        <v>0.01</v>
      </c>
      <c r="I335" t="s">
        <v>1933</v>
      </c>
      <c r="J335" s="16">
        <v>1353.7854</v>
      </c>
      <c r="K335" s="19">
        <f t="shared" si="25"/>
        <v>1807970.4126000013</v>
      </c>
      <c r="L335" s="22">
        <f t="shared" si="26"/>
        <v>1084.5653344931022</v>
      </c>
      <c r="M335" s="22">
        <f t="shared" si="27"/>
        <v>582</v>
      </c>
      <c r="N335" s="22" t="str">
        <f t="shared" si="28"/>
        <v>High Value</v>
      </c>
      <c r="O335" s="22" t="str">
        <f t="shared" si="29"/>
        <v>Aug-2025</v>
      </c>
      <c r="P335" s="22" t="s">
        <v>1643</v>
      </c>
      <c r="Q335" s="22" t="s">
        <v>1569</v>
      </c>
      <c r="R335" s="22" t="s">
        <v>305</v>
      </c>
      <c r="S335" s="22"/>
      <c r="T335" s="22"/>
      <c r="V335" s="26" t="s">
        <v>1936</v>
      </c>
      <c r="W335" s="6">
        <v>4</v>
      </c>
    </row>
    <row r="336" spans="1:23">
      <c r="A336" t="s">
        <v>2271</v>
      </c>
      <c r="B336" s="8">
        <v>45609</v>
      </c>
      <c r="C336" t="s">
        <v>1090</v>
      </c>
      <c r="D336" t="s">
        <v>1704</v>
      </c>
      <c r="E336" t="s">
        <v>1880</v>
      </c>
      <c r="F336">
        <v>2</v>
      </c>
      <c r="G336" s="10">
        <v>613.23</v>
      </c>
      <c r="H336" s="13">
        <v>0.15</v>
      </c>
      <c r="I336" t="s">
        <v>1933</v>
      </c>
      <c r="J336" s="16">
        <v>1042.491</v>
      </c>
      <c r="K336" s="19">
        <f t="shared" si="25"/>
        <v>1806616.6272000014</v>
      </c>
      <c r="L336" s="22">
        <f t="shared" si="26"/>
        <v>1084.403737815127</v>
      </c>
      <c r="M336" s="22">
        <f t="shared" si="27"/>
        <v>581</v>
      </c>
      <c r="N336" s="22" t="str">
        <f t="shared" si="28"/>
        <v>High Value</v>
      </c>
      <c r="O336" s="22" t="str">
        <f t="shared" si="29"/>
        <v>Nov-2024</v>
      </c>
      <c r="P336" s="22" t="s">
        <v>1705</v>
      </c>
      <c r="Q336" s="22" t="s">
        <v>1569</v>
      </c>
      <c r="R336" s="22" t="s">
        <v>1091</v>
      </c>
      <c r="S336" s="22"/>
      <c r="T336" s="22"/>
      <c r="V336" s="26" t="s">
        <v>1931</v>
      </c>
      <c r="W336" s="6">
        <v>3</v>
      </c>
    </row>
    <row r="337" spans="1:23">
      <c r="A337" t="s">
        <v>2272</v>
      </c>
      <c r="B337" s="8">
        <v>45309</v>
      </c>
      <c r="C337" t="s">
        <v>1405</v>
      </c>
      <c r="D337" t="s">
        <v>1539</v>
      </c>
      <c r="E337" t="s">
        <v>1906</v>
      </c>
      <c r="F337">
        <v>4</v>
      </c>
      <c r="G337" s="10">
        <v>971.9</v>
      </c>
      <c r="H337" s="13">
        <v>0.28000000000000003</v>
      </c>
      <c r="I337" t="s">
        <v>1933</v>
      </c>
      <c r="J337" s="16">
        <v>2799.0720000000001</v>
      </c>
      <c r="K337" s="19">
        <f t="shared" si="25"/>
        <v>1805574.1362000015</v>
      </c>
      <c r="L337" s="22">
        <f t="shared" si="26"/>
        <v>1084.4289106306314</v>
      </c>
      <c r="M337" s="22">
        <f t="shared" si="27"/>
        <v>580</v>
      </c>
      <c r="N337" s="22" t="str">
        <f t="shared" si="28"/>
        <v>High Value</v>
      </c>
      <c r="O337" s="22" t="str">
        <f t="shared" si="29"/>
        <v>Jan-2024</v>
      </c>
      <c r="P337" s="22" t="s">
        <v>1540</v>
      </c>
      <c r="Q337" s="22" t="s">
        <v>1536</v>
      </c>
      <c r="R337" s="22" t="s">
        <v>1406</v>
      </c>
      <c r="S337" s="22"/>
      <c r="T337" s="22"/>
      <c r="V337" s="25" t="s">
        <v>477</v>
      </c>
      <c r="W337" s="6">
        <v>9</v>
      </c>
    </row>
    <row r="338" spans="1:23">
      <c r="A338" t="s">
        <v>2273</v>
      </c>
      <c r="B338" s="8">
        <v>45519</v>
      </c>
      <c r="C338" t="s">
        <v>136</v>
      </c>
      <c r="D338" t="s">
        <v>1633</v>
      </c>
      <c r="E338" t="s">
        <v>1886</v>
      </c>
      <c r="F338">
        <v>3</v>
      </c>
      <c r="G338" s="10">
        <v>884.92</v>
      </c>
      <c r="H338" s="13">
        <v>0.06</v>
      </c>
      <c r="I338" t="s">
        <v>1933</v>
      </c>
      <c r="J338" s="16">
        <v>2495.4744000000001</v>
      </c>
      <c r="K338" s="19">
        <f t="shared" si="25"/>
        <v>1802775.0642000013</v>
      </c>
      <c r="L338" s="22">
        <f t="shared" si="26"/>
        <v>1083.3984760817316</v>
      </c>
      <c r="M338" s="22">
        <f t="shared" si="27"/>
        <v>579</v>
      </c>
      <c r="N338" s="22" t="str">
        <f t="shared" si="28"/>
        <v>High Value</v>
      </c>
      <c r="O338" s="22" t="str">
        <f t="shared" si="29"/>
        <v>Aug-2024</v>
      </c>
      <c r="P338" s="22" t="s">
        <v>1634</v>
      </c>
      <c r="Q338" s="22" t="s">
        <v>1569</v>
      </c>
      <c r="R338" s="22" t="s">
        <v>137</v>
      </c>
      <c r="S338" s="22"/>
      <c r="T338" s="22"/>
      <c r="V338" s="26" t="s">
        <v>1931</v>
      </c>
      <c r="W338" s="6">
        <v>3</v>
      </c>
    </row>
    <row r="339" spans="1:23">
      <c r="A339" t="s">
        <v>2274</v>
      </c>
      <c r="B339" s="8">
        <v>45921</v>
      </c>
      <c r="C339" t="s">
        <v>310</v>
      </c>
      <c r="D339" t="s">
        <v>1563</v>
      </c>
      <c r="E339" t="s">
        <v>1893</v>
      </c>
      <c r="F339">
        <v>1</v>
      </c>
      <c r="G339" s="10">
        <v>125</v>
      </c>
      <c r="H339" s="13">
        <v>0.23</v>
      </c>
      <c r="I339" t="s">
        <v>1931</v>
      </c>
      <c r="J339" s="16">
        <v>96.25</v>
      </c>
      <c r="K339" s="19">
        <f t="shared" si="25"/>
        <v>1800279.5898000011</v>
      </c>
      <c r="L339" s="22">
        <f t="shared" si="26"/>
        <v>1082.549362477451</v>
      </c>
      <c r="M339" s="22">
        <f t="shared" si="27"/>
        <v>578</v>
      </c>
      <c r="N339" s="22" t="str">
        <f t="shared" si="28"/>
        <v>Low Value</v>
      </c>
      <c r="O339" s="22" t="str">
        <f t="shared" si="29"/>
        <v>Sep-2025</v>
      </c>
      <c r="P339" s="22" t="s">
        <v>1564</v>
      </c>
      <c r="Q339" s="22" t="s">
        <v>1531</v>
      </c>
      <c r="R339" s="22" t="s">
        <v>3947</v>
      </c>
      <c r="S339" s="22"/>
      <c r="T339" s="22"/>
      <c r="V339" s="26" t="s">
        <v>1933</v>
      </c>
      <c r="W339" s="6">
        <v>6</v>
      </c>
    </row>
    <row r="340" spans="1:23">
      <c r="A340" t="s">
        <v>2275</v>
      </c>
      <c r="B340" s="8">
        <v>45465</v>
      </c>
      <c r="C340" t="s">
        <v>437</v>
      </c>
      <c r="D340" t="s">
        <v>1572</v>
      </c>
      <c r="E340" t="s">
        <v>1908</v>
      </c>
      <c r="F340">
        <v>2</v>
      </c>
      <c r="G340" s="10">
        <v>188.25</v>
      </c>
      <c r="H340" s="13">
        <v>0.08</v>
      </c>
      <c r="I340" t="s">
        <v>1933</v>
      </c>
      <c r="J340" s="16">
        <v>346.38</v>
      </c>
      <c r="K340" s="19">
        <f t="shared" si="25"/>
        <v>1800183.3398000011</v>
      </c>
      <c r="L340" s="22">
        <f t="shared" si="26"/>
        <v>1083.1428037304458</v>
      </c>
      <c r="M340" s="22">
        <f t="shared" si="27"/>
        <v>578</v>
      </c>
      <c r="N340" s="22" t="str">
        <f t="shared" si="28"/>
        <v>Low Value</v>
      </c>
      <c r="O340" s="22" t="str">
        <f t="shared" si="29"/>
        <v>Jun-2024</v>
      </c>
      <c r="P340" s="22" t="s">
        <v>1573</v>
      </c>
      <c r="Q340" s="22" t="s">
        <v>1560</v>
      </c>
      <c r="R340" s="22" t="s">
        <v>438</v>
      </c>
      <c r="S340" s="22"/>
      <c r="T340" s="22"/>
      <c r="V340" s="25" t="s">
        <v>840</v>
      </c>
      <c r="W340" s="6">
        <v>5</v>
      </c>
    </row>
    <row r="341" spans="1:23">
      <c r="A341" t="s">
        <v>2276</v>
      </c>
      <c r="B341" s="8">
        <v>45303</v>
      </c>
      <c r="C341" t="s">
        <v>719</v>
      </c>
      <c r="D341" t="s">
        <v>1690</v>
      </c>
      <c r="E341" t="s">
        <v>1883</v>
      </c>
      <c r="F341">
        <v>4</v>
      </c>
      <c r="G341" s="10">
        <v>344.12</v>
      </c>
      <c r="H341" s="13">
        <v>0.25</v>
      </c>
      <c r="I341" t="s">
        <v>1933</v>
      </c>
      <c r="J341" s="16">
        <v>1032.3599999999999</v>
      </c>
      <c r="K341" s="19">
        <f t="shared" si="25"/>
        <v>1799836.9598000012</v>
      </c>
      <c r="L341" s="22">
        <f t="shared" si="26"/>
        <v>1083.5863695364246</v>
      </c>
      <c r="M341" s="22">
        <f t="shared" si="27"/>
        <v>577</v>
      </c>
      <c r="N341" s="22" t="str">
        <f t="shared" si="28"/>
        <v>High Value</v>
      </c>
      <c r="O341" s="22" t="str">
        <f t="shared" si="29"/>
        <v>Jan-2024</v>
      </c>
      <c r="P341" s="22" t="s">
        <v>1691</v>
      </c>
      <c r="Q341" s="22" t="s">
        <v>1536</v>
      </c>
      <c r="R341" s="22" t="s">
        <v>720</v>
      </c>
      <c r="S341" s="22"/>
      <c r="T341" s="22"/>
      <c r="V341" s="26" t="s">
        <v>1936</v>
      </c>
      <c r="W341" s="6">
        <v>1</v>
      </c>
    </row>
    <row r="342" spans="1:23">
      <c r="A342" t="s">
        <v>2277</v>
      </c>
      <c r="B342" s="8">
        <v>45218</v>
      </c>
      <c r="C342" t="s">
        <v>178</v>
      </c>
      <c r="D342" t="s">
        <v>1597</v>
      </c>
      <c r="E342" t="s">
        <v>1920</v>
      </c>
      <c r="F342">
        <v>3</v>
      </c>
      <c r="G342" s="10">
        <v>997.95</v>
      </c>
      <c r="H342" s="13">
        <v>0.09</v>
      </c>
      <c r="I342" t="s">
        <v>1936</v>
      </c>
      <c r="J342" s="16">
        <v>2724.4034999999999</v>
      </c>
      <c r="K342" s="19">
        <f t="shared" si="25"/>
        <v>1798804.5998000014</v>
      </c>
      <c r="L342" s="22">
        <f t="shared" si="26"/>
        <v>1083.6172287951815</v>
      </c>
      <c r="M342" s="22">
        <f t="shared" si="27"/>
        <v>576</v>
      </c>
      <c r="N342" s="22" t="str">
        <f t="shared" si="28"/>
        <v>High Value</v>
      </c>
      <c r="O342" s="22" t="str">
        <f t="shared" si="29"/>
        <v>Oct-2023</v>
      </c>
      <c r="P342" s="22" t="s">
        <v>1598</v>
      </c>
      <c r="Q342" s="22" t="s">
        <v>1569</v>
      </c>
      <c r="R342" s="22" t="s">
        <v>179</v>
      </c>
      <c r="S342" s="22"/>
      <c r="T342" s="22"/>
      <c r="V342" s="26" t="s">
        <v>1933</v>
      </c>
      <c r="W342" s="6">
        <v>4</v>
      </c>
    </row>
    <row r="343" spans="1:23">
      <c r="A343" t="s">
        <v>2278</v>
      </c>
      <c r="B343" s="8">
        <v>45727</v>
      </c>
      <c r="C343" t="s">
        <v>503</v>
      </c>
      <c r="D343" t="s">
        <v>1576</v>
      </c>
      <c r="E343" t="s">
        <v>1908</v>
      </c>
      <c r="F343">
        <v>3</v>
      </c>
      <c r="G343" s="10">
        <v>121.64</v>
      </c>
      <c r="H343" s="13">
        <v>7.0000000000000007E-2</v>
      </c>
      <c r="I343" t="s">
        <v>1933</v>
      </c>
      <c r="J343" s="16">
        <v>339.37560000000002</v>
      </c>
      <c r="K343" s="19">
        <f t="shared" si="25"/>
        <v>1796080.1963000013</v>
      </c>
      <c r="L343" s="22">
        <f t="shared" si="26"/>
        <v>1082.6282075346603</v>
      </c>
      <c r="M343" s="22">
        <f t="shared" si="27"/>
        <v>576</v>
      </c>
      <c r="N343" s="22" t="str">
        <f t="shared" si="28"/>
        <v>Low Value</v>
      </c>
      <c r="O343" s="22" t="str">
        <f t="shared" si="29"/>
        <v>Mar-2025</v>
      </c>
      <c r="P343" s="22" t="s">
        <v>1577</v>
      </c>
      <c r="Q343" s="22" t="s">
        <v>1531</v>
      </c>
      <c r="R343" s="22" t="s">
        <v>504</v>
      </c>
      <c r="S343" s="22"/>
      <c r="T343" s="22"/>
      <c r="V343" s="25" t="s">
        <v>933</v>
      </c>
      <c r="W343" s="6">
        <v>4</v>
      </c>
    </row>
    <row r="344" spans="1:23">
      <c r="A344" t="s">
        <v>2279</v>
      </c>
      <c r="B344" s="8">
        <v>45557</v>
      </c>
      <c r="C344" t="s">
        <v>716</v>
      </c>
      <c r="D344" t="s">
        <v>1758</v>
      </c>
      <c r="E344" t="s">
        <v>1896</v>
      </c>
      <c r="F344">
        <v>2</v>
      </c>
      <c r="G344" s="10">
        <v>692.72</v>
      </c>
      <c r="H344" s="13">
        <v>0.13</v>
      </c>
      <c r="I344" t="s">
        <v>1933</v>
      </c>
      <c r="J344" s="16">
        <v>1205.3327999999999</v>
      </c>
      <c r="K344" s="19">
        <f t="shared" si="25"/>
        <v>1795740.8207000012</v>
      </c>
      <c r="L344" s="22">
        <f t="shared" si="26"/>
        <v>1083.076490168879</v>
      </c>
      <c r="M344" s="22">
        <f t="shared" si="27"/>
        <v>575</v>
      </c>
      <c r="N344" s="22" t="str">
        <f t="shared" si="28"/>
        <v>High Value</v>
      </c>
      <c r="O344" s="22" t="str">
        <f t="shared" si="29"/>
        <v>Sep-2024</v>
      </c>
      <c r="P344" s="22" t="s">
        <v>1759</v>
      </c>
      <c r="Q344" s="22" t="s">
        <v>1560</v>
      </c>
      <c r="R344" s="22" t="s">
        <v>717</v>
      </c>
      <c r="S344" s="22"/>
      <c r="T344" s="22"/>
      <c r="V344" s="26" t="s">
        <v>1936</v>
      </c>
      <c r="W344" s="6">
        <v>4</v>
      </c>
    </row>
    <row r="345" spans="1:23">
      <c r="A345" t="s">
        <v>2280</v>
      </c>
      <c r="B345" s="8">
        <v>45623</v>
      </c>
      <c r="C345" t="s">
        <v>114</v>
      </c>
      <c r="D345" t="s">
        <v>1620</v>
      </c>
      <c r="E345" t="s">
        <v>1920</v>
      </c>
      <c r="F345">
        <v>3</v>
      </c>
      <c r="G345" s="10">
        <v>794.59</v>
      </c>
      <c r="H345" s="13">
        <v>0.03</v>
      </c>
      <c r="I345" t="s">
        <v>1933</v>
      </c>
      <c r="J345" s="16">
        <v>2312.2568999999999</v>
      </c>
      <c r="K345" s="19">
        <f t="shared" si="25"/>
        <v>1794535.4879000015</v>
      </c>
      <c r="L345" s="22">
        <f t="shared" si="26"/>
        <v>1083.002708449005</v>
      </c>
      <c r="M345" s="22">
        <f t="shared" si="27"/>
        <v>574</v>
      </c>
      <c r="N345" s="22" t="str">
        <f t="shared" si="28"/>
        <v>High Value</v>
      </c>
      <c r="O345" s="22" t="str">
        <f t="shared" si="29"/>
        <v>Nov-2024</v>
      </c>
      <c r="P345" s="22" t="s">
        <v>1621</v>
      </c>
      <c r="Q345" s="22" t="s">
        <v>1569</v>
      </c>
      <c r="R345" s="22" t="s">
        <v>115</v>
      </c>
      <c r="S345" s="22"/>
      <c r="T345" s="22"/>
      <c r="V345" s="25" t="s">
        <v>519</v>
      </c>
      <c r="W345" s="6">
        <v>10</v>
      </c>
    </row>
    <row r="346" spans="1:23">
      <c r="A346" t="s">
        <v>2281</v>
      </c>
      <c r="B346" s="8">
        <v>45224</v>
      </c>
      <c r="C346" t="s">
        <v>67</v>
      </c>
      <c r="D346" t="s">
        <v>1627</v>
      </c>
      <c r="E346" t="s">
        <v>1893</v>
      </c>
      <c r="F346">
        <v>1</v>
      </c>
      <c r="G346" s="10">
        <v>907.95</v>
      </c>
      <c r="H346" s="13">
        <v>0.1</v>
      </c>
      <c r="I346" t="s">
        <v>1933</v>
      </c>
      <c r="J346" s="16">
        <v>817.15500000000009</v>
      </c>
      <c r="K346" s="19">
        <f t="shared" si="25"/>
        <v>1792223.2310000013</v>
      </c>
      <c r="L346" s="22">
        <f t="shared" si="26"/>
        <v>1082.2604051932376</v>
      </c>
      <c r="M346" s="22">
        <f t="shared" si="27"/>
        <v>573</v>
      </c>
      <c r="N346" s="22" t="str">
        <f t="shared" si="28"/>
        <v>Low Value</v>
      </c>
      <c r="O346" s="22" t="str">
        <f t="shared" si="29"/>
        <v>Oct-2023</v>
      </c>
      <c r="P346" s="22" t="s">
        <v>1628</v>
      </c>
      <c r="Q346" s="22" t="s">
        <v>1531</v>
      </c>
      <c r="R346" s="22" t="s">
        <v>68</v>
      </c>
      <c r="S346" s="22"/>
      <c r="T346" s="22"/>
      <c r="V346" s="26" t="s">
        <v>1933</v>
      </c>
      <c r="W346" s="6">
        <v>10</v>
      </c>
    </row>
    <row r="347" spans="1:23">
      <c r="A347" t="s">
        <v>2282</v>
      </c>
      <c r="B347" s="8">
        <v>45940</v>
      </c>
      <c r="C347" t="s">
        <v>910</v>
      </c>
      <c r="D347" t="s">
        <v>1704</v>
      </c>
      <c r="E347" t="s">
        <v>1859</v>
      </c>
      <c r="F347">
        <v>2</v>
      </c>
      <c r="G347" s="10">
        <v>660.81</v>
      </c>
      <c r="H347" s="13">
        <v>0.18</v>
      </c>
      <c r="I347" t="s">
        <v>1931</v>
      </c>
      <c r="J347" s="16">
        <v>1083.7284</v>
      </c>
      <c r="K347" s="19">
        <f t="shared" si="25"/>
        <v>1791406.0760000015</v>
      </c>
      <c r="L347" s="22">
        <f t="shared" si="26"/>
        <v>1082.4205897280976</v>
      </c>
      <c r="M347" s="22">
        <f t="shared" si="27"/>
        <v>572</v>
      </c>
      <c r="N347" s="22" t="str">
        <f t="shared" si="28"/>
        <v>High Value</v>
      </c>
      <c r="O347" s="22" t="str">
        <f t="shared" si="29"/>
        <v>Oct-2025</v>
      </c>
      <c r="P347" s="22" t="s">
        <v>1705</v>
      </c>
      <c r="Q347" s="22" t="s">
        <v>1569</v>
      </c>
      <c r="R347" s="22" t="s">
        <v>911</v>
      </c>
      <c r="S347" s="22"/>
      <c r="T347" s="22"/>
      <c r="V347" s="25" t="s">
        <v>584</v>
      </c>
      <c r="W347" s="6">
        <v>13</v>
      </c>
    </row>
    <row r="348" spans="1:23">
      <c r="A348" t="s">
        <v>2283</v>
      </c>
      <c r="B348" s="8">
        <v>45915</v>
      </c>
      <c r="C348" t="s">
        <v>224</v>
      </c>
      <c r="D348" t="s">
        <v>1707</v>
      </c>
      <c r="E348" t="s">
        <v>1889</v>
      </c>
      <c r="F348">
        <v>3</v>
      </c>
      <c r="G348" s="10">
        <v>564.94000000000005</v>
      </c>
      <c r="H348" s="13">
        <v>0.22</v>
      </c>
      <c r="I348" t="s">
        <v>1936</v>
      </c>
      <c r="J348" s="16">
        <v>1321.9595999999999</v>
      </c>
      <c r="K348" s="19">
        <f t="shared" si="25"/>
        <v>1790322.3476000014</v>
      </c>
      <c r="L348" s="22">
        <f t="shared" si="26"/>
        <v>1082.4197990326491</v>
      </c>
      <c r="M348" s="22">
        <f t="shared" si="27"/>
        <v>572</v>
      </c>
      <c r="N348" s="22" t="str">
        <f t="shared" si="28"/>
        <v>High Value</v>
      </c>
      <c r="O348" s="22" t="str">
        <f t="shared" si="29"/>
        <v>Sep-2025</v>
      </c>
      <c r="P348" s="22" t="s">
        <v>1708</v>
      </c>
      <c r="Q348" s="22" t="s">
        <v>1531</v>
      </c>
      <c r="R348" s="22" t="s">
        <v>225</v>
      </c>
      <c r="S348" s="22"/>
      <c r="T348" s="22"/>
      <c r="V348" s="26" t="s">
        <v>1931</v>
      </c>
      <c r="W348" s="6">
        <v>9</v>
      </c>
    </row>
    <row r="349" spans="1:23">
      <c r="A349" t="s">
        <v>2284</v>
      </c>
      <c r="B349" s="8">
        <v>45541</v>
      </c>
      <c r="C349" t="s">
        <v>202</v>
      </c>
      <c r="D349" t="s">
        <v>1590</v>
      </c>
      <c r="E349" t="s">
        <v>1908</v>
      </c>
      <c r="F349">
        <v>2</v>
      </c>
      <c r="G349" s="10">
        <v>280.37</v>
      </c>
      <c r="H349" s="13">
        <v>0.22</v>
      </c>
      <c r="I349" t="s">
        <v>1936</v>
      </c>
      <c r="J349" s="16">
        <v>437.37720000000002</v>
      </c>
      <c r="K349" s="19">
        <f t="shared" si="25"/>
        <v>1789000.3880000012</v>
      </c>
      <c r="L349" s="22">
        <f t="shared" si="26"/>
        <v>1082.274886872354</v>
      </c>
      <c r="M349" s="22">
        <f t="shared" si="27"/>
        <v>572</v>
      </c>
      <c r="N349" s="22" t="str">
        <f t="shared" si="28"/>
        <v>Low Value</v>
      </c>
      <c r="O349" s="22" t="str">
        <f t="shared" si="29"/>
        <v>Sep-2024</v>
      </c>
      <c r="P349" s="22" t="s">
        <v>1591</v>
      </c>
      <c r="Q349" s="22" t="s">
        <v>1531</v>
      </c>
      <c r="R349" s="22" t="s">
        <v>203</v>
      </c>
      <c r="S349" s="22"/>
      <c r="T349" s="22"/>
      <c r="V349" s="26" t="s">
        <v>1933</v>
      </c>
      <c r="W349" s="6">
        <v>4</v>
      </c>
    </row>
    <row r="350" spans="1:23">
      <c r="A350" t="s">
        <v>2285</v>
      </c>
      <c r="B350" s="8">
        <v>45489</v>
      </c>
      <c r="C350" t="s">
        <v>1157</v>
      </c>
      <c r="D350" t="s">
        <v>1704</v>
      </c>
      <c r="E350" t="s">
        <v>1873</v>
      </c>
      <c r="F350">
        <v>2</v>
      </c>
      <c r="G350" s="10">
        <v>85.23</v>
      </c>
      <c r="H350" s="13">
        <v>0.13</v>
      </c>
      <c r="I350" t="s">
        <v>1931</v>
      </c>
      <c r="J350" s="16">
        <v>148.30019999999999</v>
      </c>
      <c r="K350" s="19">
        <f t="shared" si="25"/>
        <v>1788563.0108000012</v>
      </c>
      <c r="L350" s="22">
        <f t="shared" si="26"/>
        <v>1082.6652607748192</v>
      </c>
      <c r="M350" s="22">
        <f t="shared" si="27"/>
        <v>572</v>
      </c>
      <c r="N350" s="22" t="str">
        <f t="shared" si="28"/>
        <v>Low Value</v>
      </c>
      <c r="O350" s="22" t="str">
        <f t="shared" si="29"/>
        <v>Jul-2024</v>
      </c>
      <c r="P350" s="22" t="s">
        <v>1705</v>
      </c>
      <c r="Q350" s="22" t="s">
        <v>1569</v>
      </c>
      <c r="R350" s="22" t="s">
        <v>1158</v>
      </c>
      <c r="S350" s="22"/>
      <c r="T350" s="22"/>
      <c r="V350" s="25" t="s">
        <v>1209</v>
      </c>
      <c r="W350" s="6">
        <v>5</v>
      </c>
    </row>
    <row r="351" spans="1:23">
      <c r="A351" t="s">
        <v>2286</v>
      </c>
      <c r="B351" s="8">
        <v>45748</v>
      </c>
      <c r="C351" t="s">
        <v>981</v>
      </c>
      <c r="D351" t="s">
        <v>1630</v>
      </c>
      <c r="E351" t="s">
        <v>1904</v>
      </c>
      <c r="F351">
        <v>2</v>
      </c>
      <c r="G351" s="10">
        <v>563.29999999999995</v>
      </c>
      <c r="H351" s="13">
        <v>0.26</v>
      </c>
      <c r="I351" t="s">
        <v>1931</v>
      </c>
      <c r="J351" s="16">
        <v>833.68399999999997</v>
      </c>
      <c r="K351" s="19">
        <f t="shared" si="25"/>
        <v>1788414.710600001</v>
      </c>
      <c r="L351" s="22">
        <f t="shared" si="26"/>
        <v>1083.2311996365845</v>
      </c>
      <c r="M351" s="22">
        <f t="shared" si="27"/>
        <v>572</v>
      </c>
      <c r="N351" s="22" t="str">
        <f t="shared" si="28"/>
        <v>Low Value</v>
      </c>
      <c r="O351" s="22" t="str">
        <f t="shared" si="29"/>
        <v>Apr-2025</v>
      </c>
      <c r="P351" s="22" t="s">
        <v>1631</v>
      </c>
      <c r="Q351" s="22" t="s">
        <v>1560</v>
      </c>
      <c r="R351" s="22" t="s">
        <v>982</v>
      </c>
      <c r="S351" s="22"/>
      <c r="T351" s="22"/>
      <c r="V351" s="26" t="s">
        <v>1936</v>
      </c>
      <c r="W351" s="6">
        <v>1</v>
      </c>
    </row>
    <row r="352" spans="1:23">
      <c r="A352" t="s">
        <v>2287</v>
      </c>
      <c r="B352" s="8">
        <v>45309</v>
      </c>
      <c r="C352" t="s">
        <v>134</v>
      </c>
      <c r="D352" t="s">
        <v>1795</v>
      </c>
      <c r="E352" t="s">
        <v>1917</v>
      </c>
      <c r="F352">
        <v>2</v>
      </c>
      <c r="G352" s="10">
        <v>827.81</v>
      </c>
      <c r="H352" s="13">
        <v>0.04</v>
      </c>
      <c r="I352" t="s">
        <v>1933</v>
      </c>
      <c r="J352" s="16">
        <v>1589.3951999999999</v>
      </c>
      <c r="K352" s="19">
        <f t="shared" si="25"/>
        <v>1787581.0266000011</v>
      </c>
      <c r="L352" s="22">
        <f t="shared" si="26"/>
        <v>1083.382440363637</v>
      </c>
      <c r="M352" s="22">
        <f t="shared" si="27"/>
        <v>572</v>
      </c>
      <c r="N352" s="22" t="str">
        <f t="shared" si="28"/>
        <v>High Value</v>
      </c>
      <c r="O352" s="22" t="str">
        <f t="shared" si="29"/>
        <v>Jan-2024</v>
      </c>
      <c r="P352" s="22" t="s">
        <v>1796</v>
      </c>
      <c r="Q352" s="22" t="s">
        <v>1560</v>
      </c>
      <c r="R352" s="22" t="s">
        <v>3943</v>
      </c>
      <c r="S352" s="22"/>
      <c r="T352" s="22"/>
      <c r="V352" s="26" t="s">
        <v>1931</v>
      </c>
      <c r="W352" s="6">
        <v>1</v>
      </c>
    </row>
    <row r="353" spans="1:23">
      <c r="A353" t="s">
        <v>2288</v>
      </c>
      <c r="B353" s="8">
        <v>45621</v>
      </c>
      <c r="C353" t="s">
        <v>694</v>
      </c>
      <c r="D353" t="s">
        <v>1579</v>
      </c>
      <c r="E353" t="s">
        <v>1917</v>
      </c>
      <c r="F353">
        <v>3</v>
      </c>
      <c r="G353" s="10">
        <v>877.71</v>
      </c>
      <c r="H353" s="13">
        <v>0.12</v>
      </c>
      <c r="I353" t="s">
        <v>1933</v>
      </c>
      <c r="J353" s="16">
        <v>2317.1543999999999</v>
      </c>
      <c r="K353" s="19">
        <f t="shared" si="25"/>
        <v>1785991.631400001</v>
      </c>
      <c r="L353" s="22">
        <f t="shared" si="26"/>
        <v>1083.0755799878721</v>
      </c>
      <c r="M353" s="22">
        <f t="shared" si="27"/>
        <v>571</v>
      </c>
      <c r="N353" s="22" t="str">
        <f t="shared" si="28"/>
        <v>High Value</v>
      </c>
      <c r="O353" s="22" t="str">
        <f t="shared" si="29"/>
        <v>Nov-2024</v>
      </c>
      <c r="P353" s="22" t="s">
        <v>1580</v>
      </c>
      <c r="Q353" s="22" t="s">
        <v>1555</v>
      </c>
      <c r="R353" s="22" t="s">
        <v>695</v>
      </c>
      <c r="S353" s="22"/>
      <c r="T353" s="22"/>
      <c r="V353" s="26" t="s">
        <v>1933</v>
      </c>
      <c r="W353" s="6">
        <v>3</v>
      </c>
    </row>
    <row r="354" spans="1:23">
      <c r="A354" t="s">
        <v>2289</v>
      </c>
      <c r="B354" s="8">
        <v>45603</v>
      </c>
      <c r="C354" t="s">
        <v>821</v>
      </c>
      <c r="D354" t="s">
        <v>1725</v>
      </c>
      <c r="E354" t="s">
        <v>1893</v>
      </c>
      <c r="F354">
        <v>4</v>
      </c>
      <c r="G354" s="10">
        <v>488.56</v>
      </c>
      <c r="H354" s="13">
        <v>0.26</v>
      </c>
      <c r="I354" t="s">
        <v>1936</v>
      </c>
      <c r="J354" s="16">
        <v>1446.1376</v>
      </c>
      <c r="K354" s="19">
        <f t="shared" si="25"/>
        <v>1783674.4770000011</v>
      </c>
      <c r="L354" s="22">
        <f t="shared" si="26"/>
        <v>1082.3267457524278</v>
      </c>
      <c r="M354" s="22">
        <f t="shared" si="27"/>
        <v>570</v>
      </c>
      <c r="N354" s="22" t="str">
        <f t="shared" si="28"/>
        <v>High Value</v>
      </c>
      <c r="O354" s="22" t="str">
        <f t="shared" si="29"/>
        <v>Nov-2024</v>
      </c>
      <c r="P354" s="22" t="s">
        <v>1726</v>
      </c>
      <c r="Q354" s="22" t="s">
        <v>1569</v>
      </c>
      <c r="R354" s="22" t="s">
        <v>822</v>
      </c>
      <c r="S354" s="22"/>
      <c r="T354" s="22"/>
      <c r="V354" s="25" t="s">
        <v>537</v>
      </c>
      <c r="W354" s="6">
        <v>18</v>
      </c>
    </row>
    <row r="355" spans="1:23">
      <c r="A355" t="s">
        <v>2290</v>
      </c>
      <c r="B355" s="8">
        <v>45501</v>
      </c>
      <c r="C355" t="s">
        <v>364</v>
      </c>
      <c r="D355" t="s">
        <v>1624</v>
      </c>
      <c r="E355" t="s">
        <v>1901</v>
      </c>
      <c r="F355">
        <v>4</v>
      </c>
      <c r="G355" s="10">
        <v>175.91</v>
      </c>
      <c r="H355" s="13">
        <v>0.13</v>
      </c>
      <c r="I355" t="s">
        <v>1933</v>
      </c>
      <c r="J355" s="16">
        <v>612.16679999999997</v>
      </c>
      <c r="K355" s="19">
        <f t="shared" si="25"/>
        <v>1782228.3394000011</v>
      </c>
      <c r="L355" s="22">
        <f t="shared" si="26"/>
        <v>1082.1058527018829</v>
      </c>
      <c r="M355" s="22">
        <f t="shared" si="27"/>
        <v>570</v>
      </c>
      <c r="N355" s="22" t="str">
        <f t="shared" si="28"/>
        <v>Low Value</v>
      </c>
      <c r="O355" s="22" t="str">
        <f t="shared" si="29"/>
        <v>Jul-2024</v>
      </c>
      <c r="P355" s="22" t="s">
        <v>1625</v>
      </c>
      <c r="Q355" s="22" t="s">
        <v>1536</v>
      </c>
      <c r="R355" s="22" t="s">
        <v>365</v>
      </c>
      <c r="S355" s="22"/>
      <c r="T355" s="22"/>
      <c r="V355" s="26" t="s">
        <v>1936</v>
      </c>
      <c r="W355" s="6">
        <v>2</v>
      </c>
    </row>
    <row r="356" spans="1:23">
      <c r="A356" t="s">
        <v>2291</v>
      </c>
      <c r="B356" s="8">
        <v>45398</v>
      </c>
      <c r="C356" t="s">
        <v>795</v>
      </c>
      <c r="D356" t="s">
        <v>1816</v>
      </c>
      <c r="E356" t="s">
        <v>1889</v>
      </c>
      <c r="F356">
        <v>4</v>
      </c>
      <c r="G356" s="10">
        <v>289.66000000000003</v>
      </c>
      <c r="H356" s="13">
        <v>0.25</v>
      </c>
      <c r="I356" t="s">
        <v>1936</v>
      </c>
      <c r="J356" s="16">
        <v>868.98</v>
      </c>
      <c r="K356" s="19">
        <f t="shared" si="25"/>
        <v>1781616.1726000011</v>
      </c>
      <c r="L356" s="22">
        <f t="shared" si="26"/>
        <v>1082.3913563791016</v>
      </c>
      <c r="M356" s="22">
        <f t="shared" si="27"/>
        <v>569</v>
      </c>
      <c r="N356" s="22" t="str">
        <f t="shared" si="28"/>
        <v>Low Value</v>
      </c>
      <c r="O356" s="22" t="str">
        <f t="shared" si="29"/>
        <v>Apr-2024</v>
      </c>
      <c r="P356" s="22" t="s">
        <v>1817</v>
      </c>
      <c r="Q356" s="22" t="s">
        <v>1560</v>
      </c>
      <c r="R356" s="22" t="s">
        <v>796</v>
      </c>
      <c r="S356" s="22"/>
      <c r="T356" s="22"/>
      <c r="V356" s="26" t="s">
        <v>1931</v>
      </c>
      <c r="W356" s="6">
        <v>3</v>
      </c>
    </row>
    <row r="357" spans="1:23">
      <c r="A357" t="s">
        <v>2292</v>
      </c>
      <c r="B357" s="8">
        <v>45304</v>
      </c>
      <c r="C357" t="s">
        <v>774</v>
      </c>
      <c r="D357" t="s">
        <v>1590</v>
      </c>
      <c r="E357" t="s">
        <v>1908</v>
      </c>
      <c r="F357">
        <v>2</v>
      </c>
      <c r="G357" s="10">
        <v>899.27</v>
      </c>
      <c r="H357" s="13">
        <v>0.17</v>
      </c>
      <c r="I357" t="s">
        <v>1931</v>
      </c>
      <c r="J357" s="16">
        <v>1492.7882</v>
      </c>
      <c r="K357" s="19">
        <f t="shared" si="25"/>
        <v>1780747.1926000011</v>
      </c>
      <c r="L357" s="22">
        <f t="shared" si="26"/>
        <v>1082.5210897264444</v>
      </c>
      <c r="M357" s="22">
        <f t="shared" si="27"/>
        <v>569</v>
      </c>
      <c r="N357" s="22" t="str">
        <f t="shared" si="28"/>
        <v>High Value</v>
      </c>
      <c r="O357" s="22" t="str">
        <f t="shared" si="29"/>
        <v>Jan-2024</v>
      </c>
      <c r="P357" s="22" t="s">
        <v>1591</v>
      </c>
      <c r="Q357" s="22" t="s">
        <v>1531</v>
      </c>
      <c r="R357" s="22" t="s">
        <v>775</v>
      </c>
      <c r="S357" s="22"/>
      <c r="T357" s="22"/>
      <c r="V357" s="26" t="s">
        <v>1933</v>
      </c>
      <c r="W357" s="6">
        <v>13</v>
      </c>
    </row>
    <row r="358" spans="1:23">
      <c r="A358" t="s">
        <v>2293</v>
      </c>
      <c r="B358" s="8">
        <v>45299</v>
      </c>
      <c r="C358" t="s">
        <v>238</v>
      </c>
      <c r="D358" t="s">
        <v>1600</v>
      </c>
      <c r="E358" t="s">
        <v>1864</v>
      </c>
      <c r="F358">
        <v>1</v>
      </c>
      <c r="G358" s="10">
        <v>691.38</v>
      </c>
      <c r="H358" s="13">
        <v>0.11</v>
      </c>
      <c r="I358" t="s">
        <v>1936</v>
      </c>
      <c r="J358" s="16">
        <v>615.32820000000004</v>
      </c>
      <c r="K358" s="19">
        <f t="shared" si="25"/>
        <v>1779254.4044000013</v>
      </c>
      <c r="L358" s="22">
        <f t="shared" si="26"/>
        <v>1082.2715355231151</v>
      </c>
      <c r="M358" s="22">
        <f t="shared" si="27"/>
        <v>569</v>
      </c>
      <c r="N358" s="22" t="str">
        <f t="shared" si="28"/>
        <v>Low Value</v>
      </c>
      <c r="O358" s="22" t="str">
        <f t="shared" si="29"/>
        <v>Jan-2024</v>
      </c>
      <c r="P358" s="22" t="s">
        <v>1601</v>
      </c>
      <c r="Q358" s="22" t="s">
        <v>1536</v>
      </c>
      <c r="R358" s="22" t="s">
        <v>239</v>
      </c>
      <c r="S358" s="22"/>
      <c r="T358" s="22"/>
      <c r="V358" s="25" t="s">
        <v>1428</v>
      </c>
      <c r="W358" s="6">
        <v>21</v>
      </c>
    </row>
    <row r="359" spans="1:23">
      <c r="A359" t="s">
        <v>2294</v>
      </c>
      <c r="B359" s="8">
        <v>45564</v>
      </c>
      <c r="C359" t="s">
        <v>548</v>
      </c>
      <c r="D359" t="s">
        <v>1630</v>
      </c>
      <c r="E359" t="s">
        <v>1859</v>
      </c>
      <c r="F359">
        <v>3</v>
      </c>
      <c r="G359" s="10">
        <v>158.72</v>
      </c>
      <c r="H359" s="13">
        <v>0.13</v>
      </c>
      <c r="I359" t="s">
        <v>1931</v>
      </c>
      <c r="J359" s="16">
        <v>414.25920000000002</v>
      </c>
      <c r="K359" s="19">
        <f t="shared" si="25"/>
        <v>1778639.0762000012</v>
      </c>
      <c r="L359" s="22">
        <f t="shared" si="26"/>
        <v>1082.5557371880714</v>
      </c>
      <c r="M359" s="22">
        <f t="shared" si="27"/>
        <v>569</v>
      </c>
      <c r="N359" s="22" t="str">
        <f t="shared" si="28"/>
        <v>Low Value</v>
      </c>
      <c r="O359" s="22" t="str">
        <f t="shared" si="29"/>
        <v>Sep-2024</v>
      </c>
      <c r="P359" s="22" t="s">
        <v>1631</v>
      </c>
      <c r="Q359" s="22" t="s">
        <v>1560</v>
      </c>
      <c r="R359" s="22" t="s">
        <v>549</v>
      </c>
      <c r="S359" s="22"/>
      <c r="T359" s="22"/>
      <c r="V359" s="26" t="s">
        <v>1936</v>
      </c>
      <c r="W359" s="6">
        <v>10</v>
      </c>
    </row>
    <row r="360" spans="1:23">
      <c r="A360" t="s">
        <v>2295</v>
      </c>
      <c r="B360" s="8">
        <v>45413</v>
      </c>
      <c r="C360" t="s">
        <v>682</v>
      </c>
      <c r="D360" t="s">
        <v>1734</v>
      </c>
      <c r="E360" t="s">
        <v>1911</v>
      </c>
      <c r="F360">
        <v>4</v>
      </c>
      <c r="G360" s="10">
        <v>537.15</v>
      </c>
      <c r="H360" s="13">
        <v>0.06</v>
      </c>
      <c r="I360" t="s">
        <v>1936</v>
      </c>
      <c r="J360" s="16">
        <v>2019.684</v>
      </c>
      <c r="K360" s="19">
        <f t="shared" si="25"/>
        <v>1778224.8170000012</v>
      </c>
      <c r="L360" s="22">
        <f t="shared" si="26"/>
        <v>1082.9627387332528</v>
      </c>
      <c r="M360" s="22">
        <f t="shared" si="27"/>
        <v>569</v>
      </c>
      <c r="N360" s="22" t="str">
        <f t="shared" si="28"/>
        <v>High Value</v>
      </c>
      <c r="O360" s="22" t="str">
        <f t="shared" si="29"/>
        <v>May-2024</v>
      </c>
      <c r="P360" s="22" t="s">
        <v>1735</v>
      </c>
      <c r="Q360" s="22" t="s">
        <v>1555</v>
      </c>
      <c r="R360" s="22" t="s">
        <v>683</v>
      </c>
      <c r="S360" s="22"/>
      <c r="T360" s="22"/>
      <c r="V360" s="26" t="s">
        <v>1931</v>
      </c>
      <c r="W360" s="6">
        <v>4</v>
      </c>
    </row>
    <row r="361" spans="1:23">
      <c r="A361" t="s">
        <v>2296</v>
      </c>
      <c r="B361" s="8">
        <v>45480</v>
      </c>
      <c r="C361" t="s">
        <v>1288</v>
      </c>
      <c r="D361" t="s">
        <v>1675</v>
      </c>
      <c r="E361" t="s">
        <v>1893</v>
      </c>
      <c r="F361">
        <v>3</v>
      </c>
      <c r="G361" s="10">
        <v>771.7</v>
      </c>
      <c r="H361" s="13">
        <v>0.05</v>
      </c>
      <c r="I361" t="s">
        <v>1936</v>
      </c>
      <c r="J361" s="16">
        <v>2199.3449999999998</v>
      </c>
      <c r="K361" s="19">
        <f t="shared" si="25"/>
        <v>1776205.1330000015</v>
      </c>
      <c r="L361" s="22">
        <f t="shared" si="26"/>
        <v>1082.3919152955525</v>
      </c>
      <c r="M361" s="22">
        <f t="shared" si="27"/>
        <v>569</v>
      </c>
      <c r="N361" s="22" t="str">
        <f t="shared" si="28"/>
        <v>High Value</v>
      </c>
      <c r="O361" s="22" t="str">
        <f t="shared" si="29"/>
        <v>Jul-2024</v>
      </c>
      <c r="P361" s="22" t="s">
        <v>1676</v>
      </c>
      <c r="Q361" s="22" t="s">
        <v>1569</v>
      </c>
      <c r="R361" s="22" t="s">
        <v>1289</v>
      </c>
      <c r="S361" s="22"/>
      <c r="T361" s="22"/>
      <c r="V361" s="26" t="s">
        <v>1933</v>
      </c>
      <c r="W361" s="6">
        <v>7</v>
      </c>
    </row>
    <row r="362" spans="1:23">
      <c r="A362" t="s">
        <v>2297</v>
      </c>
      <c r="B362" s="8">
        <v>45610</v>
      </c>
      <c r="C362" t="s">
        <v>376</v>
      </c>
      <c r="D362" t="s">
        <v>1819</v>
      </c>
      <c r="E362" t="s">
        <v>1864</v>
      </c>
      <c r="F362">
        <v>4</v>
      </c>
      <c r="G362" s="10">
        <v>677.25</v>
      </c>
      <c r="H362" s="13">
        <v>0.14000000000000001</v>
      </c>
      <c r="I362" t="s">
        <v>1933</v>
      </c>
      <c r="J362" s="16">
        <v>2329.7399999999998</v>
      </c>
      <c r="K362" s="19">
        <f t="shared" si="25"/>
        <v>1774005.7880000016</v>
      </c>
      <c r="L362" s="22">
        <f t="shared" si="26"/>
        <v>1081.7108463414643</v>
      </c>
      <c r="M362" s="22">
        <f t="shared" si="27"/>
        <v>569</v>
      </c>
      <c r="N362" s="22" t="str">
        <f t="shared" si="28"/>
        <v>High Value</v>
      </c>
      <c r="O362" s="22" t="str">
        <f t="shared" si="29"/>
        <v>Nov-2024</v>
      </c>
      <c r="P362" s="22" t="s">
        <v>1820</v>
      </c>
      <c r="Q362" s="22" t="s">
        <v>1569</v>
      </c>
      <c r="R362" s="22" t="s">
        <v>377</v>
      </c>
      <c r="S362" s="22"/>
      <c r="T362" s="22"/>
      <c r="V362" s="25" t="s">
        <v>850</v>
      </c>
      <c r="W362" s="6">
        <v>11</v>
      </c>
    </row>
    <row r="363" spans="1:23">
      <c r="A363" t="s">
        <v>2298</v>
      </c>
      <c r="B363" s="8">
        <v>45763</v>
      </c>
      <c r="C363" t="s">
        <v>358</v>
      </c>
      <c r="D363" t="s">
        <v>1849</v>
      </c>
      <c r="E363" t="s">
        <v>1899</v>
      </c>
      <c r="F363">
        <v>1</v>
      </c>
      <c r="G363" s="10">
        <v>645.48</v>
      </c>
      <c r="H363" s="13">
        <v>0.26</v>
      </c>
      <c r="I363" t="s">
        <v>1936</v>
      </c>
      <c r="J363" s="16">
        <v>477.65519999999998</v>
      </c>
      <c r="K363" s="19">
        <f t="shared" si="25"/>
        <v>1771676.0480000013</v>
      </c>
      <c r="L363" s="22">
        <f t="shared" si="26"/>
        <v>1080.9493886516177</v>
      </c>
      <c r="M363" s="22">
        <f t="shared" si="27"/>
        <v>568</v>
      </c>
      <c r="N363" s="22" t="str">
        <f t="shared" si="28"/>
        <v>Low Value</v>
      </c>
      <c r="O363" s="22" t="str">
        <f t="shared" si="29"/>
        <v>Apr-2025</v>
      </c>
      <c r="P363" s="22" t="s">
        <v>1850</v>
      </c>
      <c r="Q363" s="22" t="s">
        <v>1531</v>
      </c>
      <c r="R363" s="22" t="s">
        <v>359</v>
      </c>
      <c r="S363" s="22"/>
      <c r="T363" s="22"/>
      <c r="V363" s="26" t="s">
        <v>1936</v>
      </c>
      <c r="W363" s="6">
        <v>5</v>
      </c>
    </row>
    <row r="364" spans="1:23">
      <c r="A364" t="s">
        <v>2299</v>
      </c>
      <c r="B364" s="8">
        <v>45856</v>
      </c>
      <c r="C364" t="s">
        <v>1122</v>
      </c>
      <c r="D364" t="s">
        <v>1774</v>
      </c>
      <c r="E364" t="s">
        <v>1868</v>
      </c>
      <c r="F364">
        <v>2</v>
      </c>
      <c r="G364" s="10">
        <v>934</v>
      </c>
      <c r="H364" s="13">
        <v>0.3</v>
      </c>
      <c r="I364" t="s">
        <v>1936</v>
      </c>
      <c r="J364" s="16">
        <v>1307.5999999999999</v>
      </c>
      <c r="K364" s="19">
        <f t="shared" si="25"/>
        <v>1771198.3928000014</v>
      </c>
      <c r="L364" s="22">
        <f t="shared" si="26"/>
        <v>1081.3177001221011</v>
      </c>
      <c r="M364" s="22">
        <f t="shared" si="27"/>
        <v>568</v>
      </c>
      <c r="N364" s="22" t="str">
        <f t="shared" si="28"/>
        <v>High Value</v>
      </c>
      <c r="O364" s="22" t="str">
        <f t="shared" si="29"/>
        <v>Jul-2025</v>
      </c>
      <c r="P364" s="22" t="s">
        <v>1775</v>
      </c>
      <c r="Q364" s="22" t="s">
        <v>1569</v>
      </c>
      <c r="R364" s="22" t="s">
        <v>1123</v>
      </c>
      <c r="S364" s="22"/>
      <c r="T364" s="22"/>
      <c r="V364" s="26" t="s">
        <v>1931</v>
      </c>
      <c r="W364" s="6">
        <v>1</v>
      </c>
    </row>
    <row r="365" spans="1:23">
      <c r="A365" t="s">
        <v>2300</v>
      </c>
      <c r="B365" s="8">
        <v>45712</v>
      </c>
      <c r="C365" t="s">
        <v>1046</v>
      </c>
      <c r="D365" t="s">
        <v>1690</v>
      </c>
      <c r="E365" t="s">
        <v>1868</v>
      </c>
      <c r="F365">
        <v>1</v>
      </c>
      <c r="G365" s="10">
        <v>669.53</v>
      </c>
      <c r="H365" s="13">
        <v>0.2</v>
      </c>
      <c r="I365" t="s">
        <v>1931</v>
      </c>
      <c r="J365" s="16">
        <v>535.62400000000002</v>
      </c>
      <c r="K365" s="19">
        <f t="shared" si="25"/>
        <v>1769890.7928000016</v>
      </c>
      <c r="L365" s="22">
        <f t="shared" si="26"/>
        <v>1081.1794702504592</v>
      </c>
      <c r="M365" s="22">
        <f t="shared" si="27"/>
        <v>568</v>
      </c>
      <c r="N365" s="22" t="str">
        <f t="shared" si="28"/>
        <v>Low Value</v>
      </c>
      <c r="O365" s="22" t="str">
        <f t="shared" si="29"/>
        <v>Feb-2025</v>
      </c>
      <c r="P365" s="22" t="s">
        <v>1691</v>
      </c>
      <c r="Q365" s="22" t="s">
        <v>1536</v>
      </c>
      <c r="R365" s="22" t="s">
        <v>1047</v>
      </c>
      <c r="S365" s="22"/>
      <c r="T365" s="22"/>
      <c r="V365" s="26" t="s">
        <v>1933</v>
      </c>
      <c r="W365" s="6">
        <v>5</v>
      </c>
    </row>
    <row r="366" spans="1:23">
      <c r="A366" t="s">
        <v>2301</v>
      </c>
      <c r="B366" s="8">
        <v>45723</v>
      </c>
      <c r="C366" t="s">
        <v>700</v>
      </c>
      <c r="D366" t="s">
        <v>1655</v>
      </c>
      <c r="E366" t="s">
        <v>1917</v>
      </c>
      <c r="F366">
        <v>1</v>
      </c>
      <c r="G366" s="10">
        <v>213.69</v>
      </c>
      <c r="H366" s="13">
        <v>0.28000000000000003</v>
      </c>
      <c r="I366" t="s">
        <v>1936</v>
      </c>
      <c r="J366" s="16">
        <v>153.85679999999999</v>
      </c>
      <c r="K366" s="19">
        <f t="shared" si="25"/>
        <v>1769355.1688000015</v>
      </c>
      <c r="L366" s="22">
        <f t="shared" si="26"/>
        <v>1081.5129393643042</v>
      </c>
      <c r="M366" s="22">
        <f t="shared" si="27"/>
        <v>568</v>
      </c>
      <c r="N366" s="22" t="str">
        <f t="shared" si="28"/>
        <v>Low Value</v>
      </c>
      <c r="O366" s="22" t="str">
        <f t="shared" si="29"/>
        <v>Mar-2025</v>
      </c>
      <c r="P366" s="22" t="s">
        <v>1656</v>
      </c>
      <c r="Q366" s="22" t="s">
        <v>1560</v>
      </c>
      <c r="R366" s="22" t="s">
        <v>701</v>
      </c>
      <c r="S366" s="22"/>
      <c r="T366" s="22"/>
      <c r="V366" s="25" t="s">
        <v>911</v>
      </c>
      <c r="W366" s="6">
        <v>15</v>
      </c>
    </row>
    <row r="367" spans="1:23">
      <c r="A367" t="s">
        <v>2302</v>
      </c>
      <c r="B367" s="8">
        <v>45706</v>
      </c>
      <c r="C367" t="s">
        <v>278</v>
      </c>
      <c r="D367" t="s">
        <v>1610</v>
      </c>
      <c r="E367" t="s">
        <v>1920</v>
      </c>
      <c r="F367">
        <v>2</v>
      </c>
      <c r="G367" s="10">
        <v>99.1</v>
      </c>
      <c r="H367" s="13">
        <v>0.2</v>
      </c>
      <c r="I367" t="s">
        <v>1933</v>
      </c>
      <c r="J367" s="16">
        <v>158.56</v>
      </c>
      <c r="K367" s="19">
        <f t="shared" si="25"/>
        <v>1769201.3120000015</v>
      </c>
      <c r="L367" s="22">
        <f t="shared" si="26"/>
        <v>1082.0803131498481</v>
      </c>
      <c r="M367" s="22">
        <f t="shared" si="27"/>
        <v>568</v>
      </c>
      <c r="N367" s="22" t="str">
        <f t="shared" si="28"/>
        <v>Low Value</v>
      </c>
      <c r="O367" s="22" t="str">
        <f t="shared" si="29"/>
        <v>Feb-2025</v>
      </c>
      <c r="P367" s="22" t="s">
        <v>1611</v>
      </c>
      <c r="Q367" s="22" t="s">
        <v>1560</v>
      </c>
      <c r="R367" s="22" t="s">
        <v>279</v>
      </c>
      <c r="S367" s="22"/>
      <c r="T367" s="22"/>
      <c r="V367" s="26" t="s">
        <v>1936</v>
      </c>
      <c r="W367" s="6">
        <v>4</v>
      </c>
    </row>
    <row r="368" spans="1:23">
      <c r="A368" t="s">
        <v>2303</v>
      </c>
      <c r="B368" s="8">
        <v>45469</v>
      </c>
      <c r="C368" t="s">
        <v>1151</v>
      </c>
      <c r="D368" t="s">
        <v>1661</v>
      </c>
      <c r="E368" t="s">
        <v>1911</v>
      </c>
      <c r="F368">
        <v>1</v>
      </c>
      <c r="G368" s="10">
        <v>628.98</v>
      </c>
      <c r="H368" s="13">
        <v>0.03</v>
      </c>
      <c r="I368" t="s">
        <v>1936</v>
      </c>
      <c r="J368" s="16">
        <v>610.11059999999998</v>
      </c>
      <c r="K368" s="19">
        <f t="shared" si="25"/>
        <v>1769042.7520000015</v>
      </c>
      <c r="L368" s="22">
        <f t="shared" si="26"/>
        <v>1082.6455030599764</v>
      </c>
      <c r="M368" s="22">
        <f t="shared" si="27"/>
        <v>567</v>
      </c>
      <c r="N368" s="22" t="str">
        <f t="shared" si="28"/>
        <v>Low Value</v>
      </c>
      <c r="O368" s="22" t="str">
        <f t="shared" si="29"/>
        <v>Jun-2024</v>
      </c>
      <c r="P368" s="22" t="s">
        <v>1662</v>
      </c>
      <c r="Q368" s="22" t="s">
        <v>1536</v>
      </c>
      <c r="R368" s="22" t="s">
        <v>1152</v>
      </c>
      <c r="S368" s="22"/>
      <c r="T368" s="22"/>
      <c r="V368" s="26" t="s">
        <v>1931</v>
      </c>
      <c r="W368" s="6">
        <v>2</v>
      </c>
    </row>
    <row r="369" spans="1:23">
      <c r="A369" t="s">
        <v>2304</v>
      </c>
      <c r="B369" s="8">
        <v>45711</v>
      </c>
      <c r="C369" t="s">
        <v>304</v>
      </c>
      <c r="D369" t="s">
        <v>1807</v>
      </c>
      <c r="E369" t="s">
        <v>1876</v>
      </c>
      <c r="F369">
        <v>3</v>
      </c>
      <c r="G369" s="10">
        <v>944.64</v>
      </c>
      <c r="H369" s="13">
        <v>0.26</v>
      </c>
      <c r="I369" t="s">
        <v>1931</v>
      </c>
      <c r="J369" s="16">
        <v>2097.1008000000002</v>
      </c>
      <c r="K369" s="19">
        <f t="shared" si="25"/>
        <v>1768432.6414000015</v>
      </c>
      <c r="L369" s="22">
        <f t="shared" si="26"/>
        <v>1082.9348691977964</v>
      </c>
      <c r="M369" s="22">
        <f t="shared" si="27"/>
        <v>567</v>
      </c>
      <c r="N369" s="22" t="str">
        <f t="shared" si="28"/>
        <v>High Value</v>
      </c>
      <c r="O369" s="22" t="str">
        <f t="shared" si="29"/>
        <v>Feb-2025</v>
      </c>
      <c r="P369" s="22" t="s">
        <v>1808</v>
      </c>
      <c r="Q369" s="22" t="s">
        <v>1560</v>
      </c>
      <c r="R369" s="22" t="s">
        <v>305</v>
      </c>
      <c r="S369" s="22"/>
      <c r="T369" s="22"/>
      <c r="V369" s="26" t="s">
        <v>1933</v>
      </c>
      <c r="W369" s="6">
        <v>9</v>
      </c>
    </row>
    <row r="370" spans="1:23">
      <c r="A370" t="s">
        <v>2305</v>
      </c>
      <c r="B370" s="8">
        <v>45823</v>
      </c>
      <c r="C370" t="s">
        <v>1442</v>
      </c>
      <c r="D370" t="s">
        <v>1834</v>
      </c>
      <c r="E370" t="s">
        <v>1901</v>
      </c>
      <c r="F370">
        <v>2</v>
      </c>
      <c r="G370" s="10">
        <v>121.7</v>
      </c>
      <c r="H370" s="13">
        <v>0.06</v>
      </c>
      <c r="I370" t="s">
        <v>1936</v>
      </c>
      <c r="J370" s="16">
        <v>228.79599999999999</v>
      </c>
      <c r="K370" s="19">
        <f t="shared" si="25"/>
        <v>1766335.5406000013</v>
      </c>
      <c r="L370" s="22">
        <f t="shared" si="26"/>
        <v>1082.3134439950989</v>
      </c>
      <c r="M370" s="22">
        <f t="shared" si="27"/>
        <v>567</v>
      </c>
      <c r="N370" s="22" t="str">
        <f t="shared" si="28"/>
        <v>Low Value</v>
      </c>
      <c r="O370" s="22" t="str">
        <f t="shared" si="29"/>
        <v>Jun-2025</v>
      </c>
      <c r="P370" s="22" t="s">
        <v>1835</v>
      </c>
      <c r="Q370" s="22" t="s">
        <v>1531</v>
      </c>
      <c r="R370" s="22" t="s">
        <v>1443</v>
      </c>
      <c r="S370" s="22"/>
      <c r="T370" s="22"/>
      <c r="V370" s="25" t="s">
        <v>3950</v>
      </c>
      <c r="W370" s="6">
        <v>7</v>
      </c>
    </row>
    <row r="371" spans="1:23">
      <c r="A371" t="s">
        <v>2306</v>
      </c>
      <c r="B371" s="8">
        <v>45217</v>
      </c>
      <c r="C371" t="s">
        <v>1377</v>
      </c>
      <c r="D371" t="s">
        <v>1749</v>
      </c>
      <c r="E371" t="s">
        <v>1873</v>
      </c>
      <c r="F371">
        <v>4</v>
      </c>
      <c r="G371" s="10">
        <v>269.49</v>
      </c>
      <c r="H371" s="13">
        <v>7.0000000000000007E-2</v>
      </c>
      <c r="I371" t="s">
        <v>1933</v>
      </c>
      <c r="J371" s="16">
        <v>1002.5028</v>
      </c>
      <c r="K371" s="19">
        <f t="shared" si="25"/>
        <v>1766106.7446000015</v>
      </c>
      <c r="L371" s="22">
        <f t="shared" si="26"/>
        <v>1082.8367532801972</v>
      </c>
      <c r="M371" s="22">
        <f t="shared" si="27"/>
        <v>567</v>
      </c>
      <c r="N371" s="22" t="str">
        <f t="shared" si="28"/>
        <v>High Value</v>
      </c>
      <c r="O371" s="22" t="str">
        <f t="shared" si="29"/>
        <v>Oct-2023</v>
      </c>
      <c r="P371" s="22" t="s">
        <v>1750</v>
      </c>
      <c r="Q371" s="22" t="s">
        <v>1569</v>
      </c>
      <c r="R371" s="22" t="s">
        <v>1378</v>
      </c>
      <c r="S371" s="22"/>
      <c r="T371" s="22"/>
      <c r="V371" s="26" t="s">
        <v>1931</v>
      </c>
      <c r="W371" s="6">
        <v>2</v>
      </c>
    </row>
    <row r="372" spans="1:23">
      <c r="A372" t="s">
        <v>2307</v>
      </c>
      <c r="B372" s="8">
        <v>45733</v>
      </c>
      <c r="C372" t="s">
        <v>348</v>
      </c>
      <c r="D372" t="s">
        <v>1614</v>
      </c>
      <c r="E372" t="s">
        <v>1917</v>
      </c>
      <c r="F372">
        <v>1</v>
      </c>
      <c r="G372" s="10">
        <v>678.2</v>
      </c>
      <c r="H372" s="13">
        <v>0.14000000000000001</v>
      </c>
      <c r="I372" t="s">
        <v>1931</v>
      </c>
      <c r="J372" s="16">
        <v>583.25200000000007</v>
      </c>
      <c r="K372" s="19">
        <f t="shared" si="25"/>
        <v>1765104.2418000016</v>
      </c>
      <c r="L372" s="22">
        <f t="shared" si="26"/>
        <v>1082.8860379141115</v>
      </c>
      <c r="M372" s="22">
        <f t="shared" si="27"/>
        <v>566</v>
      </c>
      <c r="N372" s="22" t="str">
        <f t="shared" si="28"/>
        <v>Low Value</v>
      </c>
      <c r="O372" s="22" t="str">
        <f t="shared" si="29"/>
        <v>Mar-2025</v>
      </c>
      <c r="P372" s="22" t="s">
        <v>1615</v>
      </c>
      <c r="Q372" s="22" t="s">
        <v>1569</v>
      </c>
      <c r="R372" s="22" t="s">
        <v>349</v>
      </c>
      <c r="S372" s="22"/>
      <c r="T372" s="22"/>
      <c r="V372" s="26" t="s">
        <v>1933</v>
      </c>
      <c r="W372" s="6">
        <v>5</v>
      </c>
    </row>
    <row r="373" spans="1:23">
      <c r="A373" t="s">
        <v>2308</v>
      </c>
      <c r="B373" s="8">
        <v>45520</v>
      </c>
      <c r="C373" t="s">
        <v>744</v>
      </c>
      <c r="D373" t="s">
        <v>1825</v>
      </c>
      <c r="E373" t="s">
        <v>1904</v>
      </c>
      <c r="F373">
        <v>1</v>
      </c>
      <c r="G373" s="10">
        <v>752.45</v>
      </c>
      <c r="H373" s="13">
        <v>0.21</v>
      </c>
      <c r="I373" t="s">
        <v>1936</v>
      </c>
      <c r="J373" s="16">
        <v>594.43550000000005</v>
      </c>
      <c r="K373" s="19">
        <f t="shared" si="25"/>
        <v>1764520.9898000015</v>
      </c>
      <c r="L373" s="22">
        <f t="shared" si="26"/>
        <v>1083.1927500306947</v>
      </c>
      <c r="M373" s="22">
        <f t="shared" si="27"/>
        <v>566</v>
      </c>
      <c r="N373" s="22" t="str">
        <f t="shared" si="28"/>
        <v>Low Value</v>
      </c>
      <c r="O373" s="22" t="str">
        <f t="shared" si="29"/>
        <v>Aug-2024</v>
      </c>
      <c r="P373" s="22" t="s">
        <v>1826</v>
      </c>
      <c r="Q373" s="22" t="s">
        <v>1531</v>
      </c>
      <c r="R373" s="22" t="s">
        <v>745</v>
      </c>
      <c r="S373" s="22"/>
      <c r="T373" s="22"/>
      <c r="V373" s="25" t="s">
        <v>1357</v>
      </c>
      <c r="W373" s="6">
        <v>4</v>
      </c>
    </row>
    <row r="374" spans="1:23">
      <c r="A374" t="s">
        <v>2309</v>
      </c>
      <c r="B374" s="8">
        <v>45373</v>
      </c>
      <c r="C374" t="s">
        <v>146</v>
      </c>
      <c r="D374" t="s">
        <v>1837</v>
      </c>
      <c r="E374" t="s">
        <v>1904</v>
      </c>
      <c r="F374">
        <v>2</v>
      </c>
      <c r="G374" s="10">
        <v>209.66</v>
      </c>
      <c r="H374" s="13">
        <v>0.21</v>
      </c>
      <c r="I374" t="s">
        <v>1931</v>
      </c>
      <c r="J374" s="16">
        <v>331.26280000000003</v>
      </c>
      <c r="K374" s="19">
        <f t="shared" si="25"/>
        <v>1763926.5543000014</v>
      </c>
      <c r="L374" s="22">
        <f t="shared" si="26"/>
        <v>1083.4929694717453</v>
      </c>
      <c r="M374" s="22">
        <f t="shared" si="27"/>
        <v>566</v>
      </c>
      <c r="N374" s="22" t="str">
        <f t="shared" si="28"/>
        <v>Low Value</v>
      </c>
      <c r="O374" s="22" t="str">
        <f t="shared" si="29"/>
        <v>Mar-2024</v>
      </c>
      <c r="P374" s="22" t="s">
        <v>1838</v>
      </c>
      <c r="Q374" s="22" t="s">
        <v>1555</v>
      </c>
      <c r="R374" s="22" t="s">
        <v>147</v>
      </c>
      <c r="S374" s="22"/>
      <c r="T374" s="22"/>
      <c r="V374" s="26" t="s">
        <v>1933</v>
      </c>
      <c r="W374" s="6">
        <v>4</v>
      </c>
    </row>
    <row r="375" spans="1:23">
      <c r="A375" t="s">
        <v>2310</v>
      </c>
      <c r="B375" s="8">
        <v>45688</v>
      </c>
      <c r="C375" t="s">
        <v>536</v>
      </c>
      <c r="D375" t="s">
        <v>1846</v>
      </c>
      <c r="E375" t="s">
        <v>1920</v>
      </c>
      <c r="F375">
        <v>2</v>
      </c>
      <c r="G375" s="10">
        <v>739.95</v>
      </c>
      <c r="H375" s="13">
        <v>0.1</v>
      </c>
      <c r="I375" t="s">
        <v>1936</v>
      </c>
      <c r="J375" s="16">
        <v>1331.91</v>
      </c>
      <c r="K375" s="19">
        <f t="shared" si="25"/>
        <v>1763595.2915000012</v>
      </c>
      <c r="L375" s="22">
        <f t="shared" si="26"/>
        <v>1083.9553113091588</v>
      </c>
      <c r="M375" s="22">
        <f t="shared" si="27"/>
        <v>566</v>
      </c>
      <c r="N375" s="22" t="str">
        <f t="shared" si="28"/>
        <v>High Value</v>
      </c>
      <c r="O375" s="22" t="str">
        <f t="shared" si="29"/>
        <v>Jan-2025</v>
      </c>
      <c r="P375" s="22" t="s">
        <v>1847</v>
      </c>
      <c r="Q375" s="22" t="s">
        <v>1569</v>
      </c>
      <c r="R375" s="22" t="s">
        <v>537</v>
      </c>
      <c r="S375" s="22"/>
      <c r="T375" s="22"/>
      <c r="V375" s="25" t="s">
        <v>816</v>
      </c>
      <c r="W375" s="6">
        <v>15</v>
      </c>
    </row>
    <row r="376" spans="1:23">
      <c r="A376" t="s">
        <v>2311</v>
      </c>
      <c r="B376" s="8">
        <v>45276</v>
      </c>
      <c r="C376" t="s">
        <v>1436</v>
      </c>
      <c r="D376" t="s">
        <v>1687</v>
      </c>
      <c r="E376" t="s">
        <v>1908</v>
      </c>
      <c r="F376">
        <v>1</v>
      </c>
      <c r="G376" s="10">
        <v>496.19</v>
      </c>
      <c r="H376" s="13">
        <v>0.08</v>
      </c>
      <c r="I376" t="s">
        <v>1936</v>
      </c>
      <c r="J376" s="16">
        <v>456.4948</v>
      </c>
      <c r="K376" s="19">
        <f t="shared" si="25"/>
        <v>1762263.3815000013</v>
      </c>
      <c r="L376" s="22">
        <f t="shared" si="26"/>
        <v>1083.8028176506773</v>
      </c>
      <c r="M376" s="22">
        <f t="shared" si="27"/>
        <v>566</v>
      </c>
      <c r="N376" s="22" t="str">
        <f t="shared" si="28"/>
        <v>Low Value</v>
      </c>
      <c r="O376" s="22" t="str">
        <f t="shared" si="29"/>
        <v>Dec-2023</v>
      </c>
      <c r="P376" s="22" t="s">
        <v>1688</v>
      </c>
      <c r="Q376" s="22" t="s">
        <v>1569</v>
      </c>
      <c r="R376" s="22" t="s">
        <v>1437</v>
      </c>
      <c r="S376" s="22"/>
      <c r="T376" s="22"/>
      <c r="V376" s="26" t="s">
        <v>1936</v>
      </c>
      <c r="W376" s="6">
        <v>2</v>
      </c>
    </row>
    <row r="377" spans="1:23">
      <c r="A377" t="s">
        <v>2312</v>
      </c>
      <c r="B377" s="8">
        <v>45756</v>
      </c>
      <c r="C377" t="s">
        <v>171</v>
      </c>
      <c r="D377" t="s">
        <v>1567</v>
      </c>
      <c r="E377" t="s">
        <v>1901</v>
      </c>
      <c r="F377">
        <v>1</v>
      </c>
      <c r="G377" s="10">
        <v>306.36</v>
      </c>
      <c r="H377" s="13">
        <v>0.01</v>
      </c>
      <c r="I377" t="s">
        <v>1933</v>
      </c>
      <c r="J377" s="16">
        <v>303.29640000000001</v>
      </c>
      <c r="K377" s="19">
        <f t="shared" si="25"/>
        <v>1761806.8867000013</v>
      </c>
      <c r="L377" s="22">
        <f t="shared" si="26"/>
        <v>1084.188853353847</v>
      </c>
      <c r="M377" s="22">
        <f t="shared" si="27"/>
        <v>566</v>
      </c>
      <c r="N377" s="22" t="str">
        <f t="shared" si="28"/>
        <v>Low Value</v>
      </c>
      <c r="O377" s="22" t="str">
        <f t="shared" si="29"/>
        <v>Apr-2025</v>
      </c>
      <c r="P377" s="22" t="s">
        <v>1568</v>
      </c>
      <c r="Q377" s="22" t="s">
        <v>1569</v>
      </c>
      <c r="R377" s="22" t="s">
        <v>172</v>
      </c>
      <c r="S377" s="22"/>
      <c r="T377" s="22"/>
      <c r="V377" s="26" t="s">
        <v>1931</v>
      </c>
      <c r="W377" s="6">
        <v>13</v>
      </c>
    </row>
    <row r="378" spans="1:23">
      <c r="A378" t="s">
        <v>2313</v>
      </c>
      <c r="B378" s="8">
        <v>45309</v>
      </c>
      <c r="C378" t="s">
        <v>412</v>
      </c>
      <c r="D378" t="s">
        <v>1774</v>
      </c>
      <c r="E378" t="s">
        <v>1876</v>
      </c>
      <c r="F378">
        <v>4</v>
      </c>
      <c r="G378" s="10">
        <v>693.16</v>
      </c>
      <c r="H378" s="13">
        <v>0.05</v>
      </c>
      <c r="I378" t="s">
        <v>1933</v>
      </c>
      <c r="J378" s="16">
        <v>2634.0079999999998</v>
      </c>
      <c r="K378" s="19">
        <f t="shared" si="25"/>
        <v>1761503.5903000012</v>
      </c>
      <c r="L378" s="22">
        <f t="shared" si="26"/>
        <v>1084.6696984605919</v>
      </c>
      <c r="M378" s="22">
        <f t="shared" si="27"/>
        <v>565</v>
      </c>
      <c r="N378" s="22" t="str">
        <f t="shared" si="28"/>
        <v>High Value</v>
      </c>
      <c r="O378" s="22" t="str">
        <f t="shared" si="29"/>
        <v>Jan-2024</v>
      </c>
      <c r="P378" s="22" t="s">
        <v>1775</v>
      </c>
      <c r="Q378" s="22" t="s">
        <v>1569</v>
      </c>
      <c r="R378" s="22" t="s">
        <v>413</v>
      </c>
      <c r="S378" s="22"/>
      <c r="T378" s="22"/>
      <c r="V378" s="25" t="s">
        <v>621</v>
      </c>
      <c r="W378" s="6">
        <v>4</v>
      </c>
    </row>
    <row r="379" spans="1:23">
      <c r="A379" t="s">
        <v>2314</v>
      </c>
      <c r="B379" s="8">
        <v>45744</v>
      </c>
      <c r="C379" t="s">
        <v>1396</v>
      </c>
      <c r="D379" t="s">
        <v>1804</v>
      </c>
      <c r="E379" t="s">
        <v>1896</v>
      </c>
      <c r="F379">
        <v>1</v>
      </c>
      <c r="G379" s="10">
        <v>995.52</v>
      </c>
      <c r="H379" s="13">
        <v>0.22</v>
      </c>
      <c r="I379" t="s">
        <v>1933</v>
      </c>
      <c r="J379" s="16">
        <v>776.50559999999996</v>
      </c>
      <c r="K379" s="19">
        <f t="shared" si="25"/>
        <v>1758869.5823000011</v>
      </c>
      <c r="L379" s="22">
        <f t="shared" si="26"/>
        <v>1083.715084596427</v>
      </c>
      <c r="M379" s="22">
        <f t="shared" si="27"/>
        <v>564</v>
      </c>
      <c r="N379" s="22" t="str">
        <f t="shared" si="28"/>
        <v>Low Value</v>
      </c>
      <c r="O379" s="22" t="str">
        <f t="shared" si="29"/>
        <v>Mar-2025</v>
      </c>
      <c r="P379" s="22" t="s">
        <v>1805</v>
      </c>
      <c r="Q379" s="22" t="s">
        <v>1555</v>
      </c>
      <c r="R379" s="22" t="s">
        <v>1397</v>
      </c>
      <c r="S379" s="22"/>
      <c r="T379" s="22"/>
      <c r="V379" s="26" t="s">
        <v>1936</v>
      </c>
      <c r="W379" s="6">
        <v>4</v>
      </c>
    </row>
    <row r="380" spans="1:23">
      <c r="A380" t="s">
        <v>2315</v>
      </c>
      <c r="B380" s="8">
        <v>45535</v>
      </c>
      <c r="C380" t="s">
        <v>427</v>
      </c>
      <c r="D380" t="s">
        <v>1558</v>
      </c>
      <c r="E380" t="s">
        <v>1917</v>
      </c>
      <c r="F380">
        <v>4</v>
      </c>
      <c r="G380" s="10">
        <v>241.32</v>
      </c>
      <c r="H380" s="13">
        <v>0.28999999999999998</v>
      </c>
      <c r="I380" t="s">
        <v>1936</v>
      </c>
      <c r="J380" s="16">
        <v>685.34879999999998</v>
      </c>
      <c r="K380" s="19">
        <f t="shared" si="25"/>
        <v>1758093.076700001</v>
      </c>
      <c r="L380" s="22">
        <f t="shared" si="26"/>
        <v>1083.904486251542</v>
      </c>
      <c r="M380" s="22">
        <f t="shared" si="27"/>
        <v>563</v>
      </c>
      <c r="N380" s="22" t="str">
        <f t="shared" si="28"/>
        <v>Low Value</v>
      </c>
      <c r="O380" s="22" t="str">
        <f t="shared" si="29"/>
        <v>Aug-2024</v>
      </c>
      <c r="P380" s="22" t="s">
        <v>1559</v>
      </c>
      <c r="Q380" s="22" t="s">
        <v>1560</v>
      </c>
      <c r="R380" s="22" t="s">
        <v>428</v>
      </c>
      <c r="S380" s="22"/>
      <c r="T380" s="22"/>
      <c r="V380" s="25" t="s">
        <v>1212</v>
      </c>
      <c r="W380" s="6">
        <v>4</v>
      </c>
    </row>
    <row r="381" spans="1:23">
      <c r="A381" t="s">
        <v>2316</v>
      </c>
      <c r="B381" s="8">
        <v>45240</v>
      </c>
      <c r="C381" t="s">
        <v>768</v>
      </c>
      <c r="D381" t="s">
        <v>1789</v>
      </c>
      <c r="E381" t="s">
        <v>1864</v>
      </c>
      <c r="F381">
        <v>3</v>
      </c>
      <c r="G381" s="10">
        <v>636.03</v>
      </c>
      <c r="H381" s="13">
        <v>0.06</v>
      </c>
      <c r="I381" t="s">
        <v>1936</v>
      </c>
      <c r="J381" s="16">
        <v>1793.6045999999999</v>
      </c>
      <c r="K381" s="19">
        <f t="shared" si="25"/>
        <v>1757407.727900001</v>
      </c>
      <c r="L381" s="22">
        <f t="shared" si="26"/>
        <v>1084.1503565083287</v>
      </c>
      <c r="M381" s="22">
        <f t="shared" si="27"/>
        <v>563</v>
      </c>
      <c r="N381" s="22" t="str">
        <f t="shared" si="28"/>
        <v>High Value</v>
      </c>
      <c r="O381" s="22" t="str">
        <f t="shared" si="29"/>
        <v>Nov-2023</v>
      </c>
      <c r="P381" s="22" t="s">
        <v>1790</v>
      </c>
      <c r="Q381" s="22" t="s">
        <v>1560</v>
      </c>
      <c r="R381" s="22" t="s">
        <v>769</v>
      </c>
      <c r="S381" s="22"/>
      <c r="T381" s="22"/>
      <c r="V381" s="26" t="s">
        <v>1931</v>
      </c>
      <c r="W381" s="6">
        <v>4</v>
      </c>
    </row>
    <row r="382" spans="1:23">
      <c r="A382" t="s">
        <v>2317</v>
      </c>
      <c r="B382" s="8">
        <v>45275</v>
      </c>
      <c r="C382" t="s">
        <v>339</v>
      </c>
      <c r="D382" t="s">
        <v>1545</v>
      </c>
      <c r="E382" t="s">
        <v>1920</v>
      </c>
      <c r="F382">
        <v>4</v>
      </c>
      <c r="G382" s="10">
        <v>603.30999999999995</v>
      </c>
      <c r="H382" s="13">
        <v>0.15</v>
      </c>
      <c r="I382" t="s">
        <v>1931</v>
      </c>
      <c r="J382" s="16">
        <v>2051.2539999999999</v>
      </c>
      <c r="K382" s="19">
        <f t="shared" si="25"/>
        <v>1755614.123300001</v>
      </c>
      <c r="L382" s="22">
        <f t="shared" si="26"/>
        <v>1083.7124217901242</v>
      </c>
      <c r="M382" s="22">
        <f t="shared" si="27"/>
        <v>563</v>
      </c>
      <c r="N382" s="22" t="str">
        <f t="shared" si="28"/>
        <v>High Value</v>
      </c>
      <c r="O382" s="22" t="str">
        <f t="shared" si="29"/>
        <v>Dec-2023</v>
      </c>
      <c r="P382" s="22" t="s">
        <v>1546</v>
      </c>
      <c r="Q382" s="22" t="s">
        <v>1536</v>
      </c>
      <c r="R382" s="22" t="s">
        <v>340</v>
      </c>
      <c r="S382" s="22"/>
      <c r="T382" s="22"/>
      <c r="V382" s="25" t="s">
        <v>40</v>
      </c>
      <c r="W382" s="6">
        <v>25</v>
      </c>
    </row>
    <row r="383" spans="1:23">
      <c r="A383" t="s">
        <v>2318</v>
      </c>
      <c r="B383" s="8">
        <v>45427</v>
      </c>
      <c r="C383" t="s">
        <v>272</v>
      </c>
      <c r="D383" t="s">
        <v>1822</v>
      </c>
      <c r="E383" t="s">
        <v>1896</v>
      </c>
      <c r="F383">
        <v>3</v>
      </c>
      <c r="G383" s="10">
        <v>437.96</v>
      </c>
      <c r="H383" s="13">
        <v>0.27</v>
      </c>
      <c r="I383" t="s">
        <v>1936</v>
      </c>
      <c r="J383" s="16">
        <v>959.13239999999985</v>
      </c>
      <c r="K383" s="19">
        <f t="shared" si="25"/>
        <v>1753562.8693000011</v>
      </c>
      <c r="L383" s="22">
        <f t="shared" si="26"/>
        <v>1083.114805003089</v>
      </c>
      <c r="M383" s="22">
        <f t="shared" si="27"/>
        <v>563</v>
      </c>
      <c r="N383" s="22" t="str">
        <f t="shared" si="28"/>
        <v>Low Value</v>
      </c>
      <c r="O383" s="22" t="str">
        <f t="shared" si="29"/>
        <v>May-2024</v>
      </c>
      <c r="P383" s="22" t="s">
        <v>1823</v>
      </c>
      <c r="Q383" s="22" t="s">
        <v>1555</v>
      </c>
      <c r="R383" s="22" t="s">
        <v>273</v>
      </c>
      <c r="S383" s="22"/>
      <c r="T383" s="22"/>
      <c r="V383" s="26" t="s">
        <v>1936</v>
      </c>
      <c r="W383" s="6">
        <v>5</v>
      </c>
    </row>
    <row r="384" spans="1:23">
      <c r="A384" t="s">
        <v>2319</v>
      </c>
      <c r="B384" s="8">
        <v>45322</v>
      </c>
      <c r="C384" t="s">
        <v>676</v>
      </c>
      <c r="D384" t="s">
        <v>1652</v>
      </c>
      <c r="E384" t="s">
        <v>1876</v>
      </c>
      <c r="F384">
        <v>2</v>
      </c>
      <c r="G384" s="10">
        <v>56.91</v>
      </c>
      <c r="H384" s="13">
        <v>0.08</v>
      </c>
      <c r="I384" t="s">
        <v>1936</v>
      </c>
      <c r="J384" s="16">
        <v>104.7144</v>
      </c>
      <c r="K384" s="19">
        <f t="shared" si="25"/>
        <v>1752603.7369000011</v>
      </c>
      <c r="L384" s="22">
        <f t="shared" si="26"/>
        <v>1083.191431953029</v>
      </c>
      <c r="M384" s="22">
        <f t="shared" si="27"/>
        <v>563</v>
      </c>
      <c r="N384" s="22" t="str">
        <f t="shared" si="28"/>
        <v>Low Value</v>
      </c>
      <c r="O384" s="22" t="str">
        <f t="shared" si="29"/>
        <v>Jan-2024</v>
      </c>
      <c r="P384" s="22" t="s">
        <v>1653</v>
      </c>
      <c r="Q384" s="22" t="s">
        <v>1531</v>
      </c>
      <c r="R384" s="22" t="s">
        <v>677</v>
      </c>
      <c r="S384" s="22"/>
      <c r="T384" s="22"/>
      <c r="V384" s="26" t="s">
        <v>1931</v>
      </c>
      <c r="W384" s="6">
        <v>12</v>
      </c>
    </row>
    <row r="385" spans="1:23">
      <c r="A385" t="s">
        <v>2320</v>
      </c>
      <c r="B385" s="8">
        <v>45266</v>
      </c>
      <c r="C385" t="s">
        <v>1046</v>
      </c>
      <c r="D385" t="s">
        <v>1783</v>
      </c>
      <c r="E385" t="s">
        <v>1883</v>
      </c>
      <c r="F385">
        <v>1</v>
      </c>
      <c r="G385" s="10">
        <v>141.79</v>
      </c>
      <c r="H385" s="13">
        <v>0.1</v>
      </c>
      <c r="I385" t="s">
        <v>1931</v>
      </c>
      <c r="J385" s="16">
        <v>127.611</v>
      </c>
      <c r="K385" s="19">
        <f t="shared" si="25"/>
        <v>1752499.0225000011</v>
      </c>
      <c r="L385" s="22">
        <f t="shared" si="26"/>
        <v>1083.7965507111942</v>
      </c>
      <c r="M385" s="22">
        <f t="shared" si="27"/>
        <v>563</v>
      </c>
      <c r="N385" s="22" t="str">
        <f t="shared" si="28"/>
        <v>Low Value</v>
      </c>
      <c r="O385" s="22" t="str">
        <f t="shared" si="29"/>
        <v>Dec-2023</v>
      </c>
      <c r="P385" s="22" t="s">
        <v>1784</v>
      </c>
      <c r="Q385" s="22" t="s">
        <v>1531</v>
      </c>
      <c r="R385" s="22" t="s">
        <v>1047</v>
      </c>
      <c r="S385" s="22"/>
      <c r="T385" s="22"/>
      <c r="V385" s="26" t="s">
        <v>1933</v>
      </c>
      <c r="W385" s="6">
        <v>8</v>
      </c>
    </row>
    <row r="386" spans="1:23">
      <c r="A386" t="s">
        <v>2321</v>
      </c>
      <c r="B386" s="8">
        <v>45302</v>
      </c>
      <c r="C386" t="s">
        <v>1476</v>
      </c>
      <c r="D386" t="s">
        <v>1567</v>
      </c>
      <c r="E386" t="s">
        <v>1908</v>
      </c>
      <c r="F386">
        <v>4</v>
      </c>
      <c r="G386" s="10">
        <v>355.14</v>
      </c>
      <c r="H386" s="13">
        <v>0.16</v>
      </c>
      <c r="I386" t="s">
        <v>1936</v>
      </c>
      <c r="J386" s="16">
        <v>1193.2704000000001</v>
      </c>
      <c r="K386" s="19">
        <f t="shared" ref="K386:K449" si="30">SUM(J386:J2385)</f>
        <v>1752371.4115000011</v>
      </c>
      <c r="L386" s="22">
        <f t="shared" ref="L386:L449" si="31">AVERAGE(J386:J2385)</f>
        <v>1084.3882496905946</v>
      </c>
      <c r="M386" s="22">
        <f t="shared" ref="M386:M449" si="32">COUNTIF(I386:I2385,"PayPal")</f>
        <v>563</v>
      </c>
      <c r="N386" s="22" t="str">
        <f t="shared" ref="N386:N449" si="33">IF(J386&gt;=1000,"High Value","Low Value")</f>
        <v>High Value</v>
      </c>
      <c r="O386" s="22" t="str">
        <f t="shared" ref="O386:O449" si="34">TEXT(B386,"mmm-yyyy")</f>
        <v>Jan-2024</v>
      </c>
      <c r="P386" s="22" t="s">
        <v>1568</v>
      </c>
      <c r="Q386" s="22" t="s">
        <v>1569</v>
      </c>
      <c r="R386" s="22" t="s">
        <v>1266</v>
      </c>
      <c r="S386" s="22"/>
      <c r="T386" s="22"/>
      <c r="V386" s="25" t="s">
        <v>558</v>
      </c>
      <c r="W386" s="6">
        <v>25</v>
      </c>
    </row>
    <row r="387" spans="1:23">
      <c r="A387" t="s">
        <v>2322</v>
      </c>
      <c r="B387" s="8">
        <v>45907</v>
      </c>
      <c r="C387" t="s">
        <v>685</v>
      </c>
      <c r="D387" t="s">
        <v>1665</v>
      </c>
      <c r="E387" t="s">
        <v>1883</v>
      </c>
      <c r="F387">
        <v>4</v>
      </c>
      <c r="G387" s="10">
        <v>960.38</v>
      </c>
      <c r="H387" s="13">
        <v>0.15</v>
      </c>
      <c r="I387" t="s">
        <v>1936</v>
      </c>
      <c r="J387" s="16">
        <v>3265.2919999999999</v>
      </c>
      <c r="K387" s="19">
        <f t="shared" si="30"/>
        <v>1751178.1411000011</v>
      </c>
      <c r="L387" s="22">
        <f t="shared" si="31"/>
        <v>1084.3208304024774</v>
      </c>
      <c r="M387" s="22">
        <f t="shared" si="32"/>
        <v>563</v>
      </c>
      <c r="N387" s="22" t="str">
        <f t="shared" si="33"/>
        <v>High Value</v>
      </c>
      <c r="O387" s="22" t="str">
        <f t="shared" si="34"/>
        <v>Sep-2025</v>
      </c>
      <c r="P387" s="22" t="s">
        <v>1666</v>
      </c>
      <c r="Q387" s="22" t="s">
        <v>1569</v>
      </c>
      <c r="R387" s="22" t="s">
        <v>686</v>
      </c>
      <c r="S387" s="22"/>
      <c r="T387" s="22"/>
      <c r="V387" s="26" t="s">
        <v>1936</v>
      </c>
      <c r="W387" s="6">
        <v>10</v>
      </c>
    </row>
    <row r="388" spans="1:23">
      <c r="A388" t="s">
        <v>2323</v>
      </c>
      <c r="B388" s="8">
        <v>45433</v>
      </c>
      <c r="C388" t="s">
        <v>1297</v>
      </c>
      <c r="D388" t="s">
        <v>1762</v>
      </c>
      <c r="E388" t="s">
        <v>1911</v>
      </c>
      <c r="F388">
        <v>3</v>
      </c>
      <c r="G388" s="10">
        <v>847.21</v>
      </c>
      <c r="H388" s="13">
        <v>0.06</v>
      </c>
      <c r="I388" t="s">
        <v>1933</v>
      </c>
      <c r="J388" s="16">
        <v>2389.1322</v>
      </c>
      <c r="K388" s="19">
        <f t="shared" si="30"/>
        <v>1747912.8491000014</v>
      </c>
      <c r="L388" s="22">
        <f t="shared" si="31"/>
        <v>1082.969547149939</v>
      </c>
      <c r="M388" s="22">
        <f t="shared" si="32"/>
        <v>563</v>
      </c>
      <c r="N388" s="22" t="str">
        <f t="shared" si="33"/>
        <v>High Value</v>
      </c>
      <c r="O388" s="22" t="str">
        <f t="shared" si="34"/>
        <v>May-2024</v>
      </c>
      <c r="P388" s="22" t="s">
        <v>1763</v>
      </c>
      <c r="Q388" s="22" t="s">
        <v>1536</v>
      </c>
      <c r="R388" s="22" t="s">
        <v>3958</v>
      </c>
      <c r="S388" s="22"/>
      <c r="T388" s="22"/>
      <c r="V388" s="26" t="s">
        <v>1931</v>
      </c>
      <c r="W388" s="6">
        <v>8</v>
      </c>
    </row>
    <row r="389" spans="1:23">
      <c r="A389" t="s">
        <v>2324</v>
      </c>
      <c r="B389" s="8">
        <v>45892</v>
      </c>
      <c r="C389" t="s">
        <v>241</v>
      </c>
      <c r="D389" t="s">
        <v>1795</v>
      </c>
      <c r="E389" t="s">
        <v>1896</v>
      </c>
      <c r="F389">
        <v>4</v>
      </c>
      <c r="G389" s="10">
        <v>773.81</v>
      </c>
      <c r="H389" s="13">
        <v>0.08</v>
      </c>
      <c r="I389" t="s">
        <v>1936</v>
      </c>
      <c r="J389" s="16">
        <v>2847.6208000000001</v>
      </c>
      <c r="K389" s="19">
        <f t="shared" si="30"/>
        <v>1745523.716900001</v>
      </c>
      <c r="L389" s="22">
        <f t="shared" si="31"/>
        <v>1082.1597748915071</v>
      </c>
      <c r="M389" s="22">
        <f t="shared" si="32"/>
        <v>562</v>
      </c>
      <c r="N389" s="22" t="str">
        <f t="shared" si="33"/>
        <v>High Value</v>
      </c>
      <c r="O389" s="22" t="str">
        <f t="shared" si="34"/>
        <v>Aug-2025</v>
      </c>
      <c r="P389" s="22" t="s">
        <v>1796</v>
      </c>
      <c r="Q389" s="22" t="s">
        <v>1560</v>
      </c>
      <c r="R389" s="22" t="s">
        <v>242</v>
      </c>
      <c r="S389" s="22"/>
      <c r="T389" s="22"/>
      <c r="V389" s="26" t="s">
        <v>1933</v>
      </c>
      <c r="W389" s="6">
        <v>7</v>
      </c>
    </row>
    <row r="390" spans="1:23">
      <c r="A390" t="s">
        <v>2325</v>
      </c>
      <c r="B390" s="8">
        <v>45780</v>
      </c>
      <c r="C390" t="s">
        <v>8</v>
      </c>
      <c r="D390" t="s">
        <v>1743</v>
      </c>
      <c r="E390" t="s">
        <v>1911</v>
      </c>
      <c r="F390">
        <v>1</v>
      </c>
      <c r="G390" s="10">
        <v>664.71</v>
      </c>
      <c r="H390" s="13">
        <v>0.1</v>
      </c>
      <c r="I390" t="s">
        <v>1933</v>
      </c>
      <c r="J390" s="16">
        <v>598.23900000000003</v>
      </c>
      <c r="K390" s="19">
        <f t="shared" si="30"/>
        <v>1742676.0961000011</v>
      </c>
      <c r="L390" s="22">
        <f t="shared" si="31"/>
        <v>1081.0645757444177</v>
      </c>
      <c r="M390" s="22">
        <f t="shared" si="32"/>
        <v>562</v>
      </c>
      <c r="N390" s="22" t="str">
        <f t="shared" si="33"/>
        <v>Low Value</v>
      </c>
      <c r="O390" s="22" t="str">
        <f t="shared" si="34"/>
        <v>May-2025</v>
      </c>
      <c r="P390" s="22" t="s">
        <v>1744</v>
      </c>
      <c r="Q390" s="22" t="s">
        <v>1555</v>
      </c>
      <c r="R390" s="22" t="s">
        <v>3939</v>
      </c>
      <c r="S390" s="22"/>
      <c r="T390" s="22"/>
      <c r="V390" s="25" t="s">
        <v>1080</v>
      </c>
      <c r="W390" s="6">
        <v>6</v>
      </c>
    </row>
    <row r="391" spans="1:23">
      <c r="A391" t="s">
        <v>2326</v>
      </c>
      <c r="B391" s="8">
        <v>45233</v>
      </c>
      <c r="C391" t="s">
        <v>1085</v>
      </c>
      <c r="D391" t="s">
        <v>1661</v>
      </c>
      <c r="E391" t="s">
        <v>1886</v>
      </c>
      <c r="F391">
        <v>4</v>
      </c>
      <c r="G391" s="10">
        <v>482.06</v>
      </c>
      <c r="H391" s="13">
        <v>7.0000000000000007E-2</v>
      </c>
      <c r="I391" t="s">
        <v>1933</v>
      </c>
      <c r="J391" s="16">
        <v>1793.2632000000001</v>
      </c>
      <c r="K391" s="19">
        <f t="shared" si="30"/>
        <v>1742077.8571000011</v>
      </c>
      <c r="L391" s="22">
        <f t="shared" si="31"/>
        <v>1081.3642812538803</v>
      </c>
      <c r="M391" s="22">
        <f t="shared" si="32"/>
        <v>561</v>
      </c>
      <c r="N391" s="22" t="str">
        <f t="shared" si="33"/>
        <v>High Value</v>
      </c>
      <c r="O391" s="22" t="str">
        <f t="shared" si="34"/>
        <v>Nov-2023</v>
      </c>
      <c r="P391" s="22" t="s">
        <v>1662</v>
      </c>
      <c r="Q391" s="22" t="s">
        <v>1536</v>
      </c>
      <c r="R391" s="22" t="s">
        <v>3954</v>
      </c>
      <c r="S391" s="22"/>
      <c r="T391" s="22"/>
      <c r="V391" s="26" t="s">
        <v>1931</v>
      </c>
      <c r="W391" s="6">
        <v>2</v>
      </c>
    </row>
    <row r="392" spans="1:23">
      <c r="A392" t="s">
        <v>2327</v>
      </c>
      <c r="B392" s="8">
        <v>45742</v>
      </c>
      <c r="C392" t="s">
        <v>316</v>
      </c>
      <c r="D392" t="s">
        <v>1725</v>
      </c>
      <c r="E392" t="s">
        <v>1873</v>
      </c>
      <c r="F392">
        <v>4</v>
      </c>
      <c r="G392" s="10">
        <v>995.55</v>
      </c>
      <c r="H392" s="13">
        <v>0.19</v>
      </c>
      <c r="I392" t="s">
        <v>1933</v>
      </c>
      <c r="J392" s="16">
        <v>3225.5819999999999</v>
      </c>
      <c r="K392" s="19">
        <f t="shared" si="30"/>
        <v>1740284.5939000011</v>
      </c>
      <c r="L392" s="22">
        <f t="shared" si="31"/>
        <v>1080.922108012423</v>
      </c>
      <c r="M392" s="22">
        <f t="shared" si="32"/>
        <v>560</v>
      </c>
      <c r="N392" s="22" t="str">
        <f t="shared" si="33"/>
        <v>High Value</v>
      </c>
      <c r="O392" s="22" t="str">
        <f t="shared" si="34"/>
        <v>Mar-2025</v>
      </c>
      <c r="P392" s="22" t="s">
        <v>1726</v>
      </c>
      <c r="Q392" s="22" t="s">
        <v>1569</v>
      </c>
      <c r="R392" s="22" t="s">
        <v>317</v>
      </c>
      <c r="S392" s="22"/>
      <c r="T392" s="22"/>
      <c r="V392" s="26" t="s">
        <v>1933</v>
      </c>
      <c r="W392" s="6">
        <v>4</v>
      </c>
    </row>
    <row r="393" spans="1:23">
      <c r="A393" t="s">
        <v>2328</v>
      </c>
      <c r="B393" s="8">
        <v>45478</v>
      </c>
      <c r="C393" t="s">
        <v>476</v>
      </c>
      <c r="D393" t="s">
        <v>1834</v>
      </c>
      <c r="E393" t="s">
        <v>1904</v>
      </c>
      <c r="F393">
        <v>2</v>
      </c>
      <c r="G393" s="10">
        <v>153.84</v>
      </c>
      <c r="H393" s="13">
        <v>0.27</v>
      </c>
      <c r="I393" t="s">
        <v>1933</v>
      </c>
      <c r="J393" s="16">
        <v>224.60640000000001</v>
      </c>
      <c r="K393" s="19">
        <f t="shared" si="30"/>
        <v>1737059.0119000012</v>
      </c>
      <c r="L393" s="22">
        <f t="shared" si="31"/>
        <v>1079.5891932256068</v>
      </c>
      <c r="M393" s="22">
        <f t="shared" si="32"/>
        <v>559</v>
      </c>
      <c r="N393" s="22" t="str">
        <f t="shared" si="33"/>
        <v>Low Value</v>
      </c>
      <c r="O393" s="22" t="str">
        <f t="shared" si="34"/>
        <v>Jul-2024</v>
      </c>
      <c r="P393" s="22" t="s">
        <v>1835</v>
      </c>
      <c r="Q393" s="22" t="s">
        <v>1531</v>
      </c>
      <c r="R393" s="22" t="s">
        <v>477</v>
      </c>
      <c r="S393" s="22"/>
      <c r="T393" s="22"/>
      <c r="V393" s="25" t="s">
        <v>546</v>
      </c>
      <c r="W393" s="6">
        <v>17</v>
      </c>
    </row>
    <row r="394" spans="1:23">
      <c r="A394" t="s">
        <v>2329</v>
      </c>
      <c r="B394" s="8">
        <v>45789</v>
      </c>
      <c r="C394" t="s">
        <v>512</v>
      </c>
      <c r="D394" t="s">
        <v>1789</v>
      </c>
      <c r="E394" t="s">
        <v>1883</v>
      </c>
      <c r="F394">
        <v>3</v>
      </c>
      <c r="G394" s="10">
        <v>362.11</v>
      </c>
      <c r="H394" s="13">
        <v>0.23</v>
      </c>
      <c r="I394" t="s">
        <v>1936</v>
      </c>
      <c r="J394" s="16">
        <v>836.47409999999991</v>
      </c>
      <c r="K394" s="19">
        <f t="shared" si="30"/>
        <v>1736834.405500001</v>
      </c>
      <c r="L394" s="22">
        <f t="shared" si="31"/>
        <v>1080.1208989427867</v>
      </c>
      <c r="M394" s="22">
        <f t="shared" si="32"/>
        <v>558</v>
      </c>
      <c r="N394" s="22" t="str">
        <f t="shared" si="33"/>
        <v>Low Value</v>
      </c>
      <c r="O394" s="22" t="str">
        <f t="shared" si="34"/>
        <v>May-2025</v>
      </c>
      <c r="P394" s="22" t="s">
        <v>1790</v>
      </c>
      <c r="Q394" s="22" t="s">
        <v>1560</v>
      </c>
      <c r="R394" s="22" t="s">
        <v>513</v>
      </c>
      <c r="S394" s="22"/>
      <c r="T394" s="22"/>
      <c r="V394" s="26" t="s">
        <v>1936</v>
      </c>
      <c r="W394" s="6">
        <v>8</v>
      </c>
    </row>
    <row r="395" spans="1:23">
      <c r="A395" t="s">
        <v>2330</v>
      </c>
      <c r="B395" s="8">
        <v>45561</v>
      </c>
      <c r="C395" t="s">
        <v>1445</v>
      </c>
      <c r="D395" t="s">
        <v>1681</v>
      </c>
      <c r="E395" t="s">
        <v>1889</v>
      </c>
      <c r="F395">
        <v>3</v>
      </c>
      <c r="G395" s="10">
        <v>112.26</v>
      </c>
      <c r="H395" s="13">
        <v>0.11</v>
      </c>
      <c r="I395" t="s">
        <v>1931</v>
      </c>
      <c r="J395" s="16">
        <v>299.73419999999999</v>
      </c>
      <c r="K395" s="19">
        <f t="shared" si="30"/>
        <v>1735997.931400001</v>
      </c>
      <c r="L395" s="22">
        <f t="shared" si="31"/>
        <v>1080.2725148724337</v>
      </c>
      <c r="M395" s="22">
        <f t="shared" si="32"/>
        <v>558</v>
      </c>
      <c r="N395" s="22" t="str">
        <f t="shared" si="33"/>
        <v>Low Value</v>
      </c>
      <c r="O395" s="22" t="str">
        <f t="shared" si="34"/>
        <v>Sep-2024</v>
      </c>
      <c r="P395" s="22" t="s">
        <v>1682</v>
      </c>
      <c r="Q395" s="22" t="s">
        <v>1531</v>
      </c>
      <c r="R395" s="22" t="s">
        <v>1446</v>
      </c>
      <c r="S395" s="22"/>
      <c r="T395" s="22"/>
      <c r="V395" s="26" t="s">
        <v>1931</v>
      </c>
      <c r="W395" s="6">
        <v>3</v>
      </c>
    </row>
    <row r="396" spans="1:23">
      <c r="A396" t="s">
        <v>2331</v>
      </c>
      <c r="B396" s="8">
        <v>45378</v>
      </c>
      <c r="C396" t="s">
        <v>661</v>
      </c>
      <c r="D396" t="s">
        <v>1837</v>
      </c>
      <c r="E396" t="s">
        <v>1920</v>
      </c>
      <c r="F396">
        <v>2</v>
      </c>
      <c r="G396" s="10">
        <v>962.81</v>
      </c>
      <c r="H396" s="13">
        <v>0.06</v>
      </c>
      <c r="I396" t="s">
        <v>1936</v>
      </c>
      <c r="J396" s="16">
        <v>1810.0827999999999</v>
      </c>
      <c r="K396" s="19">
        <f t="shared" si="30"/>
        <v>1735698.1972000012</v>
      </c>
      <c r="L396" s="22">
        <f t="shared" si="31"/>
        <v>1080.7585287671241</v>
      </c>
      <c r="M396" s="22">
        <f t="shared" si="32"/>
        <v>558</v>
      </c>
      <c r="N396" s="22" t="str">
        <f t="shared" si="33"/>
        <v>High Value</v>
      </c>
      <c r="O396" s="22" t="str">
        <f t="shared" si="34"/>
        <v>Mar-2024</v>
      </c>
      <c r="P396" s="22" t="s">
        <v>1838</v>
      </c>
      <c r="Q396" s="22" t="s">
        <v>1555</v>
      </c>
      <c r="R396" s="22" t="s">
        <v>662</v>
      </c>
      <c r="S396" s="22"/>
      <c r="T396" s="22"/>
      <c r="V396" s="26" t="s">
        <v>1933</v>
      </c>
      <c r="W396" s="6">
        <v>6</v>
      </c>
    </row>
    <row r="397" spans="1:23">
      <c r="A397" t="s">
        <v>2332</v>
      </c>
      <c r="B397" s="8">
        <v>45308</v>
      </c>
      <c r="C397" t="s">
        <v>691</v>
      </c>
      <c r="D397" t="s">
        <v>1610</v>
      </c>
      <c r="E397" t="s">
        <v>1859</v>
      </c>
      <c r="F397">
        <v>4</v>
      </c>
      <c r="G397" s="10">
        <v>276.23</v>
      </c>
      <c r="H397" s="13">
        <v>0.12</v>
      </c>
      <c r="I397" t="s">
        <v>1931</v>
      </c>
      <c r="J397" s="16">
        <v>972.32960000000003</v>
      </c>
      <c r="K397" s="19">
        <f t="shared" si="30"/>
        <v>1733888.114400001</v>
      </c>
      <c r="L397" s="22">
        <f t="shared" si="31"/>
        <v>1080.3041211214959</v>
      </c>
      <c r="M397" s="22">
        <f t="shared" si="32"/>
        <v>558</v>
      </c>
      <c r="N397" s="22" t="str">
        <f t="shared" si="33"/>
        <v>Low Value</v>
      </c>
      <c r="O397" s="22" t="str">
        <f t="shared" si="34"/>
        <v>Jan-2024</v>
      </c>
      <c r="P397" s="22" t="s">
        <v>1611</v>
      </c>
      <c r="Q397" s="22" t="s">
        <v>1560</v>
      </c>
      <c r="R397" s="22" t="s">
        <v>692</v>
      </c>
      <c r="S397" s="22"/>
      <c r="T397" s="22"/>
      <c r="V397" s="25" t="s">
        <v>1501</v>
      </c>
      <c r="W397" s="6">
        <v>17</v>
      </c>
    </row>
    <row r="398" spans="1:23">
      <c r="A398" t="s">
        <v>2333</v>
      </c>
      <c r="B398" s="8">
        <v>45407</v>
      </c>
      <c r="C398" t="s">
        <v>71</v>
      </c>
      <c r="D398" t="s">
        <v>1600</v>
      </c>
      <c r="E398" t="s">
        <v>1906</v>
      </c>
      <c r="F398">
        <v>3</v>
      </c>
      <c r="G398" s="10">
        <v>991.37</v>
      </c>
      <c r="H398" s="13">
        <v>0.1</v>
      </c>
      <c r="I398" t="s">
        <v>1933</v>
      </c>
      <c r="J398" s="16">
        <v>2676.6990000000001</v>
      </c>
      <c r="K398" s="19">
        <f t="shared" si="30"/>
        <v>1732915.784800001</v>
      </c>
      <c r="L398" s="22">
        <f t="shared" si="31"/>
        <v>1080.3714369077313</v>
      </c>
      <c r="M398" s="22">
        <f t="shared" si="32"/>
        <v>558</v>
      </c>
      <c r="N398" s="22" t="str">
        <f t="shared" si="33"/>
        <v>High Value</v>
      </c>
      <c r="O398" s="22" t="str">
        <f t="shared" si="34"/>
        <v>Apr-2024</v>
      </c>
      <c r="P398" s="22" t="s">
        <v>1601</v>
      </c>
      <c r="Q398" s="22" t="s">
        <v>1536</v>
      </c>
      <c r="R398" s="22" t="s">
        <v>72</v>
      </c>
      <c r="S398" s="22"/>
      <c r="T398" s="22"/>
      <c r="V398" s="26" t="s">
        <v>1936</v>
      </c>
      <c r="W398" s="6">
        <v>8</v>
      </c>
    </row>
    <row r="399" spans="1:23">
      <c r="A399" t="s">
        <v>2334</v>
      </c>
      <c r="B399" s="8">
        <v>45929</v>
      </c>
      <c r="C399" t="s">
        <v>557</v>
      </c>
      <c r="D399" t="s">
        <v>1610</v>
      </c>
      <c r="E399" t="s">
        <v>1904</v>
      </c>
      <c r="F399">
        <v>3</v>
      </c>
      <c r="G399" s="10">
        <v>977.47</v>
      </c>
      <c r="H399" s="13">
        <v>0.05</v>
      </c>
      <c r="I399" t="s">
        <v>1931</v>
      </c>
      <c r="J399" s="16">
        <v>2785.7894999999999</v>
      </c>
      <c r="K399" s="19">
        <f t="shared" si="30"/>
        <v>1730239.0858000009</v>
      </c>
      <c r="L399" s="22">
        <f t="shared" si="31"/>
        <v>1079.3755993761702</v>
      </c>
      <c r="M399" s="22">
        <f t="shared" si="32"/>
        <v>557</v>
      </c>
      <c r="N399" s="22" t="str">
        <f t="shared" si="33"/>
        <v>High Value</v>
      </c>
      <c r="O399" s="22" t="str">
        <f t="shared" si="34"/>
        <v>Sep-2025</v>
      </c>
      <c r="P399" s="22" t="s">
        <v>1611</v>
      </c>
      <c r="Q399" s="22" t="s">
        <v>1560</v>
      </c>
      <c r="R399" s="22" t="s">
        <v>558</v>
      </c>
      <c r="S399" s="22"/>
      <c r="T399" s="22"/>
      <c r="V399" s="26" t="s">
        <v>1931</v>
      </c>
      <c r="W399" s="6">
        <v>1</v>
      </c>
    </row>
    <row r="400" spans="1:23">
      <c r="A400" t="s">
        <v>2335</v>
      </c>
      <c r="B400" s="8">
        <v>45844</v>
      </c>
      <c r="C400" t="s">
        <v>670</v>
      </c>
      <c r="D400" t="s">
        <v>1837</v>
      </c>
      <c r="E400" t="s">
        <v>1901</v>
      </c>
      <c r="F400">
        <v>2</v>
      </c>
      <c r="G400" s="10">
        <v>308.7</v>
      </c>
      <c r="H400" s="13">
        <v>0.2</v>
      </c>
      <c r="I400" t="s">
        <v>1933</v>
      </c>
      <c r="J400" s="16">
        <v>493.92</v>
      </c>
      <c r="K400" s="19">
        <f t="shared" si="30"/>
        <v>1727453.296300001</v>
      </c>
      <c r="L400" s="22">
        <f t="shared" si="31"/>
        <v>1078.310422159801</v>
      </c>
      <c r="M400" s="22">
        <f t="shared" si="32"/>
        <v>557</v>
      </c>
      <c r="N400" s="22" t="str">
        <f t="shared" si="33"/>
        <v>Low Value</v>
      </c>
      <c r="O400" s="22" t="str">
        <f t="shared" si="34"/>
        <v>Jul-2025</v>
      </c>
      <c r="P400" s="22" t="s">
        <v>1838</v>
      </c>
      <c r="Q400" s="22" t="s">
        <v>1555</v>
      </c>
      <c r="R400" s="22" t="s">
        <v>671</v>
      </c>
      <c r="S400" s="22"/>
      <c r="T400" s="22"/>
      <c r="V400" s="26" t="s">
        <v>1933</v>
      </c>
      <c r="W400" s="6">
        <v>8</v>
      </c>
    </row>
    <row r="401" spans="1:23">
      <c r="A401" t="s">
        <v>2336</v>
      </c>
      <c r="B401" s="8">
        <v>45579</v>
      </c>
      <c r="C401" t="s">
        <v>146</v>
      </c>
      <c r="D401" t="s">
        <v>1553</v>
      </c>
      <c r="E401" t="s">
        <v>1911</v>
      </c>
      <c r="F401">
        <v>2</v>
      </c>
      <c r="G401" s="10">
        <v>733.87</v>
      </c>
      <c r="H401" s="13">
        <v>0.1</v>
      </c>
      <c r="I401" t="s">
        <v>1933</v>
      </c>
      <c r="J401" s="16">
        <v>1320.9659999999999</v>
      </c>
      <c r="K401" s="19">
        <f t="shared" si="30"/>
        <v>1726959.3763000008</v>
      </c>
      <c r="L401" s="22">
        <f t="shared" si="31"/>
        <v>1078.6754380387263</v>
      </c>
      <c r="M401" s="22">
        <f t="shared" si="32"/>
        <v>556</v>
      </c>
      <c r="N401" s="22" t="str">
        <f t="shared" si="33"/>
        <v>High Value</v>
      </c>
      <c r="O401" s="22" t="str">
        <f t="shared" si="34"/>
        <v>Oct-2024</v>
      </c>
      <c r="P401" s="22" t="s">
        <v>1554</v>
      </c>
      <c r="Q401" s="22" t="s">
        <v>1555</v>
      </c>
      <c r="R401" s="22" t="s">
        <v>147</v>
      </c>
      <c r="S401" s="22"/>
      <c r="T401" s="22"/>
      <c r="V401" s="25" t="s">
        <v>1009</v>
      </c>
      <c r="W401" s="6">
        <v>7</v>
      </c>
    </row>
    <row r="402" spans="1:23">
      <c r="A402" t="s">
        <v>2337</v>
      </c>
      <c r="B402" s="8">
        <v>45227</v>
      </c>
      <c r="C402" t="s">
        <v>336</v>
      </c>
      <c r="D402" t="s">
        <v>1603</v>
      </c>
      <c r="E402" t="s">
        <v>1911</v>
      </c>
      <c r="F402">
        <v>2</v>
      </c>
      <c r="G402" s="10">
        <v>22.47</v>
      </c>
      <c r="H402" s="13">
        <v>0.22</v>
      </c>
      <c r="I402" t="s">
        <v>1933</v>
      </c>
      <c r="J402" s="16">
        <v>35.053199999999997</v>
      </c>
      <c r="K402" s="19">
        <f t="shared" si="30"/>
        <v>1725638.4103000008</v>
      </c>
      <c r="L402" s="22">
        <f t="shared" si="31"/>
        <v>1078.5240064375005</v>
      </c>
      <c r="M402" s="22">
        <f t="shared" si="32"/>
        <v>555</v>
      </c>
      <c r="N402" s="22" t="str">
        <f t="shared" si="33"/>
        <v>Low Value</v>
      </c>
      <c r="O402" s="22" t="str">
        <f t="shared" si="34"/>
        <v>Oct-2023</v>
      </c>
      <c r="P402" s="22" t="s">
        <v>1604</v>
      </c>
      <c r="Q402" s="22" t="s">
        <v>1569</v>
      </c>
      <c r="R402" s="22" t="s">
        <v>337</v>
      </c>
      <c r="S402" s="22"/>
      <c r="T402" s="22"/>
      <c r="V402" s="26" t="s">
        <v>1936</v>
      </c>
      <c r="W402" s="6">
        <v>6</v>
      </c>
    </row>
    <row r="403" spans="1:23">
      <c r="A403" t="s">
        <v>2338</v>
      </c>
      <c r="B403" s="8">
        <v>45380</v>
      </c>
      <c r="C403" t="s">
        <v>1087</v>
      </c>
      <c r="D403" t="s">
        <v>1725</v>
      </c>
      <c r="E403" t="s">
        <v>1904</v>
      </c>
      <c r="F403">
        <v>4</v>
      </c>
      <c r="G403" s="10">
        <v>651.36</v>
      </c>
      <c r="H403" s="13">
        <v>0.13</v>
      </c>
      <c r="I403" t="s">
        <v>1931</v>
      </c>
      <c r="J403" s="16">
        <v>2266.7328000000002</v>
      </c>
      <c r="K403" s="19">
        <f t="shared" si="30"/>
        <v>1725603.3571000008</v>
      </c>
      <c r="L403" s="22">
        <f t="shared" si="31"/>
        <v>1079.1765835522206</v>
      </c>
      <c r="M403" s="22">
        <f t="shared" si="32"/>
        <v>554</v>
      </c>
      <c r="N403" s="22" t="str">
        <f t="shared" si="33"/>
        <v>High Value</v>
      </c>
      <c r="O403" s="22" t="str">
        <f t="shared" si="34"/>
        <v>Mar-2024</v>
      </c>
      <c r="P403" s="22" t="s">
        <v>1726</v>
      </c>
      <c r="Q403" s="22" t="s">
        <v>1569</v>
      </c>
      <c r="R403" s="22" t="s">
        <v>1088</v>
      </c>
      <c r="S403" s="22"/>
      <c r="T403" s="22"/>
      <c r="V403" s="26" t="s">
        <v>1933</v>
      </c>
      <c r="W403" s="6">
        <v>1</v>
      </c>
    </row>
    <row r="404" spans="1:23">
      <c r="A404" t="s">
        <v>2339</v>
      </c>
      <c r="B404" s="8">
        <v>45817</v>
      </c>
      <c r="C404" t="s">
        <v>935</v>
      </c>
      <c r="D404" t="s">
        <v>1586</v>
      </c>
      <c r="E404" t="s">
        <v>1896</v>
      </c>
      <c r="F404">
        <v>1</v>
      </c>
      <c r="G404" s="10">
        <v>753.39</v>
      </c>
      <c r="H404" s="13">
        <v>0.04</v>
      </c>
      <c r="I404" t="s">
        <v>1936</v>
      </c>
      <c r="J404" s="16">
        <v>723.25439999999992</v>
      </c>
      <c r="K404" s="19">
        <f t="shared" si="30"/>
        <v>1723336.624300001</v>
      </c>
      <c r="L404" s="22">
        <f t="shared" si="31"/>
        <v>1078.4334319774725</v>
      </c>
      <c r="M404" s="22">
        <f t="shared" si="32"/>
        <v>554</v>
      </c>
      <c r="N404" s="22" t="str">
        <f t="shared" si="33"/>
        <v>Low Value</v>
      </c>
      <c r="O404" s="22" t="str">
        <f t="shared" si="34"/>
        <v>Jun-2025</v>
      </c>
      <c r="P404" s="22" t="s">
        <v>1587</v>
      </c>
      <c r="Q404" s="22" t="s">
        <v>1560</v>
      </c>
      <c r="R404" s="22" t="s">
        <v>936</v>
      </c>
      <c r="S404" s="22"/>
      <c r="T404" s="22"/>
      <c r="V404" s="25" t="s">
        <v>122</v>
      </c>
      <c r="W404" s="6">
        <v>13</v>
      </c>
    </row>
    <row r="405" spans="1:23">
      <c r="A405" t="s">
        <v>2340</v>
      </c>
      <c r="B405" s="8">
        <v>45576</v>
      </c>
      <c r="C405" t="s">
        <v>655</v>
      </c>
      <c r="D405" t="s">
        <v>1768</v>
      </c>
      <c r="E405" t="s">
        <v>1901</v>
      </c>
      <c r="F405">
        <v>4</v>
      </c>
      <c r="G405" s="10">
        <v>849.17</v>
      </c>
      <c r="H405" s="13">
        <v>0.12</v>
      </c>
      <c r="I405" t="s">
        <v>1936</v>
      </c>
      <c r="J405" s="16">
        <v>2989.0783999999999</v>
      </c>
      <c r="K405" s="19">
        <f t="shared" si="30"/>
        <v>1722613.369900001</v>
      </c>
      <c r="L405" s="22">
        <f t="shared" si="31"/>
        <v>1078.6558358797752</v>
      </c>
      <c r="M405" s="22">
        <f t="shared" si="32"/>
        <v>554</v>
      </c>
      <c r="N405" s="22" t="str">
        <f t="shared" si="33"/>
        <v>High Value</v>
      </c>
      <c r="O405" s="22" t="str">
        <f t="shared" si="34"/>
        <v>Oct-2024</v>
      </c>
      <c r="P405" s="22" t="s">
        <v>1769</v>
      </c>
      <c r="Q405" s="22" t="s">
        <v>1555</v>
      </c>
      <c r="R405" s="22" t="s">
        <v>656</v>
      </c>
      <c r="S405" s="22"/>
      <c r="T405" s="22"/>
      <c r="V405" s="26" t="s">
        <v>1936</v>
      </c>
      <c r="W405" s="6">
        <v>10</v>
      </c>
    </row>
    <row r="406" spans="1:23">
      <c r="A406" t="s">
        <v>2341</v>
      </c>
      <c r="B406" s="8">
        <v>45495</v>
      </c>
      <c r="C406" t="s">
        <v>1178</v>
      </c>
      <c r="D406" t="s">
        <v>1607</v>
      </c>
      <c r="E406" t="s">
        <v>1859</v>
      </c>
      <c r="F406">
        <v>4</v>
      </c>
      <c r="G406" s="10">
        <v>585.45000000000005</v>
      </c>
      <c r="H406" s="13">
        <v>0.25</v>
      </c>
      <c r="I406" t="s">
        <v>1936</v>
      </c>
      <c r="J406" s="16">
        <v>1756.35</v>
      </c>
      <c r="K406" s="19">
        <f t="shared" si="30"/>
        <v>1719624.2915000007</v>
      </c>
      <c r="L406" s="22">
        <f t="shared" si="31"/>
        <v>1077.458829260652</v>
      </c>
      <c r="M406" s="22">
        <f t="shared" si="32"/>
        <v>554</v>
      </c>
      <c r="N406" s="22" t="str">
        <f t="shared" si="33"/>
        <v>High Value</v>
      </c>
      <c r="O406" s="22" t="str">
        <f t="shared" si="34"/>
        <v>Jul-2024</v>
      </c>
      <c r="P406" s="22" t="s">
        <v>1608</v>
      </c>
      <c r="Q406" s="22" t="s">
        <v>1569</v>
      </c>
      <c r="R406" s="22" t="s">
        <v>1179</v>
      </c>
      <c r="S406" s="22"/>
      <c r="T406" s="22"/>
      <c r="V406" s="26" t="s">
        <v>1933</v>
      </c>
      <c r="W406" s="6">
        <v>3</v>
      </c>
    </row>
    <row r="407" spans="1:23">
      <c r="A407" t="s">
        <v>2342</v>
      </c>
      <c r="B407" s="8">
        <v>45628</v>
      </c>
      <c r="C407" t="s">
        <v>1456</v>
      </c>
      <c r="D407" t="s">
        <v>1780</v>
      </c>
      <c r="E407" t="s">
        <v>1911</v>
      </c>
      <c r="F407">
        <v>1</v>
      </c>
      <c r="G407" s="10">
        <v>745.15</v>
      </c>
      <c r="H407" s="13">
        <v>0.25</v>
      </c>
      <c r="I407" t="s">
        <v>1936</v>
      </c>
      <c r="J407" s="16">
        <v>558.86249999999995</v>
      </c>
      <c r="K407" s="19">
        <f t="shared" si="30"/>
        <v>1717867.9415000007</v>
      </c>
      <c r="L407" s="22">
        <f t="shared" si="31"/>
        <v>1077.0331921630097</v>
      </c>
      <c r="M407" s="22">
        <f t="shared" si="32"/>
        <v>554</v>
      </c>
      <c r="N407" s="22" t="str">
        <f t="shared" si="33"/>
        <v>Low Value</v>
      </c>
      <c r="O407" s="22" t="str">
        <f t="shared" si="34"/>
        <v>Dec-2024</v>
      </c>
      <c r="P407" s="22" t="s">
        <v>1781</v>
      </c>
      <c r="Q407" s="22" t="s">
        <v>1536</v>
      </c>
      <c r="R407" s="22" t="s">
        <v>1457</v>
      </c>
      <c r="S407" s="22"/>
      <c r="T407" s="22"/>
      <c r="V407" s="25" t="s">
        <v>343</v>
      </c>
      <c r="W407" s="6">
        <v>9</v>
      </c>
    </row>
    <row r="408" spans="1:23">
      <c r="A408" t="s">
        <v>2343</v>
      </c>
      <c r="B408" s="8">
        <v>45244</v>
      </c>
      <c r="C408" t="s">
        <v>188</v>
      </c>
      <c r="D408" t="s">
        <v>1852</v>
      </c>
      <c r="E408" t="s">
        <v>1868</v>
      </c>
      <c r="F408">
        <v>1</v>
      </c>
      <c r="G408" s="10">
        <v>848.69</v>
      </c>
      <c r="H408" s="13">
        <v>0.04</v>
      </c>
      <c r="I408" t="s">
        <v>1936</v>
      </c>
      <c r="J408" s="16">
        <v>814.74239999999998</v>
      </c>
      <c r="K408" s="19">
        <f t="shared" si="30"/>
        <v>1717309.0790000006</v>
      </c>
      <c r="L408" s="22">
        <f t="shared" si="31"/>
        <v>1077.3582678795487</v>
      </c>
      <c r="M408" s="22">
        <f t="shared" si="32"/>
        <v>554</v>
      </c>
      <c r="N408" s="22" t="str">
        <f t="shared" si="33"/>
        <v>Low Value</v>
      </c>
      <c r="O408" s="22" t="str">
        <f t="shared" si="34"/>
        <v>Nov-2023</v>
      </c>
      <c r="P408" s="22" t="s">
        <v>1853</v>
      </c>
      <c r="Q408" s="22" t="s">
        <v>1560</v>
      </c>
      <c r="R408" s="22" t="s">
        <v>189</v>
      </c>
      <c r="S408" s="22"/>
      <c r="T408" s="22"/>
      <c r="V408" s="26" t="s">
        <v>1936</v>
      </c>
      <c r="W408" s="6">
        <v>2</v>
      </c>
    </row>
    <row r="409" spans="1:23">
      <c r="A409" t="s">
        <v>2344</v>
      </c>
      <c r="B409" s="8">
        <v>45336</v>
      </c>
      <c r="C409" t="s">
        <v>1276</v>
      </c>
      <c r="D409" t="s">
        <v>1765</v>
      </c>
      <c r="E409" t="s">
        <v>1906</v>
      </c>
      <c r="F409">
        <v>2</v>
      </c>
      <c r="G409" s="10">
        <v>247.67</v>
      </c>
      <c r="H409" s="13">
        <v>0.1</v>
      </c>
      <c r="I409" t="s">
        <v>1933</v>
      </c>
      <c r="J409" s="16">
        <v>445.80599999999998</v>
      </c>
      <c r="K409" s="19">
        <f t="shared" si="30"/>
        <v>1716494.3366000005</v>
      </c>
      <c r="L409" s="22">
        <f t="shared" si="31"/>
        <v>1077.523124042687</v>
      </c>
      <c r="M409" s="22">
        <f t="shared" si="32"/>
        <v>554</v>
      </c>
      <c r="N409" s="22" t="str">
        <f t="shared" si="33"/>
        <v>Low Value</v>
      </c>
      <c r="O409" s="22" t="str">
        <f t="shared" si="34"/>
        <v>Feb-2024</v>
      </c>
      <c r="P409" s="22" t="s">
        <v>1766</v>
      </c>
      <c r="Q409" s="22" t="s">
        <v>1560</v>
      </c>
      <c r="R409" s="22" t="s">
        <v>1277</v>
      </c>
      <c r="S409" s="22"/>
      <c r="T409" s="22"/>
      <c r="V409" s="26" t="s">
        <v>1933</v>
      </c>
      <c r="W409" s="6">
        <v>7</v>
      </c>
    </row>
    <row r="410" spans="1:23">
      <c r="A410" t="s">
        <v>2345</v>
      </c>
      <c r="B410" s="8">
        <v>45465</v>
      </c>
      <c r="C410" t="s">
        <v>152</v>
      </c>
      <c r="D410" t="s">
        <v>1777</v>
      </c>
      <c r="E410" t="s">
        <v>1873</v>
      </c>
      <c r="F410">
        <v>3</v>
      </c>
      <c r="G410" s="10">
        <v>220.51</v>
      </c>
      <c r="H410" s="13">
        <v>0.02</v>
      </c>
      <c r="I410" t="s">
        <v>1933</v>
      </c>
      <c r="J410" s="16">
        <v>648.29939999999999</v>
      </c>
      <c r="K410" s="19">
        <f t="shared" si="30"/>
        <v>1716048.5306000004</v>
      </c>
      <c r="L410" s="22">
        <f t="shared" si="31"/>
        <v>1077.9199312814073</v>
      </c>
      <c r="M410" s="22">
        <f t="shared" si="32"/>
        <v>553</v>
      </c>
      <c r="N410" s="22" t="str">
        <f t="shared" si="33"/>
        <v>Low Value</v>
      </c>
      <c r="O410" s="22" t="str">
        <f t="shared" si="34"/>
        <v>Jun-2024</v>
      </c>
      <c r="P410" s="22" t="s">
        <v>1778</v>
      </c>
      <c r="Q410" s="22" t="s">
        <v>1531</v>
      </c>
      <c r="R410" s="22" t="s">
        <v>153</v>
      </c>
      <c r="S410" s="22"/>
      <c r="T410" s="22"/>
      <c r="V410" s="25" t="s">
        <v>389</v>
      </c>
      <c r="W410" s="6">
        <v>3</v>
      </c>
    </row>
    <row r="411" spans="1:23">
      <c r="A411" t="s">
        <v>2346</v>
      </c>
      <c r="B411" s="8">
        <v>45837</v>
      </c>
      <c r="C411" t="s">
        <v>1025</v>
      </c>
      <c r="D411" t="s">
        <v>1590</v>
      </c>
      <c r="E411" t="s">
        <v>1911</v>
      </c>
      <c r="F411">
        <v>4</v>
      </c>
      <c r="G411" s="10">
        <v>370.63</v>
      </c>
      <c r="H411" s="13">
        <v>0.08</v>
      </c>
      <c r="I411" t="s">
        <v>1931</v>
      </c>
      <c r="J411" s="16">
        <v>1363.9184</v>
      </c>
      <c r="K411" s="19">
        <f t="shared" si="30"/>
        <v>1715400.2312000005</v>
      </c>
      <c r="L411" s="22">
        <f t="shared" si="31"/>
        <v>1078.1899630421121</v>
      </c>
      <c r="M411" s="22">
        <f t="shared" si="32"/>
        <v>552</v>
      </c>
      <c r="N411" s="22" t="str">
        <f t="shared" si="33"/>
        <v>High Value</v>
      </c>
      <c r="O411" s="22" t="str">
        <f t="shared" si="34"/>
        <v>Jun-2025</v>
      </c>
      <c r="P411" s="22" t="s">
        <v>1591</v>
      </c>
      <c r="Q411" s="22" t="s">
        <v>1531</v>
      </c>
      <c r="R411" s="22" t="s">
        <v>1026</v>
      </c>
      <c r="S411" s="22"/>
      <c r="T411" s="22"/>
      <c r="V411" s="26" t="s">
        <v>1936</v>
      </c>
      <c r="W411" s="6">
        <v>2</v>
      </c>
    </row>
    <row r="412" spans="1:23">
      <c r="A412" t="s">
        <v>2347</v>
      </c>
      <c r="B412" s="8">
        <v>45706</v>
      </c>
      <c r="C412" t="s">
        <v>1214</v>
      </c>
      <c r="D412" t="s">
        <v>1636</v>
      </c>
      <c r="E412" t="s">
        <v>1920</v>
      </c>
      <c r="F412">
        <v>4</v>
      </c>
      <c r="G412" s="10">
        <v>349.84</v>
      </c>
      <c r="H412" s="13">
        <v>0.11</v>
      </c>
      <c r="I412" t="s">
        <v>1931</v>
      </c>
      <c r="J412" s="16">
        <v>1245.4304</v>
      </c>
      <c r="K412" s="19">
        <f t="shared" si="30"/>
        <v>1714036.3128000004</v>
      </c>
      <c r="L412" s="22">
        <f t="shared" si="31"/>
        <v>1078.0102596226418</v>
      </c>
      <c r="M412" s="22">
        <f t="shared" si="32"/>
        <v>552</v>
      </c>
      <c r="N412" s="22" t="str">
        <f t="shared" si="33"/>
        <v>High Value</v>
      </c>
      <c r="O412" s="22" t="str">
        <f t="shared" si="34"/>
        <v>Feb-2025</v>
      </c>
      <c r="P412" s="22" t="s">
        <v>1637</v>
      </c>
      <c r="Q412" s="22" t="s">
        <v>1560</v>
      </c>
      <c r="R412" s="22" t="s">
        <v>1215</v>
      </c>
      <c r="S412" s="22"/>
      <c r="T412" s="22"/>
      <c r="V412" s="26" t="s">
        <v>1933</v>
      </c>
      <c r="W412" s="6">
        <v>1</v>
      </c>
    </row>
    <row r="413" spans="1:23">
      <c r="A413" t="s">
        <v>2348</v>
      </c>
      <c r="B413" s="8">
        <v>45823</v>
      </c>
      <c r="C413" t="s">
        <v>167</v>
      </c>
      <c r="D413" t="s">
        <v>1668</v>
      </c>
      <c r="E413" t="s">
        <v>1901</v>
      </c>
      <c r="F413">
        <v>1</v>
      </c>
      <c r="G413" s="10">
        <v>770.87</v>
      </c>
      <c r="H413" s="13">
        <v>0.1</v>
      </c>
      <c r="I413" t="s">
        <v>1936</v>
      </c>
      <c r="J413" s="16">
        <v>693.78300000000002</v>
      </c>
      <c r="K413" s="19">
        <f t="shared" si="30"/>
        <v>1712790.8824000002</v>
      </c>
      <c r="L413" s="22">
        <f t="shared" si="31"/>
        <v>1077.9048976714917</v>
      </c>
      <c r="M413" s="22">
        <f t="shared" si="32"/>
        <v>552</v>
      </c>
      <c r="N413" s="22" t="str">
        <f t="shared" si="33"/>
        <v>Low Value</v>
      </c>
      <c r="O413" s="22" t="str">
        <f t="shared" si="34"/>
        <v>Jun-2025</v>
      </c>
      <c r="P413" s="22" t="s">
        <v>1669</v>
      </c>
      <c r="Q413" s="22" t="s">
        <v>1531</v>
      </c>
      <c r="R413" s="22" t="s">
        <v>168</v>
      </c>
      <c r="S413" s="22"/>
      <c r="T413" s="22"/>
      <c r="V413" s="25" t="s">
        <v>1257</v>
      </c>
      <c r="W413" s="6">
        <v>11</v>
      </c>
    </row>
    <row r="414" spans="1:23">
      <c r="A414" t="s">
        <v>2349</v>
      </c>
      <c r="B414" s="8">
        <v>45518</v>
      </c>
      <c r="C414" t="s">
        <v>1464</v>
      </c>
      <c r="D414" t="s">
        <v>1852</v>
      </c>
      <c r="E414" t="s">
        <v>1914</v>
      </c>
      <c r="F414">
        <v>3</v>
      </c>
      <c r="G414" s="10">
        <v>507.33</v>
      </c>
      <c r="H414" s="13">
        <v>0.06</v>
      </c>
      <c r="I414" t="s">
        <v>1933</v>
      </c>
      <c r="J414" s="16">
        <v>1430.6705999999999</v>
      </c>
      <c r="K414" s="19">
        <f t="shared" si="30"/>
        <v>1712097.0994000002</v>
      </c>
      <c r="L414" s="22">
        <f t="shared" si="31"/>
        <v>1078.1467880352645</v>
      </c>
      <c r="M414" s="22">
        <f t="shared" si="32"/>
        <v>552</v>
      </c>
      <c r="N414" s="22" t="str">
        <f t="shared" si="33"/>
        <v>High Value</v>
      </c>
      <c r="O414" s="22" t="str">
        <f t="shared" si="34"/>
        <v>Aug-2024</v>
      </c>
      <c r="P414" s="22" t="s">
        <v>1853</v>
      </c>
      <c r="Q414" s="22" t="s">
        <v>1560</v>
      </c>
      <c r="R414" s="22" t="s">
        <v>1465</v>
      </c>
      <c r="S414" s="22"/>
      <c r="T414" s="22"/>
      <c r="V414" s="26" t="s">
        <v>1936</v>
      </c>
      <c r="W414" s="6">
        <v>3</v>
      </c>
    </row>
    <row r="415" spans="1:23">
      <c r="A415" t="s">
        <v>2350</v>
      </c>
      <c r="B415" s="8">
        <v>45863</v>
      </c>
      <c r="C415" t="s">
        <v>608</v>
      </c>
      <c r="D415" t="s">
        <v>1752</v>
      </c>
      <c r="E415" t="s">
        <v>1893</v>
      </c>
      <c r="F415">
        <v>1</v>
      </c>
      <c r="G415" s="10">
        <v>87.78</v>
      </c>
      <c r="H415" s="13">
        <v>0.06</v>
      </c>
      <c r="I415" t="s">
        <v>1931</v>
      </c>
      <c r="J415" s="16">
        <v>82.513199999999998</v>
      </c>
      <c r="K415" s="19">
        <f t="shared" si="30"/>
        <v>1710666.4288000003</v>
      </c>
      <c r="L415" s="22">
        <f t="shared" si="31"/>
        <v>1077.9246558286077</v>
      </c>
      <c r="M415" s="22">
        <f t="shared" si="32"/>
        <v>551</v>
      </c>
      <c r="N415" s="22" t="str">
        <f t="shared" si="33"/>
        <v>Low Value</v>
      </c>
      <c r="O415" s="22" t="str">
        <f t="shared" si="34"/>
        <v>Jul-2025</v>
      </c>
      <c r="P415" s="22" t="s">
        <v>1753</v>
      </c>
      <c r="Q415" s="22" t="s">
        <v>1555</v>
      </c>
      <c r="R415" s="22" t="s">
        <v>609</v>
      </c>
      <c r="S415" s="22"/>
      <c r="T415" s="22"/>
      <c r="V415" s="26" t="s">
        <v>1931</v>
      </c>
      <c r="W415" s="6">
        <v>3</v>
      </c>
    </row>
    <row r="416" spans="1:23">
      <c r="A416" t="s">
        <v>2351</v>
      </c>
      <c r="B416" s="8">
        <v>45666</v>
      </c>
      <c r="C416" t="s">
        <v>35</v>
      </c>
      <c r="D416" t="s">
        <v>1834</v>
      </c>
      <c r="E416" t="s">
        <v>1876</v>
      </c>
      <c r="F416">
        <v>2</v>
      </c>
      <c r="G416" s="10">
        <v>772.24</v>
      </c>
      <c r="H416" s="13">
        <v>0.22</v>
      </c>
      <c r="I416" t="s">
        <v>1931</v>
      </c>
      <c r="J416" s="16">
        <v>1204.6944000000001</v>
      </c>
      <c r="K416" s="19">
        <f t="shared" si="30"/>
        <v>1710583.9156000004</v>
      </c>
      <c r="L416" s="22">
        <f t="shared" si="31"/>
        <v>1078.5522796973521</v>
      </c>
      <c r="M416" s="22">
        <f t="shared" si="32"/>
        <v>551</v>
      </c>
      <c r="N416" s="22" t="str">
        <f t="shared" si="33"/>
        <v>High Value</v>
      </c>
      <c r="O416" s="22" t="str">
        <f t="shared" si="34"/>
        <v>Jan-2025</v>
      </c>
      <c r="P416" s="22" t="s">
        <v>1835</v>
      </c>
      <c r="Q416" s="22" t="s">
        <v>1531</v>
      </c>
      <c r="R416" s="22" t="s">
        <v>36</v>
      </c>
      <c r="S416" s="22"/>
      <c r="T416" s="22"/>
      <c r="V416" s="26" t="s">
        <v>1933</v>
      </c>
      <c r="W416" s="6">
        <v>5</v>
      </c>
    </row>
    <row r="417" spans="1:23">
      <c r="A417" t="s">
        <v>2352</v>
      </c>
      <c r="B417" s="8">
        <v>45813</v>
      </c>
      <c r="C417" t="s">
        <v>178</v>
      </c>
      <c r="D417" t="s">
        <v>1765</v>
      </c>
      <c r="E417" t="s">
        <v>1906</v>
      </c>
      <c r="F417">
        <v>1</v>
      </c>
      <c r="G417" s="10">
        <v>108.27</v>
      </c>
      <c r="H417" s="13">
        <v>0.1</v>
      </c>
      <c r="I417" t="s">
        <v>1936</v>
      </c>
      <c r="J417" s="16">
        <v>97.442999999999998</v>
      </c>
      <c r="K417" s="19">
        <f t="shared" si="30"/>
        <v>1709379.2212000003</v>
      </c>
      <c r="L417" s="22">
        <f t="shared" si="31"/>
        <v>1078.4726947634072</v>
      </c>
      <c r="M417" s="22">
        <f t="shared" si="32"/>
        <v>551</v>
      </c>
      <c r="N417" s="22" t="str">
        <f t="shared" si="33"/>
        <v>Low Value</v>
      </c>
      <c r="O417" s="22" t="str">
        <f t="shared" si="34"/>
        <v>Jun-2025</v>
      </c>
      <c r="P417" s="22" t="s">
        <v>1766</v>
      </c>
      <c r="Q417" s="22" t="s">
        <v>1560</v>
      </c>
      <c r="R417" s="22" t="s">
        <v>179</v>
      </c>
      <c r="S417" s="22"/>
      <c r="T417" s="22"/>
      <c r="V417" s="25" t="s">
        <v>334</v>
      </c>
      <c r="W417" s="6">
        <v>11</v>
      </c>
    </row>
    <row r="418" spans="1:23">
      <c r="A418" t="s">
        <v>2353</v>
      </c>
      <c r="B418" s="8">
        <v>45633</v>
      </c>
      <c r="C418" t="s">
        <v>1085</v>
      </c>
      <c r="D418" t="s">
        <v>1665</v>
      </c>
      <c r="E418" t="s">
        <v>1914</v>
      </c>
      <c r="F418">
        <v>2</v>
      </c>
      <c r="G418" s="10">
        <v>839.24</v>
      </c>
      <c r="H418" s="13">
        <v>0.21</v>
      </c>
      <c r="I418" t="s">
        <v>1933</v>
      </c>
      <c r="J418" s="16">
        <v>1325.9992</v>
      </c>
      <c r="K418" s="19">
        <f t="shared" si="30"/>
        <v>1709281.7782000003</v>
      </c>
      <c r="L418" s="22">
        <f t="shared" si="31"/>
        <v>1079.0920316919194</v>
      </c>
      <c r="M418" s="22">
        <f t="shared" si="32"/>
        <v>551</v>
      </c>
      <c r="N418" s="22" t="str">
        <f t="shared" si="33"/>
        <v>High Value</v>
      </c>
      <c r="O418" s="22" t="str">
        <f t="shared" si="34"/>
        <v>Dec-2024</v>
      </c>
      <c r="P418" s="22" t="s">
        <v>1666</v>
      </c>
      <c r="Q418" s="22" t="s">
        <v>1569</v>
      </c>
      <c r="R418" s="22" t="s">
        <v>3954</v>
      </c>
      <c r="S418" s="22"/>
      <c r="T418" s="22"/>
      <c r="V418" s="26" t="s">
        <v>1936</v>
      </c>
      <c r="W418" s="6">
        <v>5</v>
      </c>
    </row>
    <row r="419" spans="1:23">
      <c r="A419" t="s">
        <v>2354</v>
      </c>
      <c r="B419" s="8">
        <v>45331</v>
      </c>
      <c r="C419" t="s">
        <v>1190</v>
      </c>
      <c r="D419" t="s">
        <v>1728</v>
      </c>
      <c r="E419" t="s">
        <v>1896</v>
      </c>
      <c r="F419">
        <v>2</v>
      </c>
      <c r="G419" s="10">
        <v>466.27</v>
      </c>
      <c r="H419" s="13">
        <v>0.11</v>
      </c>
      <c r="I419" t="s">
        <v>1933</v>
      </c>
      <c r="J419" s="16">
        <v>829.9606</v>
      </c>
      <c r="K419" s="19">
        <f t="shared" si="30"/>
        <v>1707955.7790000003</v>
      </c>
      <c r="L419" s="22">
        <f t="shared" si="31"/>
        <v>1078.9360574857867</v>
      </c>
      <c r="M419" s="22">
        <f t="shared" si="32"/>
        <v>550</v>
      </c>
      <c r="N419" s="22" t="str">
        <f t="shared" si="33"/>
        <v>Low Value</v>
      </c>
      <c r="O419" s="22" t="str">
        <f t="shared" si="34"/>
        <v>Feb-2024</v>
      </c>
      <c r="P419" s="22" t="s">
        <v>1729</v>
      </c>
      <c r="Q419" s="22" t="s">
        <v>1536</v>
      </c>
      <c r="R419" s="22" t="s">
        <v>1191</v>
      </c>
      <c r="S419" s="22"/>
      <c r="T419" s="22"/>
      <c r="V419" s="26" t="s">
        <v>1931</v>
      </c>
      <c r="W419" s="6">
        <v>3</v>
      </c>
    </row>
    <row r="420" spans="1:23">
      <c r="A420" t="s">
        <v>2355</v>
      </c>
      <c r="B420" s="8">
        <v>45942</v>
      </c>
      <c r="C420" t="s">
        <v>1233</v>
      </c>
      <c r="D420" t="s">
        <v>1740</v>
      </c>
      <c r="E420" t="s">
        <v>1906</v>
      </c>
      <c r="F420">
        <v>3</v>
      </c>
      <c r="G420" s="10">
        <v>969.83</v>
      </c>
      <c r="H420" s="13">
        <v>0.02</v>
      </c>
      <c r="I420" t="s">
        <v>1931</v>
      </c>
      <c r="J420" s="16">
        <v>2851.3002000000001</v>
      </c>
      <c r="K420" s="19">
        <f t="shared" si="30"/>
        <v>1707125.8184000002</v>
      </c>
      <c r="L420" s="22">
        <f t="shared" si="31"/>
        <v>1079.0934376738307</v>
      </c>
      <c r="M420" s="22">
        <f t="shared" si="32"/>
        <v>549</v>
      </c>
      <c r="N420" s="22" t="str">
        <f t="shared" si="33"/>
        <v>High Value</v>
      </c>
      <c r="O420" s="22" t="str">
        <f t="shared" si="34"/>
        <v>Oct-2025</v>
      </c>
      <c r="P420" s="22" t="s">
        <v>1741</v>
      </c>
      <c r="Q420" s="22" t="s">
        <v>1531</v>
      </c>
      <c r="R420" s="22" t="s">
        <v>1234</v>
      </c>
      <c r="S420" s="22"/>
      <c r="T420" s="22"/>
      <c r="V420" s="26" t="s">
        <v>1933</v>
      </c>
      <c r="W420" s="6">
        <v>3</v>
      </c>
    </row>
    <row r="421" spans="1:23">
      <c r="A421" t="s">
        <v>2356</v>
      </c>
      <c r="B421" s="8">
        <v>45824</v>
      </c>
      <c r="C421" t="s">
        <v>1288</v>
      </c>
      <c r="D421" t="s">
        <v>1828</v>
      </c>
      <c r="E421" t="s">
        <v>1920</v>
      </c>
      <c r="F421">
        <v>2</v>
      </c>
      <c r="G421" s="10">
        <v>782.11</v>
      </c>
      <c r="H421" s="13">
        <v>0.17</v>
      </c>
      <c r="I421" t="s">
        <v>1933</v>
      </c>
      <c r="J421" s="16">
        <v>1298.3026</v>
      </c>
      <c r="K421" s="19">
        <f t="shared" si="30"/>
        <v>1704274.5182</v>
      </c>
      <c r="L421" s="22">
        <f t="shared" si="31"/>
        <v>1077.9724972802023</v>
      </c>
      <c r="M421" s="22">
        <f t="shared" si="32"/>
        <v>549</v>
      </c>
      <c r="N421" s="22" t="str">
        <f t="shared" si="33"/>
        <v>High Value</v>
      </c>
      <c r="O421" s="22" t="str">
        <f t="shared" si="34"/>
        <v>Jun-2025</v>
      </c>
      <c r="P421" s="22" t="s">
        <v>1829</v>
      </c>
      <c r="Q421" s="22" t="s">
        <v>1536</v>
      </c>
      <c r="R421" s="22" t="s">
        <v>1289</v>
      </c>
      <c r="S421" s="22"/>
      <c r="T421" s="22"/>
      <c r="V421" s="25" t="s">
        <v>1422</v>
      </c>
      <c r="W421" s="6">
        <v>18</v>
      </c>
    </row>
    <row r="422" spans="1:23">
      <c r="A422" t="s">
        <v>2357</v>
      </c>
      <c r="B422" s="8">
        <v>45921</v>
      </c>
      <c r="C422" t="s">
        <v>1386</v>
      </c>
      <c r="D422" t="s">
        <v>1672</v>
      </c>
      <c r="E422" t="s">
        <v>1899</v>
      </c>
      <c r="F422">
        <v>2</v>
      </c>
      <c r="G422" s="10">
        <v>74.63</v>
      </c>
      <c r="H422" s="13">
        <v>0.01</v>
      </c>
      <c r="I422" t="s">
        <v>1933</v>
      </c>
      <c r="J422" s="16">
        <v>147.76740000000001</v>
      </c>
      <c r="K422" s="19">
        <f t="shared" si="30"/>
        <v>1702976.2155999998</v>
      </c>
      <c r="L422" s="22">
        <f t="shared" si="31"/>
        <v>1077.8330478481012</v>
      </c>
      <c r="M422" s="22">
        <f t="shared" si="32"/>
        <v>548</v>
      </c>
      <c r="N422" s="22" t="str">
        <f t="shared" si="33"/>
        <v>Low Value</v>
      </c>
      <c r="O422" s="22" t="str">
        <f t="shared" si="34"/>
        <v>Sep-2025</v>
      </c>
      <c r="P422" s="22" t="s">
        <v>1673</v>
      </c>
      <c r="Q422" s="22" t="s">
        <v>1531</v>
      </c>
      <c r="R422" s="22" t="s">
        <v>1387</v>
      </c>
      <c r="S422" s="22"/>
      <c r="T422" s="22"/>
      <c r="V422" s="26" t="s">
        <v>1936</v>
      </c>
      <c r="W422" s="6">
        <v>7</v>
      </c>
    </row>
    <row r="423" spans="1:23">
      <c r="A423" t="s">
        <v>2358</v>
      </c>
      <c r="B423" s="8">
        <v>45909</v>
      </c>
      <c r="C423" t="s">
        <v>159</v>
      </c>
      <c r="D423" t="s">
        <v>1810</v>
      </c>
      <c r="E423" t="s">
        <v>1883</v>
      </c>
      <c r="F423">
        <v>3</v>
      </c>
      <c r="G423" s="10">
        <v>522.78</v>
      </c>
      <c r="H423" s="13">
        <v>0.25</v>
      </c>
      <c r="I423" t="s">
        <v>1933</v>
      </c>
      <c r="J423" s="16">
        <v>1176.2550000000001</v>
      </c>
      <c r="K423" s="19">
        <f t="shared" si="30"/>
        <v>1702828.4481999998</v>
      </c>
      <c r="L423" s="22">
        <f t="shared" si="31"/>
        <v>1078.4220697910068</v>
      </c>
      <c r="M423" s="22">
        <f t="shared" si="32"/>
        <v>547</v>
      </c>
      <c r="N423" s="22" t="str">
        <f t="shared" si="33"/>
        <v>High Value</v>
      </c>
      <c r="O423" s="22" t="str">
        <f t="shared" si="34"/>
        <v>Sep-2025</v>
      </c>
      <c r="P423" s="22" t="s">
        <v>1811</v>
      </c>
      <c r="Q423" s="22" t="s">
        <v>1536</v>
      </c>
      <c r="R423" s="22" t="s">
        <v>160</v>
      </c>
      <c r="S423" s="22"/>
      <c r="T423" s="22"/>
      <c r="V423" s="26" t="s">
        <v>1931</v>
      </c>
      <c r="W423" s="6">
        <v>8</v>
      </c>
    </row>
    <row r="424" spans="1:23">
      <c r="A424" t="s">
        <v>2359</v>
      </c>
      <c r="B424" s="8">
        <v>45853</v>
      </c>
      <c r="C424" t="s">
        <v>1058</v>
      </c>
      <c r="D424" t="s">
        <v>1583</v>
      </c>
      <c r="E424" t="s">
        <v>1908</v>
      </c>
      <c r="F424">
        <v>1</v>
      </c>
      <c r="G424" s="10">
        <v>206.45</v>
      </c>
      <c r="H424" s="13">
        <v>0.15</v>
      </c>
      <c r="I424" t="s">
        <v>1933</v>
      </c>
      <c r="J424" s="16">
        <v>175.48249999999999</v>
      </c>
      <c r="K424" s="19">
        <f t="shared" si="30"/>
        <v>1701652.1931999999</v>
      </c>
      <c r="L424" s="22">
        <f t="shared" si="31"/>
        <v>1078.3600717363752</v>
      </c>
      <c r="M424" s="22">
        <f t="shared" si="32"/>
        <v>546</v>
      </c>
      <c r="N424" s="22" t="str">
        <f t="shared" si="33"/>
        <v>Low Value</v>
      </c>
      <c r="O424" s="22" t="str">
        <f t="shared" si="34"/>
        <v>Jul-2025</v>
      </c>
      <c r="P424" s="22" t="s">
        <v>1584</v>
      </c>
      <c r="Q424" s="22" t="s">
        <v>1531</v>
      </c>
      <c r="R424" s="22" t="s">
        <v>1059</v>
      </c>
      <c r="S424" s="22"/>
      <c r="T424" s="22"/>
      <c r="V424" s="26" t="s">
        <v>1933</v>
      </c>
      <c r="W424" s="6">
        <v>3</v>
      </c>
    </row>
    <row r="425" spans="1:23">
      <c r="A425" t="s">
        <v>2360</v>
      </c>
      <c r="B425" s="8">
        <v>45580</v>
      </c>
      <c r="C425" t="s">
        <v>488</v>
      </c>
      <c r="D425" t="s">
        <v>1762</v>
      </c>
      <c r="E425" t="s">
        <v>1880</v>
      </c>
      <c r="F425">
        <v>1</v>
      </c>
      <c r="G425" s="10">
        <v>815.53</v>
      </c>
      <c r="H425" s="13">
        <v>0.3</v>
      </c>
      <c r="I425" t="s">
        <v>1933</v>
      </c>
      <c r="J425" s="16">
        <v>570.87099999999998</v>
      </c>
      <c r="K425" s="19">
        <f t="shared" si="30"/>
        <v>1701476.7106999997</v>
      </c>
      <c r="L425" s="22">
        <f t="shared" si="31"/>
        <v>1078.9326003170574</v>
      </c>
      <c r="M425" s="22">
        <f t="shared" si="32"/>
        <v>545</v>
      </c>
      <c r="N425" s="22" t="str">
        <f t="shared" si="33"/>
        <v>Low Value</v>
      </c>
      <c r="O425" s="22" t="str">
        <f t="shared" si="34"/>
        <v>Oct-2024</v>
      </c>
      <c r="P425" s="22" t="s">
        <v>1763</v>
      </c>
      <c r="Q425" s="22" t="s">
        <v>1536</v>
      </c>
      <c r="R425" s="22" t="s">
        <v>489</v>
      </c>
      <c r="S425" s="22"/>
      <c r="T425" s="22"/>
      <c r="V425" s="25" t="s">
        <v>633</v>
      </c>
      <c r="W425" s="6">
        <v>7</v>
      </c>
    </row>
    <row r="426" spans="1:23">
      <c r="A426" t="s">
        <v>2361</v>
      </c>
      <c r="B426" s="8">
        <v>45220</v>
      </c>
      <c r="C426" t="s">
        <v>146</v>
      </c>
      <c r="D426" t="s">
        <v>1792</v>
      </c>
      <c r="E426" t="s">
        <v>1904</v>
      </c>
      <c r="F426">
        <v>1</v>
      </c>
      <c r="G426" s="10">
        <v>823.61</v>
      </c>
      <c r="H426" s="13">
        <v>0.28000000000000003</v>
      </c>
      <c r="I426" t="s">
        <v>1936</v>
      </c>
      <c r="J426" s="16">
        <v>592.99919999999997</v>
      </c>
      <c r="K426" s="19">
        <f t="shared" si="30"/>
        <v>1700905.8396999997</v>
      </c>
      <c r="L426" s="22">
        <f t="shared" si="31"/>
        <v>1079.2549744289338</v>
      </c>
      <c r="M426" s="22">
        <f t="shared" si="32"/>
        <v>544</v>
      </c>
      <c r="N426" s="22" t="str">
        <f t="shared" si="33"/>
        <v>Low Value</v>
      </c>
      <c r="O426" s="22" t="str">
        <f t="shared" si="34"/>
        <v>Oct-2023</v>
      </c>
      <c r="P426" s="22" t="s">
        <v>1793</v>
      </c>
      <c r="Q426" s="22" t="s">
        <v>1560</v>
      </c>
      <c r="R426" s="22" t="s">
        <v>147</v>
      </c>
      <c r="S426" s="22"/>
      <c r="T426" s="22"/>
      <c r="V426" s="26" t="s">
        <v>1936</v>
      </c>
      <c r="W426" s="6">
        <v>3</v>
      </c>
    </row>
    <row r="427" spans="1:23">
      <c r="A427" t="s">
        <v>2362</v>
      </c>
      <c r="B427" s="8">
        <v>45807</v>
      </c>
      <c r="C427" t="s">
        <v>1462</v>
      </c>
      <c r="D427" t="s">
        <v>1816</v>
      </c>
      <c r="E427" t="s">
        <v>1893</v>
      </c>
      <c r="F427">
        <v>2</v>
      </c>
      <c r="G427" s="10">
        <v>209.96</v>
      </c>
      <c r="H427" s="13">
        <v>0</v>
      </c>
      <c r="I427" t="s">
        <v>1931</v>
      </c>
      <c r="J427" s="16">
        <v>419.92</v>
      </c>
      <c r="K427" s="19">
        <f t="shared" si="30"/>
        <v>1700312.8404999997</v>
      </c>
      <c r="L427" s="22">
        <f t="shared" si="31"/>
        <v>1079.5637082539681</v>
      </c>
      <c r="M427" s="22">
        <f t="shared" si="32"/>
        <v>544</v>
      </c>
      <c r="N427" s="22" t="str">
        <f t="shared" si="33"/>
        <v>Low Value</v>
      </c>
      <c r="O427" s="22" t="str">
        <f t="shared" si="34"/>
        <v>May-2025</v>
      </c>
      <c r="P427" s="22" t="s">
        <v>1817</v>
      </c>
      <c r="Q427" s="22" t="s">
        <v>1560</v>
      </c>
      <c r="R427" s="22" t="s">
        <v>3960</v>
      </c>
      <c r="S427" s="22"/>
      <c r="T427" s="22"/>
      <c r="V427" s="26" t="s">
        <v>1931</v>
      </c>
      <c r="W427" s="6">
        <v>2</v>
      </c>
    </row>
    <row r="428" spans="1:23">
      <c r="A428" t="s">
        <v>2363</v>
      </c>
      <c r="B428" s="8">
        <v>45462</v>
      </c>
      <c r="C428" t="s">
        <v>577</v>
      </c>
      <c r="D428" t="s">
        <v>1529</v>
      </c>
      <c r="E428" t="s">
        <v>1911</v>
      </c>
      <c r="F428">
        <v>4</v>
      </c>
      <c r="G428" s="10">
        <v>897.93</v>
      </c>
      <c r="H428" s="13">
        <v>0.05</v>
      </c>
      <c r="I428" t="s">
        <v>1936</v>
      </c>
      <c r="J428" s="16">
        <v>3412.134</v>
      </c>
      <c r="K428" s="19">
        <f t="shared" si="30"/>
        <v>1699892.9204999998</v>
      </c>
      <c r="L428" s="22">
        <f t="shared" si="31"/>
        <v>1079.982795743329</v>
      </c>
      <c r="M428" s="22">
        <f t="shared" si="32"/>
        <v>544</v>
      </c>
      <c r="N428" s="22" t="str">
        <f t="shared" si="33"/>
        <v>High Value</v>
      </c>
      <c r="O428" s="22" t="str">
        <f t="shared" si="34"/>
        <v>Jun-2024</v>
      </c>
      <c r="P428" s="22" t="s">
        <v>1530</v>
      </c>
      <c r="Q428" s="22" t="s">
        <v>1531</v>
      </c>
      <c r="R428" s="22" t="s">
        <v>578</v>
      </c>
      <c r="S428" s="22"/>
      <c r="T428" s="22"/>
      <c r="V428" s="26" t="s">
        <v>1933</v>
      </c>
      <c r="W428" s="6">
        <v>2</v>
      </c>
    </row>
    <row r="429" spans="1:23">
      <c r="A429" t="s">
        <v>2364</v>
      </c>
      <c r="B429" s="8">
        <v>45646</v>
      </c>
      <c r="C429" t="s">
        <v>596</v>
      </c>
      <c r="D429" t="s">
        <v>1743</v>
      </c>
      <c r="E429" t="s">
        <v>1859</v>
      </c>
      <c r="F429">
        <v>4</v>
      </c>
      <c r="G429" s="10">
        <v>925.95</v>
      </c>
      <c r="H429" s="13">
        <v>0.16</v>
      </c>
      <c r="I429" t="s">
        <v>1936</v>
      </c>
      <c r="J429" s="16">
        <v>3111.192</v>
      </c>
      <c r="K429" s="19">
        <f t="shared" si="30"/>
        <v>1696480.7864999999</v>
      </c>
      <c r="L429" s="22">
        <f t="shared" si="31"/>
        <v>1078.5001821360456</v>
      </c>
      <c r="M429" s="22">
        <f t="shared" si="32"/>
        <v>544</v>
      </c>
      <c r="N429" s="22" t="str">
        <f t="shared" si="33"/>
        <v>High Value</v>
      </c>
      <c r="O429" s="22" t="str">
        <f t="shared" si="34"/>
        <v>Dec-2024</v>
      </c>
      <c r="P429" s="22" t="s">
        <v>1744</v>
      </c>
      <c r="Q429" s="22" t="s">
        <v>1555</v>
      </c>
      <c r="R429" s="22" t="s">
        <v>597</v>
      </c>
      <c r="S429" s="22"/>
      <c r="T429" s="22"/>
      <c r="V429" s="25" t="s">
        <v>1251</v>
      </c>
      <c r="W429" s="6">
        <v>11</v>
      </c>
    </row>
    <row r="430" spans="1:23">
      <c r="A430" t="s">
        <v>2365</v>
      </c>
      <c r="B430" s="8">
        <v>45520</v>
      </c>
      <c r="C430" t="s">
        <v>301</v>
      </c>
      <c r="D430" t="s">
        <v>1707</v>
      </c>
      <c r="E430" t="s">
        <v>1883</v>
      </c>
      <c r="F430">
        <v>2</v>
      </c>
      <c r="G430" s="10">
        <v>573.09</v>
      </c>
      <c r="H430" s="13">
        <v>0.03</v>
      </c>
      <c r="I430" t="s">
        <v>1936</v>
      </c>
      <c r="J430" s="16">
        <v>1111.7945999999999</v>
      </c>
      <c r="K430" s="19">
        <f t="shared" si="30"/>
        <v>1693369.5945000001</v>
      </c>
      <c r="L430" s="22">
        <f t="shared" si="31"/>
        <v>1077.2071211832063</v>
      </c>
      <c r="M430" s="22">
        <f t="shared" si="32"/>
        <v>544</v>
      </c>
      <c r="N430" s="22" t="str">
        <f t="shared" si="33"/>
        <v>High Value</v>
      </c>
      <c r="O430" s="22" t="str">
        <f t="shared" si="34"/>
        <v>Aug-2024</v>
      </c>
      <c r="P430" s="22" t="s">
        <v>1708</v>
      </c>
      <c r="Q430" s="22" t="s">
        <v>1531</v>
      </c>
      <c r="R430" s="22" t="s">
        <v>302</v>
      </c>
      <c r="S430" s="22"/>
      <c r="T430" s="22"/>
      <c r="V430" s="26" t="s">
        <v>1933</v>
      </c>
      <c r="W430" s="6">
        <v>11</v>
      </c>
    </row>
    <row r="431" spans="1:23">
      <c r="A431" t="s">
        <v>2366</v>
      </c>
      <c r="B431" s="8">
        <v>45731</v>
      </c>
      <c r="C431" t="s">
        <v>602</v>
      </c>
      <c r="D431" t="s">
        <v>1558</v>
      </c>
      <c r="E431" t="s">
        <v>1876</v>
      </c>
      <c r="F431">
        <v>4</v>
      </c>
      <c r="G431" s="10">
        <v>149.83000000000001</v>
      </c>
      <c r="H431" s="13">
        <v>0.02</v>
      </c>
      <c r="I431" t="s">
        <v>1931</v>
      </c>
      <c r="J431" s="16">
        <v>587.33360000000005</v>
      </c>
      <c r="K431" s="19">
        <f t="shared" si="30"/>
        <v>1692257.7999</v>
      </c>
      <c r="L431" s="22">
        <f t="shared" si="31"/>
        <v>1077.1851049649904</v>
      </c>
      <c r="M431" s="22">
        <f t="shared" si="32"/>
        <v>544</v>
      </c>
      <c r="N431" s="22" t="str">
        <f t="shared" si="33"/>
        <v>Low Value</v>
      </c>
      <c r="O431" s="22" t="str">
        <f t="shared" si="34"/>
        <v>Mar-2025</v>
      </c>
      <c r="P431" s="22" t="s">
        <v>1559</v>
      </c>
      <c r="Q431" s="22" t="s">
        <v>1560</v>
      </c>
      <c r="R431" s="22" t="s">
        <v>603</v>
      </c>
      <c r="S431" s="22"/>
      <c r="T431" s="22"/>
      <c r="V431" s="25" t="s">
        <v>150</v>
      </c>
      <c r="W431" s="6">
        <v>2</v>
      </c>
    </row>
    <row r="432" spans="1:23">
      <c r="A432" t="s">
        <v>2367</v>
      </c>
      <c r="B432" s="8">
        <v>45445</v>
      </c>
      <c r="C432" t="s">
        <v>13</v>
      </c>
      <c r="D432" t="s">
        <v>1707</v>
      </c>
      <c r="E432" t="s">
        <v>1906</v>
      </c>
      <c r="F432">
        <v>3</v>
      </c>
      <c r="G432" s="10">
        <v>287.70999999999998</v>
      </c>
      <c r="H432" s="13">
        <v>0.03</v>
      </c>
      <c r="I432" t="s">
        <v>1936</v>
      </c>
      <c r="J432" s="16">
        <v>837.23609999999985</v>
      </c>
      <c r="K432" s="19">
        <f t="shared" si="30"/>
        <v>1691670.4663000002</v>
      </c>
      <c r="L432" s="22">
        <f t="shared" si="31"/>
        <v>1077.4971122929937</v>
      </c>
      <c r="M432" s="22">
        <f t="shared" si="32"/>
        <v>544</v>
      </c>
      <c r="N432" s="22" t="str">
        <f t="shared" si="33"/>
        <v>Low Value</v>
      </c>
      <c r="O432" s="22" t="str">
        <f t="shared" si="34"/>
        <v>Jun-2024</v>
      </c>
      <c r="P432" s="22" t="s">
        <v>1708</v>
      </c>
      <c r="Q432" s="22" t="s">
        <v>1531</v>
      </c>
      <c r="R432" s="22" t="s">
        <v>14</v>
      </c>
      <c r="S432" s="22"/>
      <c r="T432" s="22"/>
      <c r="V432" s="26" t="s">
        <v>1931</v>
      </c>
      <c r="W432" s="6">
        <v>2</v>
      </c>
    </row>
    <row r="433" spans="1:23">
      <c r="A433" t="s">
        <v>2368</v>
      </c>
      <c r="B433" s="8">
        <v>45860</v>
      </c>
      <c r="C433" t="s">
        <v>333</v>
      </c>
      <c r="D433" t="s">
        <v>1755</v>
      </c>
      <c r="E433" t="s">
        <v>1883</v>
      </c>
      <c r="F433">
        <v>2</v>
      </c>
      <c r="G433" s="10">
        <v>849.8</v>
      </c>
      <c r="H433" s="13">
        <v>0.06</v>
      </c>
      <c r="I433" t="s">
        <v>1936</v>
      </c>
      <c r="J433" s="16">
        <v>1597.624</v>
      </c>
      <c r="K433" s="19">
        <f t="shared" si="30"/>
        <v>1690833.2301999999</v>
      </c>
      <c r="L433" s="22">
        <f t="shared" si="31"/>
        <v>1077.650242319949</v>
      </c>
      <c r="M433" s="22">
        <f t="shared" si="32"/>
        <v>544</v>
      </c>
      <c r="N433" s="22" t="str">
        <f t="shared" si="33"/>
        <v>High Value</v>
      </c>
      <c r="O433" s="22" t="str">
        <f t="shared" si="34"/>
        <v>Jul-2025</v>
      </c>
      <c r="P433" s="22" t="s">
        <v>1756</v>
      </c>
      <c r="Q433" s="22" t="s">
        <v>1531</v>
      </c>
      <c r="R433" s="22" t="s">
        <v>334</v>
      </c>
      <c r="S433" s="22"/>
      <c r="T433" s="22"/>
      <c r="V433" s="25" t="s">
        <v>196</v>
      </c>
      <c r="W433" s="6">
        <v>20</v>
      </c>
    </row>
    <row r="434" spans="1:23">
      <c r="A434" t="s">
        <v>2369</v>
      </c>
      <c r="B434" s="8">
        <v>45725</v>
      </c>
      <c r="C434" t="s">
        <v>75</v>
      </c>
      <c r="D434" t="s">
        <v>1675</v>
      </c>
      <c r="E434" t="s">
        <v>1873</v>
      </c>
      <c r="F434">
        <v>3</v>
      </c>
      <c r="G434" s="10">
        <v>482.58</v>
      </c>
      <c r="H434" s="13">
        <v>0.28000000000000003</v>
      </c>
      <c r="I434" t="s">
        <v>1933</v>
      </c>
      <c r="J434" s="16">
        <v>1042.3728000000001</v>
      </c>
      <c r="K434" s="19">
        <f t="shared" si="30"/>
        <v>1689235.6062</v>
      </c>
      <c r="L434" s="22">
        <f t="shared" si="31"/>
        <v>1077.3186264030612</v>
      </c>
      <c r="M434" s="22">
        <f t="shared" si="32"/>
        <v>544</v>
      </c>
      <c r="N434" s="22" t="str">
        <f t="shared" si="33"/>
        <v>High Value</v>
      </c>
      <c r="O434" s="22" t="str">
        <f t="shared" si="34"/>
        <v>Mar-2025</v>
      </c>
      <c r="P434" s="22" t="s">
        <v>1676</v>
      </c>
      <c r="Q434" s="22" t="s">
        <v>1569</v>
      </c>
      <c r="R434" s="22" t="s">
        <v>76</v>
      </c>
      <c r="S434" s="22"/>
      <c r="T434" s="22"/>
      <c r="V434" s="26" t="s">
        <v>1936</v>
      </c>
      <c r="W434" s="6">
        <v>3</v>
      </c>
    </row>
    <row r="435" spans="1:23">
      <c r="A435" t="s">
        <v>2370</v>
      </c>
      <c r="B435" s="8">
        <v>45699</v>
      </c>
      <c r="C435" t="s">
        <v>394</v>
      </c>
      <c r="D435" t="s">
        <v>1731</v>
      </c>
      <c r="E435" t="s">
        <v>1868</v>
      </c>
      <c r="F435">
        <v>2</v>
      </c>
      <c r="G435" s="10">
        <v>64.7</v>
      </c>
      <c r="H435" s="13">
        <v>0</v>
      </c>
      <c r="I435" t="s">
        <v>1931</v>
      </c>
      <c r="J435" s="16">
        <v>129.4</v>
      </c>
      <c r="K435" s="19">
        <f t="shared" si="30"/>
        <v>1688193.2334</v>
      </c>
      <c r="L435" s="22">
        <f t="shared" si="31"/>
        <v>1077.3409275047861</v>
      </c>
      <c r="M435" s="22">
        <f t="shared" si="32"/>
        <v>543</v>
      </c>
      <c r="N435" s="22" t="str">
        <f t="shared" si="33"/>
        <v>Low Value</v>
      </c>
      <c r="O435" s="22" t="str">
        <f t="shared" si="34"/>
        <v>Feb-2025</v>
      </c>
      <c r="P435" s="22" t="s">
        <v>1732</v>
      </c>
      <c r="Q435" s="22" t="s">
        <v>1555</v>
      </c>
      <c r="R435" s="22" t="s">
        <v>395</v>
      </c>
      <c r="S435" s="22"/>
      <c r="T435" s="22"/>
      <c r="V435" s="26" t="s">
        <v>1931</v>
      </c>
      <c r="W435" s="6">
        <v>9</v>
      </c>
    </row>
    <row r="436" spans="1:23">
      <c r="A436" t="s">
        <v>2371</v>
      </c>
      <c r="B436" s="8">
        <v>45266</v>
      </c>
      <c r="C436" t="s">
        <v>497</v>
      </c>
      <c r="D436" t="s">
        <v>1549</v>
      </c>
      <c r="E436" t="s">
        <v>1880</v>
      </c>
      <c r="F436">
        <v>3</v>
      </c>
      <c r="G436" s="10">
        <v>589.83000000000004</v>
      </c>
      <c r="H436" s="13">
        <v>0.26</v>
      </c>
      <c r="I436" t="s">
        <v>1931</v>
      </c>
      <c r="J436" s="16">
        <v>1309.4226000000001</v>
      </c>
      <c r="K436" s="19">
        <f t="shared" si="30"/>
        <v>1688063.8334000001</v>
      </c>
      <c r="L436" s="22">
        <f t="shared" si="31"/>
        <v>1077.9462537675608</v>
      </c>
      <c r="M436" s="22">
        <f t="shared" si="32"/>
        <v>543</v>
      </c>
      <c r="N436" s="22" t="str">
        <f t="shared" si="33"/>
        <v>High Value</v>
      </c>
      <c r="O436" s="22" t="str">
        <f t="shared" si="34"/>
        <v>Dec-2023</v>
      </c>
      <c r="P436" s="22" t="s">
        <v>1550</v>
      </c>
      <c r="Q436" s="22" t="s">
        <v>1536</v>
      </c>
      <c r="R436" s="22" t="s">
        <v>498</v>
      </c>
      <c r="S436" s="22"/>
      <c r="T436" s="22"/>
      <c r="V436" s="26" t="s">
        <v>1933</v>
      </c>
      <c r="W436" s="6">
        <v>8</v>
      </c>
    </row>
    <row r="437" spans="1:23">
      <c r="A437" t="s">
        <v>2372</v>
      </c>
      <c r="B437" s="8">
        <v>45889</v>
      </c>
      <c r="C437" t="s">
        <v>913</v>
      </c>
      <c r="D437" t="s">
        <v>2033</v>
      </c>
      <c r="E437" t="s">
        <v>1893</v>
      </c>
      <c r="F437">
        <v>4</v>
      </c>
      <c r="G437" s="10">
        <v>758.49</v>
      </c>
      <c r="H437" s="13">
        <v>0.16</v>
      </c>
      <c r="I437" t="s">
        <v>1936</v>
      </c>
      <c r="J437" s="16">
        <v>2548.5264000000002</v>
      </c>
      <c r="K437" s="19">
        <f t="shared" si="30"/>
        <v>1686754.4108000002</v>
      </c>
      <c r="L437" s="22">
        <f t="shared" si="31"/>
        <v>1077.7983455591057</v>
      </c>
      <c r="M437" s="22">
        <f t="shared" si="32"/>
        <v>543</v>
      </c>
      <c r="N437" s="22" t="str">
        <f t="shared" si="33"/>
        <v>High Value</v>
      </c>
      <c r="O437" s="22" t="str">
        <f t="shared" si="34"/>
        <v>Aug-2025</v>
      </c>
      <c r="P437" s="22" t="s">
        <v>1543</v>
      </c>
      <c r="Q437" s="22" t="s">
        <v>1536</v>
      </c>
      <c r="R437" s="22" t="s">
        <v>914</v>
      </c>
      <c r="S437" s="22"/>
      <c r="T437" s="22"/>
      <c r="V437" s="25" t="s">
        <v>1443</v>
      </c>
      <c r="W437" s="6">
        <v>11</v>
      </c>
    </row>
    <row r="438" spans="1:23">
      <c r="A438" t="s">
        <v>2373</v>
      </c>
      <c r="B438" s="8">
        <v>45555</v>
      </c>
      <c r="C438" t="s">
        <v>199</v>
      </c>
      <c r="D438" t="s">
        <v>1661</v>
      </c>
      <c r="E438" t="s">
        <v>1901</v>
      </c>
      <c r="F438">
        <v>4</v>
      </c>
      <c r="G438" s="10">
        <v>747.56</v>
      </c>
      <c r="H438" s="13">
        <v>0.09</v>
      </c>
      <c r="I438" t="s">
        <v>1936</v>
      </c>
      <c r="J438" s="16">
        <v>2721.1183999999998</v>
      </c>
      <c r="K438" s="19">
        <f t="shared" si="30"/>
        <v>1684205.8844000003</v>
      </c>
      <c r="L438" s="22">
        <f t="shared" si="31"/>
        <v>1076.8579823529415</v>
      </c>
      <c r="M438" s="22">
        <f t="shared" si="32"/>
        <v>543</v>
      </c>
      <c r="N438" s="22" t="str">
        <f t="shared" si="33"/>
        <v>High Value</v>
      </c>
      <c r="O438" s="22" t="str">
        <f t="shared" si="34"/>
        <v>Sep-2024</v>
      </c>
      <c r="P438" s="22" t="s">
        <v>1662</v>
      </c>
      <c r="Q438" s="22" t="s">
        <v>1536</v>
      </c>
      <c r="R438" s="22" t="s">
        <v>200</v>
      </c>
      <c r="S438" s="22"/>
      <c r="T438" s="22"/>
      <c r="V438" s="26" t="s">
        <v>1936</v>
      </c>
      <c r="W438" s="6">
        <v>5</v>
      </c>
    </row>
    <row r="439" spans="1:23">
      <c r="A439" t="s">
        <v>2374</v>
      </c>
      <c r="B439" s="8">
        <v>45813</v>
      </c>
      <c r="C439" t="s">
        <v>810</v>
      </c>
      <c r="D439" t="s">
        <v>1672</v>
      </c>
      <c r="E439" t="s">
        <v>1914</v>
      </c>
      <c r="F439">
        <v>3</v>
      </c>
      <c r="G439" s="10">
        <v>551.22</v>
      </c>
      <c r="H439" s="13">
        <v>0.12</v>
      </c>
      <c r="I439" t="s">
        <v>1933</v>
      </c>
      <c r="J439" s="16">
        <v>1455.2208000000001</v>
      </c>
      <c r="K439" s="19">
        <f t="shared" si="30"/>
        <v>1681484.7660000003</v>
      </c>
      <c r="L439" s="22">
        <f t="shared" si="31"/>
        <v>1075.8059923224571</v>
      </c>
      <c r="M439" s="22">
        <f t="shared" si="32"/>
        <v>543</v>
      </c>
      <c r="N439" s="22" t="str">
        <f t="shared" si="33"/>
        <v>High Value</v>
      </c>
      <c r="O439" s="22" t="str">
        <f t="shared" si="34"/>
        <v>Jun-2025</v>
      </c>
      <c r="P439" s="22" t="s">
        <v>1673</v>
      </c>
      <c r="Q439" s="22" t="s">
        <v>1531</v>
      </c>
      <c r="R439" s="22" t="s">
        <v>3949</v>
      </c>
      <c r="S439" s="22"/>
      <c r="T439" s="22"/>
      <c r="V439" s="26" t="s">
        <v>1931</v>
      </c>
      <c r="W439" s="6">
        <v>2</v>
      </c>
    </row>
    <row r="440" spans="1:23">
      <c r="A440" t="s">
        <v>2375</v>
      </c>
      <c r="B440" s="8">
        <v>45811</v>
      </c>
      <c r="C440" t="s">
        <v>530</v>
      </c>
      <c r="D440" t="s">
        <v>1762</v>
      </c>
      <c r="E440" t="s">
        <v>1906</v>
      </c>
      <c r="F440">
        <v>2</v>
      </c>
      <c r="G440" s="10">
        <v>527.05999999999995</v>
      </c>
      <c r="H440" s="13">
        <v>0.17</v>
      </c>
      <c r="I440" t="s">
        <v>1933</v>
      </c>
      <c r="J440" s="16">
        <v>874.91959999999983</v>
      </c>
      <c r="K440" s="19">
        <f t="shared" si="30"/>
        <v>1680029.5452000003</v>
      </c>
      <c r="L440" s="22">
        <f t="shared" si="31"/>
        <v>1075.5630891165174</v>
      </c>
      <c r="M440" s="22">
        <f t="shared" si="32"/>
        <v>542</v>
      </c>
      <c r="N440" s="22" t="str">
        <f t="shared" si="33"/>
        <v>Low Value</v>
      </c>
      <c r="O440" s="22" t="str">
        <f t="shared" si="34"/>
        <v>Jun-2025</v>
      </c>
      <c r="P440" s="22" t="s">
        <v>1763</v>
      </c>
      <c r="Q440" s="22" t="s">
        <v>1536</v>
      </c>
      <c r="R440" s="22" t="s">
        <v>531</v>
      </c>
      <c r="S440" s="22"/>
      <c r="T440" s="22"/>
      <c r="V440" s="26" t="s">
        <v>1933</v>
      </c>
      <c r="W440" s="6">
        <v>4</v>
      </c>
    </row>
    <row r="441" spans="1:23">
      <c r="A441" t="s">
        <v>2376</v>
      </c>
      <c r="B441" s="8">
        <v>45670</v>
      </c>
      <c r="C441" t="s">
        <v>345</v>
      </c>
      <c r="D441" t="s">
        <v>1740</v>
      </c>
      <c r="E441" t="s">
        <v>1880</v>
      </c>
      <c r="F441">
        <v>4</v>
      </c>
      <c r="G441" s="10">
        <v>875.41</v>
      </c>
      <c r="H441" s="13">
        <v>0.27</v>
      </c>
      <c r="I441" t="s">
        <v>1931</v>
      </c>
      <c r="J441" s="16">
        <v>2556.1972000000001</v>
      </c>
      <c r="K441" s="19">
        <f t="shared" si="30"/>
        <v>1679154.6256000004</v>
      </c>
      <c r="L441" s="22">
        <f t="shared" si="31"/>
        <v>1075.6916243433698</v>
      </c>
      <c r="M441" s="22">
        <f t="shared" si="32"/>
        <v>541</v>
      </c>
      <c r="N441" s="22" t="str">
        <f t="shared" si="33"/>
        <v>High Value</v>
      </c>
      <c r="O441" s="22" t="str">
        <f t="shared" si="34"/>
        <v>Jan-2025</v>
      </c>
      <c r="P441" s="22" t="s">
        <v>1741</v>
      </c>
      <c r="Q441" s="22" t="s">
        <v>1531</v>
      </c>
      <c r="R441" s="22" t="s">
        <v>346</v>
      </c>
      <c r="S441" s="22"/>
      <c r="T441" s="22"/>
      <c r="V441" s="25" t="s">
        <v>501</v>
      </c>
      <c r="W441" s="6">
        <v>6</v>
      </c>
    </row>
    <row r="442" spans="1:23">
      <c r="A442" t="s">
        <v>2377</v>
      </c>
      <c r="B442" s="8">
        <v>45736</v>
      </c>
      <c r="C442" t="s">
        <v>39</v>
      </c>
      <c r="D442" t="s">
        <v>1810</v>
      </c>
      <c r="E442" t="s">
        <v>1859</v>
      </c>
      <c r="F442">
        <v>2</v>
      </c>
      <c r="G442" s="10">
        <v>226.43</v>
      </c>
      <c r="H442" s="13">
        <v>0.03</v>
      </c>
      <c r="I442" t="s">
        <v>1931</v>
      </c>
      <c r="J442" s="16">
        <v>439.27420000000001</v>
      </c>
      <c r="K442" s="19">
        <f t="shared" si="30"/>
        <v>1676598.4284000003</v>
      </c>
      <c r="L442" s="22">
        <f t="shared" si="31"/>
        <v>1074.7425823076926</v>
      </c>
      <c r="M442" s="22">
        <f t="shared" si="32"/>
        <v>541</v>
      </c>
      <c r="N442" s="22" t="str">
        <f t="shared" si="33"/>
        <v>Low Value</v>
      </c>
      <c r="O442" s="22" t="str">
        <f t="shared" si="34"/>
        <v>Mar-2025</v>
      </c>
      <c r="P442" s="22" t="s">
        <v>1811</v>
      </c>
      <c r="Q442" s="22" t="s">
        <v>1536</v>
      </c>
      <c r="R442" s="22" t="s">
        <v>40</v>
      </c>
      <c r="S442" s="22"/>
      <c r="T442" s="22"/>
      <c r="V442" s="26" t="s">
        <v>1936</v>
      </c>
      <c r="W442" s="6">
        <v>4</v>
      </c>
    </row>
    <row r="443" spans="1:23">
      <c r="A443" t="s">
        <v>2378</v>
      </c>
      <c r="B443" s="8">
        <v>45480</v>
      </c>
      <c r="C443" t="s">
        <v>140</v>
      </c>
      <c r="D443" t="s">
        <v>1792</v>
      </c>
      <c r="E443" t="s">
        <v>1880</v>
      </c>
      <c r="F443">
        <v>2</v>
      </c>
      <c r="G443" s="10">
        <v>285.39</v>
      </c>
      <c r="H443" s="13">
        <v>0.1</v>
      </c>
      <c r="I443" t="s">
        <v>1931</v>
      </c>
      <c r="J443" s="16">
        <v>513.702</v>
      </c>
      <c r="K443" s="19">
        <f t="shared" si="30"/>
        <v>1676159.1542000002</v>
      </c>
      <c r="L443" s="22">
        <f t="shared" si="31"/>
        <v>1075.1501951250802</v>
      </c>
      <c r="M443" s="22">
        <f t="shared" si="32"/>
        <v>541</v>
      </c>
      <c r="N443" s="22" t="str">
        <f t="shared" si="33"/>
        <v>Low Value</v>
      </c>
      <c r="O443" s="22" t="str">
        <f t="shared" si="34"/>
        <v>Jul-2024</v>
      </c>
      <c r="P443" s="22" t="s">
        <v>1793</v>
      </c>
      <c r="Q443" s="22" t="s">
        <v>1560</v>
      </c>
      <c r="R443" s="22" t="s">
        <v>141</v>
      </c>
      <c r="S443" s="22"/>
      <c r="T443" s="22"/>
      <c r="V443" s="26" t="s">
        <v>1931</v>
      </c>
      <c r="W443" s="6">
        <v>1</v>
      </c>
    </row>
    <row r="444" spans="1:23">
      <c r="A444" t="s">
        <v>2379</v>
      </c>
      <c r="B444" s="8">
        <v>45929</v>
      </c>
      <c r="C444" t="s">
        <v>1046</v>
      </c>
      <c r="D444" t="s">
        <v>1576</v>
      </c>
      <c r="E444" t="s">
        <v>1908</v>
      </c>
      <c r="F444">
        <v>2</v>
      </c>
      <c r="G444" s="10">
        <v>298.01</v>
      </c>
      <c r="H444" s="13">
        <v>0.05</v>
      </c>
      <c r="I444" t="s">
        <v>1931</v>
      </c>
      <c r="J444" s="16">
        <v>566.21899999999994</v>
      </c>
      <c r="K444" s="19">
        <f t="shared" si="30"/>
        <v>1675645.4522000002</v>
      </c>
      <c r="L444" s="22">
        <f t="shared" si="31"/>
        <v>1075.5105598202824</v>
      </c>
      <c r="M444" s="22">
        <f t="shared" si="32"/>
        <v>541</v>
      </c>
      <c r="N444" s="22" t="str">
        <f t="shared" si="33"/>
        <v>Low Value</v>
      </c>
      <c r="O444" s="22" t="str">
        <f t="shared" si="34"/>
        <v>Sep-2025</v>
      </c>
      <c r="P444" s="22" t="s">
        <v>1577</v>
      </c>
      <c r="Q444" s="22" t="s">
        <v>1531</v>
      </c>
      <c r="R444" s="22" t="s">
        <v>1047</v>
      </c>
      <c r="S444" s="22"/>
      <c r="T444" s="22"/>
      <c r="V444" s="26" t="s">
        <v>1933</v>
      </c>
      <c r="W444" s="6">
        <v>1</v>
      </c>
    </row>
    <row r="445" spans="1:23">
      <c r="A445" t="s">
        <v>2380</v>
      </c>
      <c r="B445" s="8">
        <v>45626</v>
      </c>
      <c r="C445" t="s">
        <v>530</v>
      </c>
      <c r="D445" t="s">
        <v>1672</v>
      </c>
      <c r="E445" t="s">
        <v>1876</v>
      </c>
      <c r="F445">
        <v>4</v>
      </c>
      <c r="G445" s="10">
        <v>753.49</v>
      </c>
      <c r="H445" s="13">
        <v>0.26</v>
      </c>
      <c r="I445" t="s">
        <v>1936</v>
      </c>
      <c r="J445" s="16">
        <v>2230.3303999999998</v>
      </c>
      <c r="K445" s="19">
        <f t="shared" si="30"/>
        <v>1675079.2332000004</v>
      </c>
      <c r="L445" s="22">
        <f t="shared" si="31"/>
        <v>1075.8376578034683</v>
      </c>
      <c r="M445" s="22">
        <f t="shared" si="32"/>
        <v>541</v>
      </c>
      <c r="N445" s="22" t="str">
        <f t="shared" si="33"/>
        <v>High Value</v>
      </c>
      <c r="O445" s="22" t="str">
        <f t="shared" si="34"/>
        <v>Nov-2024</v>
      </c>
      <c r="P445" s="22" t="s">
        <v>1673</v>
      </c>
      <c r="Q445" s="22" t="s">
        <v>1531</v>
      </c>
      <c r="R445" s="22" t="s">
        <v>531</v>
      </c>
      <c r="S445" s="22"/>
      <c r="T445" s="22"/>
      <c r="V445" s="25" t="s">
        <v>1123</v>
      </c>
      <c r="W445" s="6">
        <v>7</v>
      </c>
    </row>
    <row r="446" spans="1:23">
      <c r="A446" t="s">
        <v>2381</v>
      </c>
      <c r="B446" s="8">
        <v>45460</v>
      </c>
      <c r="C446" t="s">
        <v>1489</v>
      </c>
      <c r="D446" t="s">
        <v>1789</v>
      </c>
      <c r="E446" t="s">
        <v>1901</v>
      </c>
      <c r="F446">
        <v>2</v>
      </c>
      <c r="G446" s="10">
        <v>130.38999999999999</v>
      </c>
      <c r="H446" s="13">
        <v>0.17</v>
      </c>
      <c r="I446" t="s">
        <v>1933</v>
      </c>
      <c r="J446" s="16">
        <v>216.44739999999999</v>
      </c>
      <c r="K446" s="19">
        <f t="shared" si="30"/>
        <v>1672848.9028000003</v>
      </c>
      <c r="L446" s="22">
        <f t="shared" si="31"/>
        <v>1075.0956958868896</v>
      </c>
      <c r="M446" s="22">
        <f t="shared" si="32"/>
        <v>541</v>
      </c>
      <c r="N446" s="22" t="str">
        <f t="shared" si="33"/>
        <v>Low Value</v>
      </c>
      <c r="O446" s="22" t="str">
        <f t="shared" si="34"/>
        <v>Jun-2024</v>
      </c>
      <c r="P446" s="22" t="s">
        <v>1790</v>
      </c>
      <c r="Q446" s="22" t="s">
        <v>1560</v>
      </c>
      <c r="R446" s="22" t="s">
        <v>1490</v>
      </c>
      <c r="S446" s="22"/>
      <c r="T446" s="22"/>
      <c r="V446" s="26" t="s">
        <v>1936</v>
      </c>
      <c r="W446" s="6">
        <v>7</v>
      </c>
    </row>
    <row r="447" spans="1:23">
      <c r="A447" t="s">
        <v>2382</v>
      </c>
      <c r="B447" s="8">
        <v>45709</v>
      </c>
      <c r="C447" t="s">
        <v>1079</v>
      </c>
      <c r="D447" t="s">
        <v>1614</v>
      </c>
      <c r="E447" t="s">
        <v>1893</v>
      </c>
      <c r="F447">
        <v>4</v>
      </c>
      <c r="G447" s="10">
        <v>164.02</v>
      </c>
      <c r="H447" s="13">
        <v>0.01</v>
      </c>
      <c r="I447" t="s">
        <v>1933</v>
      </c>
      <c r="J447" s="16">
        <v>649.51920000000007</v>
      </c>
      <c r="K447" s="19">
        <f t="shared" si="30"/>
        <v>1672632.4554000003</v>
      </c>
      <c r="L447" s="22">
        <f t="shared" si="31"/>
        <v>1075.6478812861737</v>
      </c>
      <c r="M447" s="22">
        <f t="shared" si="32"/>
        <v>540</v>
      </c>
      <c r="N447" s="22" t="str">
        <f t="shared" si="33"/>
        <v>Low Value</v>
      </c>
      <c r="O447" s="22" t="str">
        <f t="shared" si="34"/>
        <v>Feb-2025</v>
      </c>
      <c r="P447" s="22" t="s">
        <v>1615</v>
      </c>
      <c r="Q447" s="22" t="s">
        <v>1569</v>
      </c>
      <c r="R447" s="22" t="s">
        <v>1080</v>
      </c>
      <c r="S447" s="22"/>
      <c r="T447" s="22"/>
      <c r="V447" s="25" t="s">
        <v>172</v>
      </c>
      <c r="W447" s="6">
        <v>8</v>
      </c>
    </row>
    <row r="448" spans="1:23">
      <c r="A448" t="s">
        <v>2383</v>
      </c>
      <c r="B448" s="8">
        <v>45551</v>
      </c>
      <c r="C448" t="s">
        <v>545</v>
      </c>
      <c r="D448" t="s">
        <v>1636</v>
      </c>
      <c r="E448" t="s">
        <v>1876</v>
      </c>
      <c r="F448">
        <v>2</v>
      </c>
      <c r="G448" s="10">
        <v>527.51</v>
      </c>
      <c r="H448" s="13">
        <v>0.18</v>
      </c>
      <c r="I448" t="s">
        <v>1933</v>
      </c>
      <c r="J448" s="16">
        <v>865.1164</v>
      </c>
      <c r="K448" s="19">
        <f t="shared" si="30"/>
        <v>1671982.9362000003</v>
      </c>
      <c r="L448" s="22">
        <f t="shared" si="31"/>
        <v>1075.9220953667957</v>
      </c>
      <c r="M448" s="22">
        <f t="shared" si="32"/>
        <v>539</v>
      </c>
      <c r="N448" s="22" t="str">
        <f t="shared" si="33"/>
        <v>Low Value</v>
      </c>
      <c r="O448" s="22" t="str">
        <f t="shared" si="34"/>
        <v>Sep-2024</v>
      </c>
      <c r="P448" s="22" t="s">
        <v>1637</v>
      </c>
      <c r="Q448" s="22" t="s">
        <v>1560</v>
      </c>
      <c r="R448" s="22" t="s">
        <v>546</v>
      </c>
      <c r="S448" s="22"/>
      <c r="T448" s="22"/>
      <c r="V448" s="26" t="s">
        <v>1936</v>
      </c>
      <c r="W448" s="6">
        <v>2</v>
      </c>
    </row>
    <row r="449" spans="1:23">
      <c r="A449" t="s">
        <v>2384</v>
      </c>
      <c r="B449" s="8">
        <v>45939</v>
      </c>
      <c r="C449" t="s">
        <v>810</v>
      </c>
      <c r="D449" t="s">
        <v>1725</v>
      </c>
      <c r="E449" t="s">
        <v>1904</v>
      </c>
      <c r="F449">
        <v>3</v>
      </c>
      <c r="G449" s="10">
        <v>628.17999999999995</v>
      </c>
      <c r="H449" s="13">
        <v>0.26</v>
      </c>
      <c r="I449" t="s">
        <v>1931</v>
      </c>
      <c r="J449" s="16">
        <v>1394.5596</v>
      </c>
      <c r="K449" s="19">
        <f t="shared" si="30"/>
        <v>1671117.8198000004</v>
      </c>
      <c r="L449" s="22">
        <f t="shared" si="31"/>
        <v>1076.0578363168065</v>
      </c>
      <c r="M449" s="22">
        <f t="shared" si="32"/>
        <v>538</v>
      </c>
      <c r="N449" s="22" t="str">
        <f t="shared" si="33"/>
        <v>High Value</v>
      </c>
      <c r="O449" s="22" t="str">
        <f t="shared" si="34"/>
        <v>Oct-2025</v>
      </c>
      <c r="P449" s="22" t="s">
        <v>1726</v>
      </c>
      <c r="Q449" s="22" t="s">
        <v>1569</v>
      </c>
      <c r="R449" s="22" t="s">
        <v>3949</v>
      </c>
      <c r="S449" s="22"/>
      <c r="T449" s="22"/>
      <c r="V449" s="26" t="s">
        <v>1931</v>
      </c>
      <c r="W449" s="6">
        <v>5</v>
      </c>
    </row>
    <row r="450" spans="1:23">
      <c r="A450" t="s">
        <v>2385</v>
      </c>
      <c r="B450" s="8">
        <v>45553</v>
      </c>
      <c r="C450" t="s">
        <v>857</v>
      </c>
      <c r="D450" t="s">
        <v>1722</v>
      </c>
      <c r="E450" t="s">
        <v>1873</v>
      </c>
      <c r="F450">
        <v>1</v>
      </c>
      <c r="G450" s="10">
        <v>862.31</v>
      </c>
      <c r="H450" s="13">
        <v>0.06</v>
      </c>
      <c r="I450" t="s">
        <v>1931</v>
      </c>
      <c r="J450" s="16">
        <v>810.57139999999993</v>
      </c>
      <c r="K450" s="19">
        <f t="shared" ref="K450:K513" si="35">SUM(J450:J2449)</f>
        <v>1669723.2602000001</v>
      </c>
      <c r="L450" s="22">
        <f t="shared" ref="L450:L513" si="36">AVERAGE(J450:J2449)</f>
        <v>1075.8526161082475</v>
      </c>
      <c r="M450" s="22">
        <f t="shared" ref="M450:M513" si="37">COUNTIF(I450:I2449,"PayPal")</f>
        <v>538</v>
      </c>
      <c r="N450" s="22" t="str">
        <f t="shared" ref="N450:N513" si="38">IF(J450&gt;=1000,"High Value","Low Value")</f>
        <v>Low Value</v>
      </c>
      <c r="O450" s="22" t="str">
        <f t="shared" ref="O450:O513" si="39">TEXT(B450,"mmm-yyyy")</f>
        <v>Sep-2024</v>
      </c>
      <c r="P450" s="22" t="s">
        <v>1723</v>
      </c>
      <c r="Q450" s="22" t="s">
        <v>1560</v>
      </c>
      <c r="R450" s="22" t="s">
        <v>858</v>
      </c>
      <c r="S450" s="22"/>
      <c r="T450" s="22"/>
      <c r="V450" s="26" t="s">
        <v>1933</v>
      </c>
      <c r="W450" s="6">
        <v>1</v>
      </c>
    </row>
    <row r="451" spans="1:23">
      <c r="A451" t="s">
        <v>2386</v>
      </c>
      <c r="B451" s="8">
        <v>45806</v>
      </c>
      <c r="C451" t="s">
        <v>258</v>
      </c>
      <c r="D451" t="s">
        <v>1804</v>
      </c>
      <c r="E451" t="s">
        <v>1906</v>
      </c>
      <c r="F451">
        <v>2</v>
      </c>
      <c r="G451" s="10">
        <v>541.39</v>
      </c>
      <c r="H451" s="13">
        <v>0.03</v>
      </c>
      <c r="I451" t="s">
        <v>1936</v>
      </c>
      <c r="J451" s="16">
        <v>1050.2965999999999</v>
      </c>
      <c r="K451" s="19">
        <f t="shared" si="35"/>
        <v>1668912.6888000004</v>
      </c>
      <c r="L451" s="22">
        <f t="shared" si="36"/>
        <v>1076.023654932302</v>
      </c>
      <c r="M451" s="22">
        <f t="shared" si="37"/>
        <v>538</v>
      </c>
      <c r="N451" s="22" t="str">
        <f t="shared" si="38"/>
        <v>High Value</v>
      </c>
      <c r="O451" s="22" t="str">
        <f t="shared" si="39"/>
        <v>May-2025</v>
      </c>
      <c r="P451" s="22" t="s">
        <v>1805</v>
      </c>
      <c r="Q451" s="22" t="s">
        <v>1555</v>
      </c>
      <c r="R451" s="22" t="s">
        <v>259</v>
      </c>
      <c r="S451" s="22"/>
      <c r="T451" s="22"/>
      <c r="V451" s="25" t="s">
        <v>108</v>
      </c>
      <c r="W451" s="6">
        <v>1</v>
      </c>
    </row>
    <row r="452" spans="1:23">
      <c r="A452" t="s">
        <v>2387</v>
      </c>
      <c r="B452" s="8">
        <v>45811</v>
      </c>
      <c r="C452" t="s">
        <v>1459</v>
      </c>
      <c r="D452" t="s">
        <v>1783</v>
      </c>
      <c r="E452" t="s">
        <v>1911</v>
      </c>
      <c r="F452">
        <v>3</v>
      </c>
      <c r="G452" s="10">
        <v>761.8</v>
      </c>
      <c r="H452" s="13">
        <v>0.06</v>
      </c>
      <c r="I452" t="s">
        <v>1936</v>
      </c>
      <c r="J452" s="16">
        <v>2148.2759999999989</v>
      </c>
      <c r="K452" s="19">
        <f t="shared" si="35"/>
        <v>1667862.3922000004</v>
      </c>
      <c r="L452" s="22">
        <f t="shared" si="36"/>
        <v>1076.0402530322583</v>
      </c>
      <c r="M452" s="22">
        <f t="shared" si="37"/>
        <v>538</v>
      </c>
      <c r="N452" s="22" t="str">
        <f t="shared" si="38"/>
        <v>High Value</v>
      </c>
      <c r="O452" s="22" t="str">
        <f t="shared" si="39"/>
        <v>Jun-2025</v>
      </c>
      <c r="P452" s="22" t="s">
        <v>1784</v>
      </c>
      <c r="Q452" s="22" t="s">
        <v>1531</v>
      </c>
      <c r="R452" s="22" t="s">
        <v>1460</v>
      </c>
      <c r="S452" s="22"/>
      <c r="T452" s="22"/>
      <c r="V452" s="26" t="s">
        <v>1931</v>
      </c>
      <c r="W452" s="6">
        <v>1</v>
      </c>
    </row>
    <row r="453" spans="1:23">
      <c r="A453" t="s">
        <v>2388</v>
      </c>
      <c r="B453" s="8">
        <v>45508</v>
      </c>
      <c r="C453" t="s">
        <v>1302</v>
      </c>
      <c r="D453" t="s">
        <v>1700</v>
      </c>
      <c r="E453" t="s">
        <v>1868</v>
      </c>
      <c r="F453">
        <v>4</v>
      </c>
      <c r="G453" s="10">
        <v>829.36</v>
      </c>
      <c r="H453" s="13">
        <v>0.11</v>
      </c>
      <c r="I453" t="s">
        <v>1933</v>
      </c>
      <c r="J453" s="16">
        <v>2952.5216</v>
      </c>
      <c r="K453" s="19">
        <f t="shared" si="35"/>
        <v>1665714.1162000005</v>
      </c>
      <c r="L453" s="22">
        <f t="shared" si="36"/>
        <v>1075.3480414460946</v>
      </c>
      <c r="M453" s="22">
        <f t="shared" si="37"/>
        <v>538</v>
      </c>
      <c r="N453" s="22" t="str">
        <f t="shared" si="38"/>
        <v>High Value</v>
      </c>
      <c r="O453" s="22" t="str">
        <f t="shared" si="39"/>
        <v>Aug-2024</v>
      </c>
      <c r="P453" s="22" t="s">
        <v>1701</v>
      </c>
      <c r="Q453" s="22" t="s">
        <v>1555</v>
      </c>
      <c r="R453" s="22" t="s">
        <v>3959</v>
      </c>
      <c r="S453" s="22"/>
      <c r="T453" s="22"/>
      <c r="V453" s="25" t="s">
        <v>352</v>
      </c>
      <c r="W453" s="6">
        <v>10</v>
      </c>
    </row>
    <row r="454" spans="1:23">
      <c r="A454" t="s">
        <v>2389</v>
      </c>
      <c r="B454" s="8">
        <v>45460</v>
      </c>
      <c r="C454" t="s">
        <v>1250</v>
      </c>
      <c r="D454" t="s">
        <v>1617</v>
      </c>
      <c r="E454" t="s">
        <v>1911</v>
      </c>
      <c r="F454">
        <v>2</v>
      </c>
      <c r="G454" s="10">
        <v>425.06</v>
      </c>
      <c r="H454" s="13">
        <v>0.09</v>
      </c>
      <c r="I454" t="s">
        <v>1933</v>
      </c>
      <c r="J454" s="16">
        <v>773.60919999999999</v>
      </c>
      <c r="K454" s="19">
        <f t="shared" si="35"/>
        <v>1662761.5946000007</v>
      </c>
      <c r="L454" s="22">
        <f t="shared" si="36"/>
        <v>1074.1353970284242</v>
      </c>
      <c r="M454" s="22">
        <f t="shared" si="37"/>
        <v>537</v>
      </c>
      <c r="N454" s="22" t="str">
        <f t="shared" si="38"/>
        <v>Low Value</v>
      </c>
      <c r="O454" s="22" t="str">
        <f t="shared" si="39"/>
        <v>Jun-2024</v>
      </c>
      <c r="P454" s="22" t="s">
        <v>1618</v>
      </c>
      <c r="Q454" s="22" t="s">
        <v>1536</v>
      </c>
      <c r="R454" s="22" t="s">
        <v>1251</v>
      </c>
      <c r="S454" s="22"/>
      <c r="T454" s="22"/>
      <c r="V454" s="26" t="s">
        <v>1936</v>
      </c>
      <c r="W454" s="6">
        <v>2</v>
      </c>
    </row>
    <row r="455" spans="1:23">
      <c r="A455" t="s">
        <v>2390</v>
      </c>
      <c r="B455" s="8">
        <v>45311</v>
      </c>
      <c r="C455" t="s">
        <v>434</v>
      </c>
      <c r="D455" t="s">
        <v>1719</v>
      </c>
      <c r="E455" t="s">
        <v>1859</v>
      </c>
      <c r="F455">
        <v>2</v>
      </c>
      <c r="G455" s="10">
        <v>911.14</v>
      </c>
      <c r="H455" s="13">
        <v>0.1</v>
      </c>
      <c r="I455" t="s">
        <v>1931</v>
      </c>
      <c r="J455" s="16">
        <v>1640.0519999999999</v>
      </c>
      <c r="K455" s="19">
        <f t="shared" si="35"/>
        <v>1661987.9854000008</v>
      </c>
      <c r="L455" s="22">
        <f t="shared" si="36"/>
        <v>1074.3296608920496</v>
      </c>
      <c r="M455" s="22">
        <f t="shared" si="37"/>
        <v>536</v>
      </c>
      <c r="N455" s="22" t="str">
        <f t="shared" si="38"/>
        <v>High Value</v>
      </c>
      <c r="O455" s="22" t="str">
        <f t="shared" si="39"/>
        <v>Jan-2024</v>
      </c>
      <c r="P455" s="22" t="s">
        <v>1720</v>
      </c>
      <c r="Q455" s="22" t="s">
        <v>1560</v>
      </c>
      <c r="R455" s="22" t="s">
        <v>435</v>
      </c>
      <c r="S455" s="22"/>
      <c r="T455" s="22"/>
      <c r="V455" s="26" t="s">
        <v>1931</v>
      </c>
      <c r="W455" s="6">
        <v>8</v>
      </c>
    </row>
    <row r="456" spans="1:23">
      <c r="A456" t="s">
        <v>2391</v>
      </c>
      <c r="B456" s="8">
        <v>45906</v>
      </c>
      <c r="C456" t="s">
        <v>301</v>
      </c>
      <c r="D456" t="s">
        <v>1758</v>
      </c>
      <c r="E456" t="s">
        <v>1889</v>
      </c>
      <c r="F456">
        <v>3</v>
      </c>
      <c r="G456" s="10">
        <v>811.96</v>
      </c>
      <c r="H456" s="13">
        <v>0.28999999999999998</v>
      </c>
      <c r="I456" t="s">
        <v>1931</v>
      </c>
      <c r="J456" s="16">
        <v>1729.4748</v>
      </c>
      <c r="K456" s="19">
        <f t="shared" si="35"/>
        <v>1660347.9334000009</v>
      </c>
      <c r="L456" s="22">
        <f t="shared" si="36"/>
        <v>1073.9637344113848</v>
      </c>
      <c r="M456" s="22">
        <f t="shared" si="37"/>
        <v>536</v>
      </c>
      <c r="N456" s="22" t="str">
        <f t="shared" si="38"/>
        <v>High Value</v>
      </c>
      <c r="O456" s="22" t="str">
        <f t="shared" si="39"/>
        <v>Sep-2025</v>
      </c>
      <c r="P456" s="22" t="s">
        <v>1759</v>
      </c>
      <c r="Q456" s="22" t="s">
        <v>1560</v>
      </c>
      <c r="R456" s="22" t="s">
        <v>302</v>
      </c>
      <c r="S456" s="22"/>
      <c r="T456" s="22"/>
      <c r="V456" s="25" t="s">
        <v>53</v>
      </c>
      <c r="W456" s="6">
        <v>5</v>
      </c>
    </row>
    <row r="457" spans="1:23">
      <c r="A457" t="s">
        <v>2392</v>
      </c>
      <c r="B457" s="8">
        <v>45380</v>
      </c>
      <c r="C457" t="s">
        <v>868</v>
      </c>
      <c r="D457" t="s">
        <v>1642</v>
      </c>
      <c r="E457" t="s">
        <v>1896</v>
      </c>
      <c r="F457">
        <v>2</v>
      </c>
      <c r="G457" s="10">
        <v>780.05</v>
      </c>
      <c r="H457" s="13">
        <v>0.12</v>
      </c>
      <c r="I457" t="s">
        <v>1936</v>
      </c>
      <c r="J457" s="16">
        <v>1372.8879999999999</v>
      </c>
      <c r="K457" s="19">
        <f t="shared" si="35"/>
        <v>1658618.4586000009</v>
      </c>
      <c r="L457" s="22">
        <f t="shared" si="36"/>
        <v>1073.5394554045313</v>
      </c>
      <c r="M457" s="22">
        <f t="shared" si="37"/>
        <v>536</v>
      </c>
      <c r="N457" s="22" t="str">
        <f t="shared" si="38"/>
        <v>High Value</v>
      </c>
      <c r="O457" s="22" t="str">
        <f t="shared" si="39"/>
        <v>Mar-2024</v>
      </c>
      <c r="P457" s="22" t="s">
        <v>1643</v>
      </c>
      <c r="Q457" s="22" t="s">
        <v>1569</v>
      </c>
      <c r="R457" s="22" t="s">
        <v>869</v>
      </c>
      <c r="S457" s="22"/>
      <c r="T457" s="22"/>
      <c r="V457" s="26" t="s">
        <v>1936</v>
      </c>
      <c r="W457" s="6">
        <v>4</v>
      </c>
    </row>
    <row r="458" spans="1:23">
      <c r="A458" t="s">
        <v>2393</v>
      </c>
      <c r="B458" s="8">
        <v>45527</v>
      </c>
      <c r="C458" t="s">
        <v>697</v>
      </c>
      <c r="D458" t="s">
        <v>1646</v>
      </c>
      <c r="E458" t="s">
        <v>1893</v>
      </c>
      <c r="F458">
        <v>4</v>
      </c>
      <c r="G458" s="10">
        <v>315.95</v>
      </c>
      <c r="H458" s="13">
        <v>0.19</v>
      </c>
      <c r="I458" t="s">
        <v>1936</v>
      </c>
      <c r="J458" s="16">
        <v>1023.678</v>
      </c>
      <c r="K458" s="19">
        <f t="shared" si="35"/>
        <v>1657245.5706000009</v>
      </c>
      <c r="L458" s="22">
        <f t="shared" si="36"/>
        <v>1073.345576813472</v>
      </c>
      <c r="M458" s="22">
        <f t="shared" si="37"/>
        <v>536</v>
      </c>
      <c r="N458" s="22" t="str">
        <f t="shared" si="38"/>
        <v>High Value</v>
      </c>
      <c r="O458" s="22" t="str">
        <f t="shared" si="39"/>
        <v>Aug-2024</v>
      </c>
      <c r="P458" s="22" t="s">
        <v>1647</v>
      </c>
      <c r="Q458" s="22" t="s">
        <v>1555</v>
      </c>
      <c r="R458" s="22" t="s">
        <v>698</v>
      </c>
      <c r="S458" s="22"/>
      <c r="T458" s="22"/>
      <c r="V458" s="26" t="s">
        <v>1933</v>
      </c>
      <c r="W458" s="6">
        <v>1</v>
      </c>
    </row>
    <row r="459" spans="1:23">
      <c r="A459" t="s">
        <v>2394</v>
      </c>
      <c r="B459" s="8">
        <v>45796</v>
      </c>
      <c r="C459" t="s">
        <v>738</v>
      </c>
      <c r="D459" t="s">
        <v>1710</v>
      </c>
      <c r="E459" t="s">
        <v>1893</v>
      </c>
      <c r="F459">
        <v>2</v>
      </c>
      <c r="G459" s="10">
        <v>810.17</v>
      </c>
      <c r="H459" s="13">
        <v>0.27</v>
      </c>
      <c r="I459" t="s">
        <v>1931</v>
      </c>
      <c r="J459" s="16">
        <v>1182.8481999999999</v>
      </c>
      <c r="K459" s="19">
        <f t="shared" si="35"/>
        <v>1656221.8926000011</v>
      </c>
      <c r="L459" s="22">
        <f t="shared" si="36"/>
        <v>1073.3777657809469</v>
      </c>
      <c r="M459" s="22">
        <f t="shared" si="37"/>
        <v>536</v>
      </c>
      <c r="N459" s="22" t="str">
        <f t="shared" si="38"/>
        <v>High Value</v>
      </c>
      <c r="O459" s="22" t="str">
        <f t="shared" si="39"/>
        <v>May-2025</v>
      </c>
      <c r="P459" s="22" t="s">
        <v>1711</v>
      </c>
      <c r="Q459" s="22" t="s">
        <v>1569</v>
      </c>
      <c r="R459" s="22" t="s">
        <v>739</v>
      </c>
      <c r="S459" s="22"/>
      <c r="T459" s="22"/>
      <c r="V459" s="25" t="s">
        <v>425</v>
      </c>
      <c r="W459" s="6">
        <v>11</v>
      </c>
    </row>
    <row r="460" spans="1:23">
      <c r="A460" t="s">
        <v>2395</v>
      </c>
      <c r="B460" s="8">
        <v>45389</v>
      </c>
      <c r="C460" t="s">
        <v>667</v>
      </c>
      <c r="D460" t="s">
        <v>1807</v>
      </c>
      <c r="E460" t="s">
        <v>1876</v>
      </c>
      <c r="F460">
        <v>3</v>
      </c>
      <c r="G460" s="10">
        <v>505.01</v>
      </c>
      <c r="H460" s="13">
        <v>0.02</v>
      </c>
      <c r="I460" t="s">
        <v>1933</v>
      </c>
      <c r="J460" s="16">
        <v>1484.7293999999999</v>
      </c>
      <c r="K460" s="19">
        <f t="shared" si="35"/>
        <v>1655039.0444000009</v>
      </c>
      <c r="L460" s="22">
        <f t="shared" si="36"/>
        <v>1073.3067732814532</v>
      </c>
      <c r="M460" s="22">
        <f t="shared" si="37"/>
        <v>536</v>
      </c>
      <c r="N460" s="22" t="str">
        <f t="shared" si="38"/>
        <v>High Value</v>
      </c>
      <c r="O460" s="22" t="str">
        <f t="shared" si="39"/>
        <v>Apr-2024</v>
      </c>
      <c r="P460" s="22" t="s">
        <v>1808</v>
      </c>
      <c r="Q460" s="22" t="s">
        <v>1560</v>
      </c>
      <c r="R460" s="22" t="s">
        <v>668</v>
      </c>
      <c r="S460" s="22"/>
      <c r="T460" s="22"/>
      <c r="V460" s="26" t="s">
        <v>1936</v>
      </c>
      <c r="W460" s="6">
        <v>5</v>
      </c>
    </row>
    <row r="461" spans="1:23">
      <c r="A461" t="s">
        <v>2396</v>
      </c>
      <c r="B461" s="8">
        <v>45315</v>
      </c>
      <c r="C461" t="s">
        <v>1430</v>
      </c>
      <c r="D461" t="s">
        <v>1771</v>
      </c>
      <c r="E461" t="s">
        <v>1914</v>
      </c>
      <c r="F461">
        <v>2</v>
      </c>
      <c r="G461" s="10">
        <v>736.75</v>
      </c>
      <c r="H461" s="13">
        <v>0.18</v>
      </c>
      <c r="I461" t="s">
        <v>1931</v>
      </c>
      <c r="J461" s="16">
        <v>1208.27</v>
      </c>
      <c r="K461" s="19">
        <f t="shared" si="35"/>
        <v>1653554.3150000009</v>
      </c>
      <c r="L461" s="22">
        <f t="shared" si="36"/>
        <v>1073.0397890979889</v>
      </c>
      <c r="M461" s="22">
        <f t="shared" si="37"/>
        <v>535</v>
      </c>
      <c r="N461" s="22" t="str">
        <f t="shared" si="38"/>
        <v>High Value</v>
      </c>
      <c r="O461" s="22" t="str">
        <f t="shared" si="39"/>
        <v>Jan-2024</v>
      </c>
      <c r="P461" s="22" t="s">
        <v>1772</v>
      </c>
      <c r="Q461" s="22" t="s">
        <v>1569</v>
      </c>
      <c r="R461" s="22" t="s">
        <v>1431</v>
      </c>
      <c r="S461" s="22"/>
      <c r="T461" s="22"/>
      <c r="V461" s="26" t="s">
        <v>1933</v>
      </c>
      <c r="W461" s="6">
        <v>6</v>
      </c>
    </row>
    <row r="462" spans="1:23">
      <c r="A462" t="s">
        <v>2397</v>
      </c>
      <c r="B462" s="8">
        <v>45311</v>
      </c>
      <c r="C462" t="s">
        <v>114</v>
      </c>
      <c r="D462" t="s">
        <v>1786</v>
      </c>
      <c r="E462" t="s">
        <v>1893</v>
      </c>
      <c r="F462">
        <v>4</v>
      </c>
      <c r="G462" s="10">
        <v>700.31</v>
      </c>
      <c r="H462" s="13">
        <v>0.2</v>
      </c>
      <c r="I462" t="s">
        <v>1933</v>
      </c>
      <c r="J462" s="16">
        <v>2240.9920000000002</v>
      </c>
      <c r="K462" s="19">
        <f t="shared" si="35"/>
        <v>1652346.0450000009</v>
      </c>
      <c r="L462" s="22">
        <f t="shared" si="36"/>
        <v>1072.9519772727278</v>
      </c>
      <c r="M462" s="22">
        <f t="shared" si="37"/>
        <v>535</v>
      </c>
      <c r="N462" s="22" t="str">
        <f t="shared" si="38"/>
        <v>High Value</v>
      </c>
      <c r="O462" s="22" t="str">
        <f t="shared" si="39"/>
        <v>Jan-2024</v>
      </c>
      <c r="P462" s="22" t="s">
        <v>1787</v>
      </c>
      <c r="Q462" s="22" t="s">
        <v>1531</v>
      </c>
      <c r="R462" s="22" t="s">
        <v>115</v>
      </c>
      <c r="S462" s="22"/>
      <c r="T462" s="22"/>
      <c r="V462" s="25" t="s">
        <v>325</v>
      </c>
      <c r="W462" s="6">
        <v>5</v>
      </c>
    </row>
    <row r="463" spans="1:23">
      <c r="A463" t="s">
        <v>2398</v>
      </c>
      <c r="B463" s="8">
        <v>45270</v>
      </c>
      <c r="C463" t="s">
        <v>440</v>
      </c>
      <c r="D463" t="s">
        <v>1828</v>
      </c>
      <c r="E463" t="s">
        <v>1899</v>
      </c>
      <c r="F463">
        <v>4</v>
      </c>
      <c r="G463" s="10">
        <v>202.46</v>
      </c>
      <c r="H463" s="13">
        <v>0.24</v>
      </c>
      <c r="I463" t="s">
        <v>1931</v>
      </c>
      <c r="J463" s="16">
        <v>615.47840000000008</v>
      </c>
      <c r="K463" s="19">
        <f t="shared" si="35"/>
        <v>1650105.0530000008</v>
      </c>
      <c r="L463" s="22">
        <f t="shared" si="36"/>
        <v>1072.1930168940876</v>
      </c>
      <c r="M463" s="22">
        <f t="shared" si="37"/>
        <v>534</v>
      </c>
      <c r="N463" s="22" t="str">
        <f t="shared" si="38"/>
        <v>Low Value</v>
      </c>
      <c r="O463" s="22" t="str">
        <f t="shared" si="39"/>
        <v>Dec-2023</v>
      </c>
      <c r="P463" s="22" t="s">
        <v>1829</v>
      </c>
      <c r="Q463" s="22" t="s">
        <v>1536</v>
      </c>
      <c r="R463" s="22" t="s">
        <v>441</v>
      </c>
      <c r="S463" s="22"/>
      <c r="T463" s="22"/>
      <c r="V463" s="26" t="s">
        <v>1936</v>
      </c>
      <c r="W463" s="6">
        <v>5</v>
      </c>
    </row>
    <row r="464" spans="1:23">
      <c r="A464" t="s">
        <v>2399</v>
      </c>
      <c r="B464" s="8">
        <v>45279</v>
      </c>
      <c r="C464" t="s">
        <v>846</v>
      </c>
      <c r="D464" t="s">
        <v>1816</v>
      </c>
      <c r="E464" t="s">
        <v>1864</v>
      </c>
      <c r="F464">
        <v>2</v>
      </c>
      <c r="G464" s="10">
        <v>291.83999999999997</v>
      </c>
      <c r="H464" s="13">
        <v>0.25</v>
      </c>
      <c r="I464" t="s">
        <v>1933</v>
      </c>
      <c r="J464" s="16">
        <v>437.76</v>
      </c>
      <c r="K464" s="19">
        <f t="shared" si="35"/>
        <v>1649489.5746000006</v>
      </c>
      <c r="L464" s="22">
        <f t="shared" si="36"/>
        <v>1072.4899704811448</v>
      </c>
      <c r="M464" s="22">
        <f t="shared" si="37"/>
        <v>534</v>
      </c>
      <c r="N464" s="22" t="str">
        <f t="shared" si="38"/>
        <v>Low Value</v>
      </c>
      <c r="O464" s="22" t="str">
        <f t="shared" si="39"/>
        <v>Dec-2023</v>
      </c>
      <c r="P464" s="22" t="s">
        <v>1817</v>
      </c>
      <c r="Q464" s="22" t="s">
        <v>1560</v>
      </c>
      <c r="R464" s="22" t="s">
        <v>847</v>
      </c>
      <c r="S464" s="22"/>
      <c r="T464" s="22"/>
      <c r="V464" s="25" t="s">
        <v>905</v>
      </c>
      <c r="W464" s="6">
        <v>11</v>
      </c>
    </row>
    <row r="465" spans="1:23">
      <c r="A465" t="s">
        <v>2400</v>
      </c>
      <c r="B465" s="8">
        <v>45252</v>
      </c>
      <c r="C465" t="s">
        <v>542</v>
      </c>
      <c r="D465" t="s">
        <v>1846</v>
      </c>
      <c r="E465" t="s">
        <v>1880</v>
      </c>
      <c r="F465">
        <v>2</v>
      </c>
      <c r="G465" s="10">
        <v>261.48</v>
      </c>
      <c r="H465" s="13">
        <v>0.17</v>
      </c>
      <c r="I465" t="s">
        <v>1931</v>
      </c>
      <c r="J465" s="16">
        <v>434.05680000000001</v>
      </c>
      <c r="K465" s="19">
        <f t="shared" si="35"/>
        <v>1649051.8146000009</v>
      </c>
      <c r="L465" s="22">
        <f t="shared" si="36"/>
        <v>1072.9029372804171</v>
      </c>
      <c r="M465" s="22">
        <f t="shared" si="37"/>
        <v>533</v>
      </c>
      <c r="N465" s="22" t="str">
        <f t="shared" si="38"/>
        <v>Low Value</v>
      </c>
      <c r="O465" s="22" t="str">
        <f t="shared" si="39"/>
        <v>Nov-2023</v>
      </c>
      <c r="P465" s="22" t="s">
        <v>1847</v>
      </c>
      <c r="Q465" s="22" t="s">
        <v>1569</v>
      </c>
      <c r="R465" s="22" t="s">
        <v>543</v>
      </c>
      <c r="S465" s="22"/>
      <c r="T465" s="22"/>
      <c r="V465" s="26" t="s">
        <v>1931</v>
      </c>
      <c r="W465" s="6">
        <v>4</v>
      </c>
    </row>
    <row r="466" spans="1:23">
      <c r="A466" t="s">
        <v>2401</v>
      </c>
      <c r="B466" s="8">
        <v>45938</v>
      </c>
      <c r="C466" t="s">
        <v>946</v>
      </c>
      <c r="D466" t="s">
        <v>1658</v>
      </c>
      <c r="E466" t="s">
        <v>1906</v>
      </c>
      <c r="F466">
        <v>1</v>
      </c>
      <c r="G466" s="10">
        <v>850.83</v>
      </c>
      <c r="H466" s="13">
        <v>0.28000000000000003</v>
      </c>
      <c r="I466" t="s">
        <v>1933</v>
      </c>
      <c r="J466" s="16">
        <v>612.59760000000006</v>
      </c>
      <c r="K466" s="19">
        <f t="shared" si="35"/>
        <v>1648617.7578000007</v>
      </c>
      <c r="L466" s="22">
        <f t="shared" si="36"/>
        <v>1073.3188527343755</v>
      </c>
      <c r="M466" s="22">
        <f t="shared" si="37"/>
        <v>533</v>
      </c>
      <c r="N466" s="22" t="str">
        <f t="shared" si="38"/>
        <v>Low Value</v>
      </c>
      <c r="O466" s="22" t="str">
        <f t="shared" si="39"/>
        <v>Oct-2025</v>
      </c>
      <c r="P466" s="22" t="s">
        <v>1659</v>
      </c>
      <c r="Q466" s="22" t="s">
        <v>1536</v>
      </c>
      <c r="R466" s="22" t="s">
        <v>947</v>
      </c>
      <c r="S466" s="22"/>
      <c r="T466" s="22"/>
      <c r="V466" s="26" t="s">
        <v>1933</v>
      </c>
      <c r="W466" s="6">
        <v>7</v>
      </c>
    </row>
    <row r="467" spans="1:23">
      <c r="A467" t="s">
        <v>2402</v>
      </c>
      <c r="B467" s="8">
        <v>45711</v>
      </c>
      <c r="C467" t="s">
        <v>1253</v>
      </c>
      <c r="D467" t="s">
        <v>1690</v>
      </c>
      <c r="E467" t="s">
        <v>1893</v>
      </c>
      <c r="F467">
        <v>1</v>
      </c>
      <c r="G467" s="10">
        <v>83.83</v>
      </c>
      <c r="H467" s="13">
        <v>0.05</v>
      </c>
      <c r="I467" t="s">
        <v>1931</v>
      </c>
      <c r="J467" s="16">
        <v>79.638499999999993</v>
      </c>
      <c r="K467" s="19">
        <f t="shared" si="35"/>
        <v>1648005.1602000007</v>
      </c>
      <c r="L467" s="22">
        <f t="shared" si="36"/>
        <v>1073.6189968729645</v>
      </c>
      <c r="M467" s="22">
        <f t="shared" si="37"/>
        <v>532</v>
      </c>
      <c r="N467" s="22" t="str">
        <f t="shared" si="38"/>
        <v>Low Value</v>
      </c>
      <c r="O467" s="22" t="str">
        <f t="shared" si="39"/>
        <v>Feb-2025</v>
      </c>
      <c r="P467" s="22" t="s">
        <v>1691</v>
      </c>
      <c r="Q467" s="22" t="s">
        <v>1536</v>
      </c>
      <c r="R467" s="22" t="s">
        <v>1254</v>
      </c>
      <c r="S467" s="22"/>
      <c r="T467" s="22"/>
      <c r="V467" s="25" t="s">
        <v>793</v>
      </c>
      <c r="W467" s="6">
        <v>11</v>
      </c>
    </row>
    <row r="468" spans="1:23">
      <c r="A468" t="s">
        <v>2403</v>
      </c>
      <c r="B468" s="8">
        <v>45713</v>
      </c>
      <c r="C468" t="s">
        <v>35</v>
      </c>
      <c r="D468" t="s">
        <v>1819</v>
      </c>
      <c r="E468" t="s">
        <v>1911</v>
      </c>
      <c r="F468">
        <v>3</v>
      </c>
      <c r="G468" s="10">
        <v>649.95000000000005</v>
      </c>
      <c r="H468" s="13">
        <v>0.28000000000000003</v>
      </c>
      <c r="I468" t="s">
        <v>1936</v>
      </c>
      <c r="J468" s="16">
        <v>1403.8920000000001</v>
      </c>
      <c r="K468" s="19">
        <f t="shared" si="35"/>
        <v>1647925.5217000009</v>
      </c>
      <c r="L468" s="22">
        <f t="shared" si="36"/>
        <v>1074.2669632985665</v>
      </c>
      <c r="M468" s="22">
        <f t="shared" si="37"/>
        <v>532</v>
      </c>
      <c r="N468" s="22" t="str">
        <f t="shared" si="38"/>
        <v>High Value</v>
      </c>
      <c r="O468" s="22" t="str">
        <f t="shared" si="39"/>
        <v>Feb-2025</v>
      </c>
      <c r="P468" s="22" t="s">
        <v>1820</v>
      </c>
      <c r="Q468" s="22" t="s">
        <v>1569</v>
      </c>
      <c r="R468" s="22" t="s">
        <v>36</v>
      </c>
      <c r="S468" s="22"/>
      <c r="T468" s="22"/>
      <c r="V468" s="26" t="s">
        <v>1936</v>
      </c>
      <c r="W468" s="6">
        <v>3</v>
      </c>
    </row>
    <row r="469" spans="1:23">
      <c r="A469" t="s">
        <v>2404</v>
      </c>
      <c r="B469" s="8">
        <v>45565</v>
      </c>
      <c r="C469" t="s">
        <v>1139</v>
      </c>
      <c r="D469" t="s">
        <v>1774</v>
      </c>
      <c r="E469" t="s">
        <v>1883</v>
      </c>
      <c r="F469">
        <v>4</v>
      </c>
      <c r="G469" s="10">
        <v>934.96</v>
      </c>
      <c r="H469" s="13">
        <v>0.18</v>
      </c>
      <c r="I469" t="s">
        <v>1933</v>
      </c>
      <c r="J469" s="16">
        <v>3066.6687999999999</v>
      </c>
      <c r="K469" s="19">
        <f t="shared" si="35"/>
        <v>1646521.6297000009</v>
      </c>
      <c r="L469" s="22">
        <f t="shared" si="36"/>
        <v>1074.0519437051539</v>
      </c>
      <c r="M469" s="22">
        <f t="shared" si="37"/>
        <v>532</v>
      </c>
      <c r="N469" s="22" t="str">
        <f t="shared" si="38"/>
        <v>High Value</v>
      </c>
      <c r="O469" s="22" t="str">
        <f t="shared" si="39"/>
        <v>Sep-2024</v>
      </c>
      <c r="P469" s="22" t="s">
        <v>1775</v>
      </c>
      <c r="Q469" s="22" t="s">
        <v>1569</v>
      </c>
      <c r="R469" s="22" t="s">
        <v>1140</v>
      </c>
      <c r="S469" s="22"/>
      <c r="T469" s="22"/>
      <c r="V469" s="26" t="s">
        <v>1931</v>
      </c>
      <c r="W469" s="6">
        <v>1</v>
      </c>
    </row>
    <row r="470" spans="1:23">
      <c r="A470" t="s">
        <v>2405</v>
      </c>
      <c r="B470" s="8">
        <v>45279</v>
      </c>
      <c r="C470" t="s">
        <v>670</v>
      </c>
      <c r="D470" t="s">
        <v>1597</v>
      </c>
      <c r="E470" t="s">
        <v>1906</v>
      </c>
      <c r="F470">
        <v>1</v>
      </c>
      <c r="G470" s="10">
        <v>880.89</v>
      </c>
      <c r="H470" s="13">
        <v>0.13</v>
      </c>
      <c r="I470" t="s">
        <v>1936</v>
      </c>
      <c r="J470" s="16">
        <v>766.37429999999995</v>
      </c>
      <c r="K470" s="19">
        <f t="shared" si="35"/>
        <v>1643454.960900001</v>
      </c>
      <c r="L470" s="22">
        <f t="shared" si="36"/>
        <v>1072.7512799608362</v>
      </c>
      <c r="M470" s="22">
        <f t="shared" si="37"/>
        <v>531</v>
      </c>
      <c r="N470" s="22" t="str">
        <f t="shared" si="38"/>
        <v>Low Value</v>
      </c>
      <c r="O470" s="22" t="str">
        <f t="shared" si="39"/>
        <v>Dec-2023</v>
      </c>
      <c r="P470" s="22" t="s">
        <v>1598</v>
      </c>
      <c r="Q470" s="22" t="s">
        <v>1569</v>
      </c>
      <c r="R470" s="22" t="s">
        <v>671</v>
      </c>
      <c r="S470" s="22"/>
      <c r="T470" s="22"/>
      <c r="V470" s="26" t="s">
        <v>1933</v>
      </c>
      <c r="W470" s="6">
        <v>7</v>
      </c>
    </row>
    <row r="471" spans="1:23">
      <c r="A471" t="s">
        <v>2406</v>
      </c>
      <c r="B471" s="8">
        <v>45614</v>
      </c>
      <c r="C471" t="s">
        <v>1459</v>
      </c>
      <c r="D471" t="s">
        <v>1849</v>
      </c>
      <c r="E471" t="s">
        <v>1889</v>
      </c>
      <c r="F471">
        <v>4</v>
      </c>
      <c r="G471" s="10">
        <v>610.6</v>
      </c>
      <c r="H471" s="13">
        <v>0.1</v>
      </c>
      <c r="I471" t="s">
        <v>1933</v>
      </c>
      <c r="J471" s="16">
        <v>2198.16</v>
      </c>
      <c r="K471" s="19">
        <f t="shared" si="35"/>
        <v>1642688.586600001</v>
      </c>
      <c r="L471" s="22">
        <f t="shared" si="36"/>
        <v>1072.9513955584591</v>
      </c>
      <c r="M471" s="22">
        <f t="shared" si="37"/>
        <v>531</v>
      </c>
      <c r="N471" s="22" t="str">
        <f t="shared" si="38"/>
        <v>High Value</v>
      </c>
      <c r="O471" s="22" t="str">
        <f t="shared" si="39"/>
        <v>Nov-2024</v>
      </c>
      <c r="P471" s="22" t="s">
        <v>1850</v>
      </c>
      <c r="Q471" s="22" t="s">
        <v>1531</v>
      </c>
      <c r="R471" s="22" t="s">
        <v>1460</v>
      </c>
      <c r="S471" s="22"/>
      <c r="T471" s="22"/>
      <c r="V471" s="25" t="s">
        <v>3949</v>
      </c>
      <c r="W471" s="6">
        <v>13</v>
      </c>
    </row>
    <row r="472" spans="1:23">
      <c r="A472" t="s">
        <v>2407</v>
      </c>
      <c r="B472" s="8">
        <v>45912</v>
      </c>
      <c r="C472" t="s">
        <v>272</v>
      </c>
      <c r="D472" t="s">
        <v>1633</v>
      </c>
      <c r="E472" t="s">
        <v>1917</v>
      </c>
      <c r="F472">
        <v>1</v>
      </c>
      <c r="G472" s="10">
        <v>514.19000000000005</v>
      </c>
      <c r="H472" s="13">
        <v>0.2</v>
      </c>
      <c r="I472" t="s">
        <v>1931</v>
      </c>
      <c r="J472" s="16">
        <v>411.35200000000009</v>
      </c>
      <c r="K472" s="19">
        <f t="shared" si="35"/>
        <v>1640490.4266000011</v>
      </c>
      <c r="L472" s="22">
        <f t="shared" si="36"/>
        <v>1072.21596509804</v>
      </c>
      <c r="M472" s="22">
        <f t="shared" si="37"/>
        <v>530</v>
      </c>
      <c r="N472" s="22" t="str">
        <f t="shared" si="38"/>
        <v>Low Value</v>
      </c>
      <c r="O472" s="22" t="str">
        <f t="shared" si="39"/>
        <v>Sep-2025</v>
      </c>
      <c r="P472" s="22" t="s">
        <v>1634</v>
      </c>
      <c r="Q472" s="22" t="s">
        <v>1569</v>
      </c>
      <c r="R472" s="22" t="s">
        <v>273</v>
      </c>
      <c r="S472" s="22"/>
      <c r="T472" s="22"/>
      <c r="V472" s="26" t="s">
        <v>1931</v>
      </c>
      <c r="W472" s="6">
        <v>6</v>
      </c>
    </row>
    <row r="473" spans="1:23">
      <c r="A473" t="s">
        <v>2408</v>
      </c>
      <c r="B473" s="8">
        <v>45688</v>
      </c>
      <c r="C473" t="s">
        <v>1236</v>
      </c>
      <c r="D473" t="s">
        <v>1661</v>
      </c>
      <c r="E473" t="s">
        <v>1904</v>
      </c>
      <c r="F473">
        <v>1</v>
      </c>
      <c r="G473" s="10">
        <v>546.20000000000005</v>
      </c>
      <c r="H473" s="13">
        <v>0.22</v>
      </c>
      <c r="I473" t="s">
        <v>1933</v>
      </c>
      <c r="J473" s="16">
        <v>426.03600000000012</v>
      </c>
      <c r="K473" s="19">
        <f t="shared" si="35"/>
        <v>1640079.0746000013</v>
      </c>
      <c r="L473" s="22">
        <f t="shared" si="36"/>
        <v>1072.6481848266849</v>
      </c>
      <c r="M473" s="22">
        <f t="shared" si="37"/>
        <v>530</v>
      </c>
      <c r="N473" s="22" t="str">
        <f t="shared" si="38"/>
        <v>Low Value</v>
      </c>
      <c r="O473" s="22" t="str">
        <f t="shared" si="39"/>
        <v>Jan-2025</v>
      </c>
      <c r="P473" s="22" t="s">
        <v>1662</v>
      </c>
      <c r="Q473" s="22" t="s">
        <v>1536</v>
      </c>
      <c r="R473" s="22" t="s">
        <v>1237</v>
      </c>
      <c r="S473" s="22"/>
      <c r="T473" s="22"/>
      <c r="V473" s="26" t="s">
        <v>1933</v>
      </c>
      <c r="W473" s="6">
        <v>7</v>
      </c>
    </row>
    <row r="474" spans="1:23">
      <c r="A474" t="s">
        <v>2409</v>
      </c>
      <c r="B474" s="8">
        <v>45591</v>
      </c>
      <c r="C474" t="s">
        <v>644</v>
      </c>
      <c r="D474" t="s">
        <v>1661</v>
      </c>
      <c r="E474" t="s">
        <v>1859</v>
      </c>
      <c r="F474">
        <v>3</v>
      </c>
      <c r="G474" s="10">
        <v>416.01</v>
      </c>
      <c r="H474" s="13">
        <v>0.02</v>
      </c>
      <c r="I474" t="s">
        <v>1931</v>
      </c>
      <c r="J474" s="16">
        <v>1223.0694000000001</v>
      </c>
      <c r="K474" s="19">
        <f t="shared" si="35"/>
        <v>1639653.0386000013</v>
      </c>
      <c r="L474" s="22">
        <f t="shared" si="36"/>
        <v>1073.0713603403149</v>
      </c>
      <c r="M474" s="22">
        <f t="shared" si="37"/>
        <v>529</v>
      </c>
      <c r="N474" s="22" t="str">
        <f t="shared" si="38"/>
        <v>High Value</v>
      </c>
      <c r="O474" s="22" t="str">
        <f t="shared" si="39"/>
        <v>Oct-2024</v>
      </c>
      <c r="P474" s="22" t="s">
        <v>1662</v>
      </c>
      <c r="Q474" s="22" t="s">
        <v>1536</v>
      </c>
      <c r="R474" s="22" t="s">
        <v>645</v>
      </c>
      <c r="S474" s="22"/>
      <c r="T474" s="22"/>
      <c r="V474" s="25" t="s">
        <v>3940</v>
      </c>
      <c r="W474" s="6">
        <v>7</v>
      </c>
    </row>
    <row r="475" spans="1:23">
      <c r="A475" t="s">
        <v>2410</v>
      </c>
      <c r="B475" s="8">
        <v>45864</v>
      </c>
      <c r="C475" t="s">
        <v>1193</v>
      </c>
      <c r="D475" t="s">
        <v>1777</v>
      </c>
      <c r="E475" t="s">
        <v>1896</v>
      </c>
      <c r="F475">
        <v>1</v>
      </c>
      <c r="G475" s="10">
        <v>30.94</v>
      </c>
      <c r="H475" s="13">
        <v>0.21</v>
      </c>
      <c r="I475" t="s">
        <v>1936</v>
      </c>
      <c r="J475" s="16">
        <v>24.442599999999999</v>
      </c>
      <c r="K475" s="19">
        <f t="shared" si="35"/>
        <v>1638429.9692000011</v>
      </c>
      <c r="L475" s="22">
        <f t="shared" si="36"/>
        <v>1072.9731297969884</v>
      </c>
      <c r="M475" s="22">
        <f t="shared" si="37"/>
        <v>529</v>
      </c>
      <c r="N475" s="22" t="str">
        <f t="shared" si="38"/>
        <v>Low Value</v>
      </c>
      <c r="O475" s="22" t="str">
        <f t="shared" si="39"/>
        <v>Jul-2025</v>
      </c>
      <c r="P475" s="22" t="s">
        <v>1778</v>
      </c>
      <c r="Q475" s="22" t="s">
        <v>1531</v>
      </c>
      <c r="R475" s="22" t="s">
        <v>1194</v>
      </c>
      <c r="S475" s="22"/>
      <c r="T475" s="22"/>
      <c r="V475" s="26" t="s">
        <v>1936</v>
      </c>
      <c r="W475" s="6">
        <v>1</v>
      </c>
    </row>
    <row r="476" spans="1:23">
      <c r="A476" t="s">
        <v>2411</v>
      </c>
      <c r="B476" s="8">
        <v>45875</v>
      </c>
      <c r="C476" t="s">
        <v>652</v>
      </c>
      <c r="D476" t="s">
        <v>1728</v>
      </c>
      <c r="E476" t="s">
        <v>1911</v>
      </c>
      <c r="F476">
        <v>3</v>
      </c>
      <c r="G476" s="10">
        <v>666.39</v>
      </c>
      <c r="H476" s="13">
        <v>0.21</v>
      </c>
      <c r="I476" t="s">
        <v>1936</v>
      </c>
      <c r="J476" s="16">
        <v>1579.3443</v>
      </c>
      <c r="K476" s="19">
        <f t="shared" si="35"/>
        <v>1638405.5266000011</v>
      </c>
      <c r="L476" s="22">
        <f t="shared" si="36"/>
        <v>1073.6602402359117</v>
      </c>
      <c r="M476" s="22">
        <f t="shared" si="37"/>
        <v>529</v>
      </c>
      <c r="N476" s="22" t="str">
        <f t="shared" si="38"/>
        <v>High Value</v>
      </c>
      <c r="O476" s="22" t="str">
        <f t="shared" si="39"/>
        <v>Aug-2025</v>
      </c>
      <c r="P476" s="22" t="s">
        <v>1729</v>
      </c>
      <c r="Q476" s="22" t="s">
        <v>1536</v>
      </c>
      <c r="R476" s="22" t="s">
        <v>653</v>
      </c>
      <c r="S476" s="22"/>
      <c r="T476" s="22"/>
      <c r="V476" s="26" t="s">
        <v>1931</v>
      </c>
      <c r="W476" s="6">
        <v>3</v>
      </c>
    </row>
    <row r="477" spans="1:23">
      <c r="A477" t="s">
        <v>2412</v>
      </c>
      <c r="B477" s="8">
        <v>45797</v>
      </c>
      <c r="C477" t="s">
        <v>551</v>
      </c>
      <c r="D477" t="s">
        <v>1798</v>
      </c>
      <c r="E477" t="s">
        <v>1896</v>
      </c>
      <c r="F477">
        <v>2</v>
      </c>
      <c r="G477" s="10">
        <v>145.26</v>
      </c>
      <c r="H477" s="13">
        <v>0.19</v>
      </c>
      <c r="I477" t="s">
        <v>1933</v>
      </c>
      <c r="J477" s="16">
        <v>235.3212</v>
      </c>
      <c r="K477" s="19">
        <f t="shared" si="35"/>
        <v>1636826.1823000009</v>
      </c>
      <c r="L477" s="22">
        <f t="shared" si="36"/>
        <v>1073.3286441311482</v>
      </c>
      <c r="M477" s="22">
        <f t="shared" si="37"/>
        <v>529</v>
      </c>
      <c r="N477" s="22" t="str">
        <f t="shared" si="38"/>
        <v>Low Value</v>
      </c>
      <c r="O477" s="22" t="str">
        <f t="shared" si="39"/>
        <v>May-2025</v>
      </c>
      <c r="P477" s="22" t="s">
        <v>1799</v>
      </c>
      <c r="Q477" s="22" t="s">
        <v>1569</v>
      </c>
      <c r="R477" s="22" t="s">
        <v>552</v>
      </c>
      <c r="S477" s="22"/>
      <c r="T477" s="22"/>
      <c r="V477" s="26" t="s">
        <v>1933</v>
      </c>
      <c r="W477" s="6">
        <v>3</v>
      </c>
    </row>
    <row r="478" spans="1:23">
      <c r="A478" t="s">
        <v>2413</v>
      </c>
      <c r="B478" s="8">
        <v>45364</v>
      </c>
      <c r="C478" t="s">
        <v>406</v>
      </c>
      <c r="D478" t="s">
        <v>1828</v>
      </c>
      <c r="E478" t="s">
        <v>1880</v>
      </c>
      <c r="F478">
        <v>4</v>
      </c>
      <c r="G478" s="10">
        <v>940.77</v>
      </c>
      <c r="H478" s="13">
        <v>0.24</v>
      </c>
      <c r="I478" t="s">
        <v>1936</v>
      </c>
      <c r="J478" s="16">
        <v>2859.9407999999999</v>
      </c>
      <c r="K478" s="19">
        <f t="shared" si="35"/>
        <v>1636590.861100001</v>
      </c>
      <c r="L478" s="22">
        <f t="shared" si="36"/>
        <v>1073.8785177821528</v>
      </c>
      <c r="M478" s="22">
        <f t="shared" si="37"/>
        <v>528</v>
      </c>
      <c r="N478" s="22" t="str">
        <f t="shared" si="38"/>
        <v>High Value</v>
      </c>
      <c r="O478" s="22" t="str">
        <f t="shared" si="39"/>
        <v>Mar-2024</v>
      </c>
      <c r="P478" s="22" t="s">
        <v>1829</v>
      </c>
      <c r="Q478" s="22" t="s">
        <v>1536</v>
      </c>
      <c r="R478" s="22" t="s">
        <v>407</v>
      </c>
      <c r="S478" s="22"/>
      <c r="T478" s="22"/>
      <c r="V478" s="25" t="s">
        <v>222</v>
      </c>
      <c r="W478" s="6">
        <v>5</v>
      </c>
    </row>
    <row r="479" spans="1:23">
      <c r="A479" t="s">
        <v>2414</v>
      </c>
      <c r="B479" s="8">
        <v>45700</v>
      </c>
      <c r="C479" t="s">
        <v>1436</v>
      </c>
      <c r="D479" t="s">
        <v>1690</v>
      </c>
      <c r="E479" t="s">
        <v>1914</v>
      </c>
      <c r="F479">
        <v>1</v>
      </c>
      <c r="G479" s="10">
        <v>708.88</v>
      </c>
      <c r="H479" s="13">
        <v>0.09</v>
      </c>
      <c r="I479" t="s">
        <v>1931</v>
      </c>
      <c r="J479" s="16">
        <v>645.08080000000007</v>
      </c>
      <c r="K479" s="19">
        <f t="shared" si="35"/>
        <v>1633730.9203000013</v>
      </c>
      <c r="L479" s="22">
        <f t="shared" si="36"/>
        <v>1072.7057913985564</v>
      </c>
      <c r="M479" s="22">
        <f t="shared" si="37"/>
        <v>528</v>
      </c>
      <c r="N479" s="22" t="str">
        <f t="shared" si="38"/>
        <v>Low Value</v>
      </c>
      <c r="O479" s="22" t="str">
        <f t="shared" si="39"/>
        <v>Feb-2025</v>
      </c>
      <c r="P479" s="22" t="s">
        <v>1691</v>
      </c>
      <c r="Q479" s="22" t="s">
        <v>1536</v>
      </c>
      <c r="R479" s="22" t="s">
        <v>1437</v>
      </c>
      <c r="S479" s="22"/>
      <c r="T479" s="22"/>
      <c r="V479" s="26" t="s">
        <v>1933</v>
      </c>
      <c r="W479" s="6">
        <v>5</v>
      </c>
    </row>
    <row r="480" spans="1:23">
      <c r="A480" t="s">
        <v>2415</v>
      </c>
      <c r="B480" s="8">
        <v>45924</v>
      </c>
      <c r="C480" t="s">
        <v>966</v>
      </c>
      <c r="D480" t="s">
        <v>1639</v>
      </c>
      <c r="E480" t="s">
        <v>1868</v>
      </c>
      <c r="F480">
        <v>1</v>
      </c>
      <c r="G480" s="10">
        <v>790.73</v>
      </c>
      <c r="H480" s="13">
        <v>0.24</v>
      </c>
      <c r="I480" t="s">
        <v>1933</v>
      </c>
      <c r="J480" s="16">
        <v>600.95479999999998</v>
      </c>
      <c r="K480" s="19">
        <f t="shared" si="35"/>
        <v>1633085.8395000012</v>
      </c>
      <c r="L480" s="22">
        <f t="shared" si="36"/>
        <v>1072.9867539421821</v>
      </c>
      <c r="M480" s="22">
        <f t="shared" si="37"/>
        <v>528</v>
      </c>
      <c r="N480" s="22" t="str">
        <f t="shared" si="38"/>
        <v>Low Value</v>
      </c>
      <c r="O480" s="22" t="str">
        <f t="shared" si="39"/>
        <v>Sep-2025</v>
      </c>
      <c r="P480" s="22" t="s">
        <v>1640</v>
      </c>
      <c r="Q480" s="22" t="s">
        <v>1560</v>
      </c>
      <c r="R480" s="22" t="s">
        <v>967</v>
      </c>
      <c r="S480" s="22"/>
      <c r="T480" s="22"/>
      <c r="V480" s="25" t="s">
        <v>1041</v>
      </c>
      <c r="W480" s="6">
        <v>10</v>
      </c>
    </row>
    <row r="481" spans="1:23">
      <c r="A481" t="s">
        <v>2416</v>
      </c>
      <c r="B481" s="8">
        <v>45574</v>
      </c>
      <c r="C481" t="s">
        <v>1380</v>
      </c>
      <c r="D481" t="s">
        <v>1590</v>
      </c>
      <c r="E481" t="s">
        <v>1893</v>
      </c>
      <c r="F481">
        <v>3</v>
      </c>
      <c r="G481" s="10">
        <v>635.13</v>
      </c>
      <c r="H481" s="13">
        <v>0.09</v>
      </c>
      <c r="I481" t="s">
        <v>1933</v>
      </c>
      <c r="J481" s="16">
        <v>1733.9049</v>
      </c>
      <c r="K481" s="19">
        <f t="shared" si="35"/>
        <v>1632484.8847000012</v>
      </c>
      <c r="L481" s="22">
        <f t="shared" si="36"/>
        <v>1073.2970971071672</v>
      </c>
      <c r="M481" s="22">
        <f t="shared" si="37"/>
        <v>527</v>
      </c>
      <c r="N481" s="22" t="str">
        <f t="shared" si="38"/>
        <v>High Value</v>
      </c>
      <c r="O481" s="22" t="str">
        <f t="shared" si="39"/>
        <v>Oct-2024</v>
      </c>
      <c r="P481" s="22" t="s">
        <v>1591</v>
      </c>
      <c r="Q481" s="22" t="s">
        <v>1531</v>
      </c>
      <c r="R481" s="22" t="s">
        <v>1381</v>
      </c>
      <c r="S481" s="22"/>
      <c r="T481" s="22"/>
      <c r="V481" s="26" t="s">
        <v>1931</v>
      </c>
      <c r="W481" s="6">
        <v>7</v>
      </c>
    </row>
    <row r="482" spans="1:23">
      <c r="A482" t="s">
        <v>2417</v>
      </c>
      <c r="B482" s="8">
        <v>45233</v>
      </c>
      <c r="C482" t="s">
        <v>849</v>
      </c>
      <c r="D482" t="s">
        <v>1834</v>
      </c>
      <c r="E482" t="s">
        <v>1906</v>
      </c>
      <c r="F482">
        <v>1</v>
      </c>
      <c r="G482" s="10">
        <v>744.88</v>
      </c>
      <c r="H482" s="13">
        <v>0.15</v>
      </c>
      <c r="I482" t="s">
        <v>1936</v>
      </c>
      <c r="J482" s="16">
        <v>633.14800000000002</v>
      </c>
      <c r="K482" s="19">
        <f t="shared" si="35"/>
        <v>1630750.9798000013</v>
      </c>
      <c r="L482" s="22">
        <f t="shared" si="36"/>
        <v>1072.862486710527</v>
      </c>
      <c r="M482" s="22">
        <f t="shared" si="37"/>
        <v>526</v>
      </c>
      <c r="N482" s="22" t="str">
        <f t="shared" si="38"/>
        <v>Low Value</v>
      </c>
      <c r="O482" s="22" t="str">
        <f t="shared" si="39"/>
        <v>Nov-2023</v>
      </c>
      <c r="P482" s="22" t="s">
        <v>1835</v>
      </c>
      <c r="Q482" s="22" t="s">
        <v>1531</v>
      </c>
      <c r="R482" s="22" t="s">
        <v>850</v>
      </c>
      <c r="S482" s="22"/>
      <c r="T482" s="22"/>
      <c r="V482" s="26" t="s">
        <v>1933</v>
      </c>
      <c r="W482" s="6">
        <v>3</v>
      </c>
    </row>
    <row r="483" spans="1:23">
      <c r="A483" t="s">
        <v>2418</v>
      </c>
      <c r="B483" s="8">
        <v>45745</v>
      </c>
      <c r="C483" t="s">
        <v>602</v>
      </c>
      <c r="D483" t="s">
        <v>1633</v>
      </c>
      <c r="E483" t="s">
        <v>1864</v>
      </c>
      <c r="F483">
        <v>3</v>
      </c>
      <c r="G483" s="10">
        <v>205.34</v>
      </c>
      <c r="H483" s="13">
        <v>0.25</v>
      </c>
      <c r="I483" t="s">
        <v>1931</v>
      </c>
      <c r="J483" s="16">
        <v>462.01499999999999</v>
      </c>
      <c r="K483" s="19">
        <f t="shared" si="35"/>
        <v>1630117.8318000012</v>
      </c>
      <c r="L483" s="22">
        <f t="shared" si="36"/>
        <v>1073.1519630019757</v>
      </c>
      <c r="M483" s="22">
        <f t="shared" si="37"/>
        <v>526</v>
      </c>
      <c r="N483" s="22" t="str">
        <f t="shared" si="38"/>
        <v>Low Value</v>
      </c>
      <c r="O483" s="22" t="str">
        <f t="shared" si="39"/>
        <v>Mar-2025</v>
      </c>
      <c r="P483" s="22" t="s">
        <v>1634</v>
      </c>
      <c r="Q483" s="22" t="s">
        <v>1569</v>
      </c>
      <c r="R483" s="22" t="s">
        <v>603</v>
      </c>
      <c r="S483" s="22"/>
      <c r="T483" s="22"/>
      <c r="V483" s="25" t="s">
        <v>615</v>
      </c>
      <c r="W483" s="6">
        <v>14</v>
      </c>
    </row>
    <row r="484" spans="1:23">
      <c r="A484" t="s">
        <v>2419</v>
      </c>
      <c r="B484" s="8">
        <v>45851</v>
      </c>
      <c r="C484" t="s">
        <v>1294</v>
      </c>
      <c r="D484" t="s">
        <v>1636</v>
      </c>
      <c r="E484" t="s">
        <v>1889</v>
      </c>
      <c r="F484">
        <v>2</v>
      </c>
      <c r="G484" s="10">
        <v>756.8</v>
      </c>
      <c r="H484" s="13">
        <v>0.15</v>
      </c>
      <c r="I484" t="s">
        <v>1931</v>
      </c>
      <c r="J484" s="16">
        <v>1286.56</v>
      </c>
      <c r="K484" s="19">
        <f t="shared" si="35"/>
        <v>1629655.8168000013</v>
      </c>
      <c r="L484" s="22">
        <f t="shared" si="36"/>
        <v>1073.5545565217401</v>
      </c>
      <c r="M484" s="22">
        <f t="shared" si="37"/>
        <v>526</v>
      </c>
      <c r="N484" s="22" t="str">
        <f t="shared" si="38"/>
        <v>High Value</v>
      </c>
      <c r="O484" s="22" t="str">
        <f t="shared" si="39"/>
        <v>Jul-2025</v>
      </c>
      <c r="P484" s="22" t="s">
        <v>1637</v>
      </c>
      <c r="Q484" s="22" t="s">
        <v>1560</v>
      </c>
      <c r="R484" s="22" t="s">
        <v>1295</v>
      </c>
      <c r="S484" s="22"/>
      <c r="T484" s="22"/>
      <c r="V484" s="26" t="s">
        <v>1931</v>
      </c>
      <c r="W484" s="6">
        <v>5</v>
      </c>
    </row>
    <row r="485" spans="1:23">
      <c r="A485" t="s">
        <v>2420</v>
      </c>
      <c r="B485" s="8">
        <v>45308</v>
      </c>
      <c r="C485" t="s">
        <v>171</v>
      </c>
      <c r="D485" t="s">
        <v>1610</v>
      </c>
      <c r="E485" t="s">
        <v>1896</v>
      </c>
      <c r="F485">
        <v>1</v>
      </c>
      <c r="G485" s="10">
        <v>771.73</v>
      </c>
      <c r="H485" s="13">
        <v>0.2</v>
      </c>
      <c r="I485" t="s">
        <v>1931</v>
      </c>
      <c r="J485" s="16">
        <v>617.38400000000001</v>
      </c>
      <c r="K485" s="19">
        <f t="shared" si="35"/>
        <v>1628369.2568000013</v>
      </c>
      <c r="L485" s="22">
        <f t="shared" si="36"/>
        <v>1073.4141442320376</v>
      </c>
      <c r="M485" s="22">
        <f t="shared" si="37"/>
        <v>526</v>
      </c>
      <c r="N485" s="22" t="str">
        <f t="shared" si="38"/>
        <v>Low Value</v>
      </c>
      <c r="O485" s="22" t="str">
        <f t="shared" si="39"/>
        <v>Jan-2024</v>
      </c>
      <c r="P485" s="22" t="s">
        <v>1611</v>
      </c>
      <c r="Q485" s="22" t="s">
        <v>1560</v>
      </c>
      <c r="R485" s="22" t="s">
        <v>172</v>
      </c>
      <c r="S485" s="22"/>
      <c r="T485" s="22"/>
      <c r="V485" s="26" t="s">
        <v>1933</v>
      </c>
      <c r="W485" s="6">
        <v>9</v>
      </c>
    </row>
    <row r="486" spans="1:23">
      <c r="A486" t="s">
        <v>2421</v>
      </c>
      <c r="B486" s="8">
        <v>45639</v>
      </c>
      <c r="C486" t="s">
        <v>1464</v>
      </c>
      <c r="D486" t="s">
        <v>1752</v>
      </c>
      <c r="E486" t="s">
        <v>1914</v>
      </c>
      <c r="F486">
        <v>1</v>
      </c>
      <c r="G486" s="10">
        <v>440.19</v>
      </c>
      <c r="H486" s="13">
        <v>0.03</v>
      </c>
      <c r="I486" t="s">
        <v>1933</v>
      </c>
      <c r="J486" s="16">
        <v>426.98430000000002</v>
      </c>
      <c r="K486" s="19">
        <f t="shared" si="35"/>
        <v>1627751.8728000012</v>
      </c>
      <c r="L486" s="22">
        <f t="shared" si="36"/>
        <v>1073.7149556728241</v>
      </c>
      <c r="M486" s="22">
        <f t="shared" si="37"/>
        <v>526</v>
      </c>
      <c r="N486" s="22" t="str">
        <f t="shared" si="38"/>
        <v>Low Value</v>
      </c>
      <c r="O486" s="22" t="str">
        <f t="shared" si="39"/>
        <v>Dec-2024</v>
      </c>
      <c r="P486" s="22" t="s">
        <v>1753</v>
      </c>
      <c r="Q486" s="22" t="s">
        <v>1555</v>
      </c>
      <c r="R486" s="22" t="s">
        <v>1465</v>
      </c>
      <c r="S486" s="22"/>
      <c r="T486" s="22"/>
      <c r="V486" s="25" t="s">
        <v>3958</v>
      </c>
      <c r="W486" s="6">
        <v>17</v>
      </c>
    </row>
    <row r="487" spans="1:23">
      <c r="A487" t="s">
        <v>2422</v>
      </c>
      <c r="B487" s="8">
        <v>45919</v>
      </c>
      <c r="C487" t="s">
        <v>178</v>
      </c>
      <c r="D487" t="s">
        <v>1545</v>
      </c>
      <c r="E487" t="s">
        <v>1868</v>
      </c>
      <c r="F487">
        <v>2</v>
      </c>
      <c r="G487" s="10">
        <v>409</v>
      </c>
      <c r="H487" s="13">
        <v>0.17</v>
      </c>
      <c r="I487" t="s">
        <v>1931</v>
      </c>
      <c r="J487" s="16">
        <v>678.93999999999994</v>
      </c>
      <c r="K487" s="19">
        <f t="shared" si="35"/>
        <v>1627324.888500001</v>
      </c>
      <c r="L487" s="22">
        <f t="shared" si="36"/>
        <v>1074.1418405940601</v>
      </c>
      <c r="M487" s="22">
        <f t="shared" si="37"/>
        <v>525</v>
      </c>
      <c r="N487" s="22" t="str">
        <f t="shared" si="38"/>
        <v>Low Value</v>
      </c>
      <c r="O487" s="22" t="str">
        <f t="shared" si="39"/>
        <v>Sep-2025</v>
      </c>
      <c r="P487" s="22" t="s">
        <v>1546</v>
      </c>
      <c r="Q487" s="22" t="s">
        <v>1536</v>
      </c>
      <c r="R487" s="22" t="s">
        <v>179</v>
      </c>
      <c r="S487" s="22"/>
      <c r="T487" s="22"/>
      <c r="V487" s="26" t="s">
        <v>1936</v>
      </c>
      <c r="W487" s="6">
        <v>7</v>
      </c>
    </row>
    <row r="488" spans="1:23">
      <c r="A488" t="s">
        <v>2423</v>
      </c>
      <c r="B488" s="8">
        <v>45333</v>
      </c>
      <c r="C488" t="s">
        <v>1073</v>
      </c>
      <c r="D488" t="s">
        <v>1665</v>
      </c>
      <c r="E488" t="s">
        <v>1920</v>
      </c>
      <c r="F488">
        <v>3</v>
      </c>
      <c r="G488" s="10">
        <v>134.58000000000001</v>
      </c>
      <c r="H488" s="13">
        <v>0.04</v>
      </c>
      <c r="I488" t="s">
        <v>1936</v>
      </c>
      <c r="J488" s="16">
        <v>387.59039999999999</v>
      </c>
      <c r="K488" s="19">
        <f t="shared" si="35"/>
        <v>1626645.9485000011</v>
      </c>
      <c r="L488" s="22">
        <f t="shared" si="36"/>
        <v>1074.4028721928673</v>
      </c>
      <c r="M488" s="22">
        <f t="shared" si="37"/>
        <v>525</v>
      </c>
      <c r="N488" s="22" t="str">
        <f t="shared" si="38"/>
        <v>Low Value</v>
      </c>
      <c r="O488" s="22" t="str">
        <f t="shared" si="39"/>
        <v>Feb-2024</v>
      </c>
      <c r="P488" s="22" t="s">
        <v>1666</v>
      </c>
      <c r="Q488" s="22" t="s">
        <v>1569</v>
      </c>
      <c r="R488" s="22" t="s">
        <v>1074</v>
      </c>
      <c r="S488" s="22"/>
      <c r="T488" s="22"/>
      <c r="V488" s="26" t="s">
        <v>1931</v>
      </c>
      <c r="W488" s="6">
        <v>4</v>
      </c>
    </row>
    <row r="489" spans="1:23">
      <c r="A489" t="s">
        <v>2424</v>
      </c>
      <c r="B489" s="8">
        <v>45811</v>
      </c>
      <c r="C489" t="s">
        <v>1087</v>
      </c>
      <c r="D489" t="s">
        <v>1668</v>
      </c>
      <c r="E489" t="s">
        <v>1886</v>
      </c>
      <c r="F489">
        <v>4</v>
      </c>
      <c r="G489" s="10">
        <v>284.44</v>
      </c>
      <c r="H489" s="13">
        <v>0.02</v>
      </c>
      <c r="I489" t="s">
        <v>1931</v>
      </c>
      <c r="J489" s="16">
        <v>1115.0047999999999</v>
      </c>
      <c r="K489" s="19">
        <f t="shared" si="35"/>
        <v>1626258.358100001</v>
      </c>
      <c r="L489" s="22">
        <f t="shared" si="36"/>
        <v>1074.8568130204897</v>
      </c>
      <c r="M489" s="22">
        <f t="shared" si="37"/>
        <v>525</v>
      </c>
      <c r="N489" s="22" t="str">
        <f t="shared" si="38"/>
        <v>High Value</v>
      </c>
      <c r="O489" s="22" t="str">
        <f t="shared" si="39"/>
        <v>Jun-2025</v>
      </c>
      <c r="P489" s="22" t="s">
        <v>1669</v>
      </c>
      <c r="Q489" s="22" t="s">
        <v>1531</v>
      </c>
      <c r="R489" s="22" t="s">
        <v>1088</v>
      </c>
      <c r="S489" s="22"/>
      <c r="T489" s="22"/>
      <c r="V489" s="26" t="s">
        <v>1933</v>
      </c>
      <c r="W489" s="6">
        <v>6</v>
      </c>
    </row>
    <row r="490" spans="1:23">
      <c r="A490" t="s">
        <v>2425</v>
      </c>
      <c r="B490" s="8">
        <v>45726</v>
      </c>
      <c r="C490" t="s">
        <v>1253</v>
      </c>
      <c r="D490" t="s">
        <v>1774</v>
      </c>
      <c r="E490" t="s">
        <v>1904</v>
      </c>
      <c r="F490">
        <v>4</v>
      </c>
      <c r="G490" s="10">
        <v>922.69</v>
      </c>
      <c r="H490" s="13">
        <v>0.16</v>
      </c>
      <c r="I490" t="s">
        <v>1931</v>
      </c>
      <c r="J490" s="16">
        <v>3100.2384000000002</v>
      </c>
      <c r="K490" s="19">
        <f t="shared" si="35"/>
        <v>1625143.353300001</v>
      </c>
      <c r="L490" s="22">
        <f t="shared" si="36"/>
        <v>1074.8302601190483</v>
      </c>
      <c r="M490" s="22">
        <f t="shared" si="37"/>
        <v>525</v>
      </c>
      <c r="N490" s="22" t="str">
        <f t="shared" si="38"/>
        <v>High Value</v>
      </c>
      <c r="O490" s="22" t="str">
        <f t="shared" si="39"/>
        <v>Mar-2025</v>
      </c>
      <c r="P490" s="22" t="s">
        <v>1775</v>
      </c>
      <c r="Q490" s="22" t="s">
        <v>1569</v>
      </c>
      <c r="R490" s="22" t="s">
        <v>1254</v>
      </c>
      <c r="S490" s="22"/>
      <c r="T490" s="22"/>
      <c r="V490" s="25" t="s">
        <v>1465</v>
      </c>
      <c r="W490" s="6">
        <v>12</v>
      </c>
    </row>
    <row r="491" spans="1:23">
      <c r="A491" t="s">
        <v>2426</v>
      </c>
      <c r="B491" s="8">
        <v>45644</v>
      </c>
      <c r="C491" t="s">
        <v>874</v>
      </c>
      <c r="D491" t="s">
        <v>1658</v>
      </c>
      <c r="E491" t="s">
        <v>1883</v>
      </c>
      <c r="F491">
        <v>2</v>
      </c>
      <c r="G491" s="10">
        <v>992.55</v>
      </c>
      <c r="H491" s="13">
        <v>0.28000000000000003</v>
      </c>
      <c r="I491" t="s">
        <v>1931</v>
      </c>
      <c r="J491" s="16">
        <v>1429.2719999999999</v>
      </c>
      <c r="K491" s="19">
        <f t="shared" si="35"/>
        <v>1622043.1149000011</v>
      </c>
      <c r="L491" s="22">
        <f t="shared" si="36"/>
        <v>1073.489817935143</v>
      </c>
      <c r="M491" s="22">
        <f t="shared" si="37"/>
        <v>525</v>
      </c>
      <c r="N491" s="22" t="str">
        <f t="shared" si="38"/>
        <v>High Value</v>
      </c>
      <c r="O491" s="22" t="str">
        <f t="shared" si="39"/>
        <v>Dec-2024</v>
      </c>
      <c r="P491" s="22" t="s">
        <v>1659</v>
      </c>
      <c r="Q491" s="22" t="s">
        <v>1536</v>
      </c>
      <c r="R491" s="22" t="s">
        <v>875</v>
      </c>
      <c r="S491" s="22"/>
      <c r="T491" s="22"/>
      <c r="V491" s="26" t="s">
        <v>1933</v>
      </c>
      <c r="W491" s="6">
        <v>12</v>
      </c>
    </row>
    <row r="492" spans="1:23">
      <c r="A492" t="s">
        <v>2427</v>
      </c>
      <c r="B492" s="8">
        <v>45371</v>
      </c>
      <c r="C492" t="s">
        <v>1291</v>
      </c>
      <c r="D492" t="s">
        <v>1822</v>
      </c>
      <c r="E492" t="s">
        <v>1917</v>
      </c>
      <c r="F492">
        <v>1</v>
      </c>
      <c r="G492" s="10">
        <v>170.43</v>
      </c>
      <c r="H492" s="13">
        <v>0.03</v>
      </c>
      <c r="I492" t="s">
        <v>1931</v>
      </c>
      <c r="J492" s="16">
        <v>165.31710000000001</v>
      </c>
      <c r="K492" s="19">
        <f t="shared" si="35"/>
        <v>1620613.842900001</v>
      </c>
      <c r="L492" s="22">
        <f t="shared" si="36"/>
        <v>1073.2542005960272</v>
      </c>
      <c r="M492" s="22">
        <f t="shared" si="37"/>
        <v>525</v>
      </c>
      <c r="N492" s="22" t="str">
        <f t="shared" si="38"/>
        <v>Low Value</v>
      </c>
      <c r="O492" s="22" t="str">
        <f t="shared" si="39"/>
        <v>Mar-2024</v>
      </c>
      <c r="P492" s="22" t="s">
        <v>1823</v>
      </c>
      <c r="Q492" s="22" t="s">
        <v>1555</v>
      </c>
      <c r="R492" s="22" t="s">
        <v>1292</v>
      </c>
      <c r="S492" s="22"/>
      <c r="T492" s="22"/>
      <c r="V492" s="25" t="s">
        <v>407</v>
      </c>
      <c r="W492" s="6">
        <v>10</v>
      </c>
    </row>
    <row r="493" spans="1:23">
      <c r="A493" t="s">
        <v>2428</v>
      </c>
      <c r="B493" s="8">
        <v>45462</v>
      </c>
      <c r="C493" t="s">
        <v>722</v>
      </c>
      <c r="D493" t="s">
        <v>1771</v>
      </c>
      <c r="E493" t="s">
        <v>1868</v>
      </c>
      <c r="F493">
        <v>3</v>
      </c>
      <c r="G493" s="10">
        <v>480.51</v>
      </c>
      <c r="H493" s="13">
        <v>0.03</v>
      </c>
      <c r="I493" t="s">
        <v>1931</v>
      </c>
      <c r="J493" s="16">
        <v>1398.2841000000001</v>
      </c>
      <c r="K493" s="19">
        <f t="shared" si="35"/>
        <v>1620448.5258000009</v>
      </c>
      <c r="L493" s="22">
        <f t="shared" si="36"/>
        <v>1073.8558819085492</v>
      </c>
      <c r="M493" s="22">
        <f t="shared" si="37"/>
        <v>525</v>
      </c>
      <c r="N493" s="22" t="str">
        <f t="shared" si="38"/>
        <v>High Value</v>
      </c>
      <c r="O493" s="22" t="str">
        <f t="shared" si="39"/>
        <v>Jun-2024</v>
      </c>
      <c r="P493" s="22" t="s">
        <v>1772</v>
      </c>
      <c r="Q493" s="22" t="s">
        <v>1569</v>
      </c>
      <c r="R493" s="22" t="s">
        <v>723</v>
      </c>
      <c r="S493" s="22"/>
      <c r="T493" s="22"/>
      <c r="V493" s="26" t="s">
        <v>1936</v>
      </c>
      <c r="W493" s="6">
        <v>5</v>
      </c>
    </row>
    <row r="494" spans="1:23">
      <c r="A494" t="s">
        <v>2429</v>
      </c>
      <c r="B494" s="8">
        <v>45632</v>
      </c>
      <c r="C494" t="s">
        <v>521</v>
      </c>
      <c r="D494" t="s">
        <v>1700</v>
      </c>
      <c r="E494" t="s">
        <v>1886</v>
      </c>
      <c r="F494">
        <v>2</v>
      </c>
      <c r="G494" s="10">
        <v>955.66</v>
      </c>
      <c r="H494" s="13">
        <v>0.28999999999999998</v>
      </c>
      <c r="I494" t="s">
        <v>1936</v>
      </c>
      <c r="J494" s="16">
        <v>1357.0372</v>
      </c>
      <c r="K494" s="19">
        <f t="shared" si="35"/>
        <v>1619050.2417000008</v>
      </c>
      <c r="L494" s="22">
        <f t="shared" si="36"/>
        <v>1073.6407438328918</v>
      </c>
      <c r="M494" s="22">
        <f t="shared" si="37"/>
        <v>525</v>
      </c>
      <c r="N494" s="22" t="str">
        <f t="shared" si="38"/>
        <v>High Value</v>
      </c>
      <c r="O494" s="22" t="str">
        <f t="shared" si="39"/>
        <v>Dec-2024</v>
      </c>
      <c r="P494" s="22" t="s">
        <v>1701</v>
      </c>
      <c r="Q494" s="22" t="s">
        <v>1555</v>
      </c>
      <c r="R494" s="22" t="s">
        <v>522</v>
      </c>
      <c r="S494" s="22"/>
      <c r="T494" s="22"/>
      <c r="V494" s="26" t="s">
        <v>1931</v>
      </c>
      <c r="W494" s="6">
        <v>2</v>
      </c>
    </row>
    <row r="495" spans="1:23">
      <c r="A495" t="s">
        <v>2430</v>
      </c>
      <c r="B495" s="8">
        <v>45863</v>
      </c>
      <c r="C495" t="s">
        <v>1386</v>
      </c>
      <c r="D495" t="s">
        <v>1771</v>
      </c>
      <c r="E495" t="s">
        <v>1859</v>
      </c>
      <c r="F495">
        <v>2</v>
      </c>
      <c r="G495" s="10">
        <v>488.02</v>
      </c>
      <c r="H495" s="13">
        <v>0.27</v>
      </c>
      <c r="I495" t="s">
        <v>1933</v>
      </c>
      <c r="J495" s="16">
        <v>712.50919999999996</v>
      </c>
      <c r="K495" s="19">
        <f t="shared" si="35"/>
        <v>1617693.2045000007</v>
      </c>
      <c r="L495" s="22">
        <f t="shared" si="36"/>
        <v>1073.4526904445925</v>
      </c>
      <c r="M495" s="22">
        <f t="shared" si="37"/>
        <v>525</v>
      </c>
      <c r="N495" s="22" t="str">
        <f t="shared" si="38"/>
        <v>Low Value</v>
      </c>
      <c r="O495" s="22" t="str">
        <f t="shared" si="39"/>
        <v>Jul-2025</v>
      </c>
      <c r="P495" s="22" t="s">
        <v>1772</v>
      </c>
      <c r="Q495" s="22" t="s">
        <v>1569</v>
      </c>
      <c r="R495" s="22" t="s">
        <v>1387</v>
      </c>
      <c r="S495" s="22"/>
      <c r="T495" s="22"/>
      <c r="V495" s="26" t="s">
        <v>1933</v>
      </c>
      <c r="W495" s="6">
        <v>3</v>
      </c>
    </row>
    <row r="496" spans="1:23">
      <c r="A496" t="s">
        <v>2431</v>
      </c>
      <c r="B496" s="8">
        <v>45501</v>
      </c>
      <c r="C496" t="s">
        <v>771</v>
      </c>
      <c r="D496" t="s">
        <v>1600</v>
      </c>
      <c r="E496" t="s">
        <v>1859</v>
      </c>
      <c r="F496">
        <v>1</v>
      </c>
      <c r="G496" s="10">
        <v>917.17</v>
      </c>
      <c r="H496" s="13">
        <v>0.13</v>
      </c>
      <c r="I496" t="s">
        <v>1936</v>
      </c>
      <c r="J496" s="16">
        <v>797.93790000000001</v>
      </c>
      <c r="K496" s="19">
        <f t="shared" si="35"/>
        <v>1616980.695300001</v>
      </c>
      <c r="L496" s="22">
        <f t="shared" si="36"/>
        <v>1073.6923607569727</v>
      </c>
      <c r="M496" s="22">
        <f t="shared" si="37"/>
        <v>524</v>
      </c>
      <c r="N496" s="22" t="str">
        <f t="shared" si="38"/>
        <v>Low Value</v>
      </c>
      <c r="O496" s="22" t="str">
        <f t="shared" si="39"/>
        <v>Jul-2024</v>
      </c>
      <c r="P496" s="22" t="s">
        <v>1601</v>
      </c>
      <c r="Q496" s="22" t="s">
        <v>1536</v>
      </c>
      <c r="R496" s="22" t="s">
        <v>772</v>
      </c>
      <c r="S496" s="22"/>
      <c r="T496" s="22"/>
      <c r="V496" s="25" t="s">
        <v>3960</v>
      </c>
      <c r="W496" s="6">
        <v>19</v>
      </c>
    </row>
    <row r="497" spans="1:23">
      <c r="A497" t="s">
        <v>2432</v>
      </c>
      <c r="B497" s="8">
        <v>45568</v>
      </c>
      <c r="C497" t="s">
        <v>1017</v>
      </c>
      <c r="D497" t="s">
        <v>1563</v>
      </c>
      <c r="E497" t="s">
        <v>1880</v>
      </c>
      <c r="F497">
        <v>2</v>
      </c>
      <c r="G497" s="10">
        <v>406.46</v>
      </c>
      <c r="H497" s="13">
        <v>0.3</v>
      </c>
      <c r="I497" t="s">
        <v>1933</v>
      </c>
      <c r="J497" s="16">
        <v>569.04399999999998</v>
      </c>
      <c r="K497" s="19">
        <f t="shared" si="35"/>
        <v>1616182.7574000007</v>
      </c>
      <c r="L497" s="22">
        <f t="shared" si="36"/>
        <v>1073.8755863122929</v>
      </c>
      <c r="M497" s="22">
        <f t="shared" si="37"/>
        <v>524</v>
      </c>
      <c r="N497" s="22" t="str">
        <f t="shared" si="38"/>
        <v>Low Value</v>
      </c>
      <c r="O497" s="22" t="str">
        <f t="shared" si="39"/>
        <v>Oct-2024</v>
      </c>
      <c r="P497" s="22" t="s">
        <v>1564</v>
      </c>
      <c r="Q497" s="22" t="s">
        <v>1531</v>
      </c>
      <c r="R497" s="22" t="s">
        <v>3953</v>
      </c>
      <c r="S497" s="22"/>
      <c r="T497" s="22"/>
      <c r="V497" s="26" t="s">
        <v>1936</v>
      </c>
      <c r="W497" s="6">
        <v>12</v>
      </c>
    </row>
    <row r="498" spans="1:23">
      <c r="A498" t="s">
        <v>2433</v>
      </c>
      <c r="B498" s="8">
        <v>45238</v>
      </c>
      <c r="C498" t="s">
        <v>747</v>
      </c>
      <c r="D498" t="s">
        <v>1840</v>
      </c>
      <c r="E498" t="s">
        <v>1859</v>
      </c>
      <c r="F498">
        <v>2</v>
      </c>
      <c r="G498" s="10">
        <v>264.39</v>
      </c>
      <c r="H498" s="13">
        <v>0.11</v>
      </c>
      <c r="I498" t="s">
        <v>1936</v>
      </c>
      <c r="J498" s="16">
        <v>470.61419999999998</v>
      </c>
      <c r="K498" s="19">
        <f t="shared" si="35"/>
        <v>1615613.7134000009</v>
      </c>
      <c r="L498" s="22">
        <f t="shared" si="36"/>
        <v>1074.2112456117027</v>
      </c>
      <c r="M498" s="22">
        <f t="shared" si="37"/>
        <v>523</v>
      </c>
      <c r="N498" s="22" t="str">
        <f t="shared" si="38"/>
        <v>Low Value</v>
      </c>
      <c r="O498" s="22" t="str">
        <f t="shared" si="39"/>
        <v>Nov-2023</v>
      </c>
      <c r="P498" s="22" t="s">
        <v>1841</v>
      </c>
      <c r="Q498" s="22" t="s">
        <v>1569</v>
      </c>
      <c r="R498" s="22" t="s">
        <v>748</v>
      </c>
      <c r="S498" s="22"/>
      <c r="T498" s="22"/>
      <c r="V498" s="26" t="s">
        <v>1931</v>
      </c>
      <c r="W498" s="6">
        <v>5</v>
      </c>
    </row>
    <row r="499" spans="1:23">
      <c r="A499" t="s">
        <v>2434</v>
      </c>
      <c r="B499" s="8">
        <v>45754</v>
      </c>
      <c r="C499" t="s">
        <v>626</v>
      </c>
      <c r="D499" t="s">
        <v>1758</v>
      </c>
      <c r="E499" t="s">
        <v>1911</v>
      </c>
      <c r="F499">
        <v>1</v>
      </c>
      <c r="G499" s="10">
        <v>414.97</v>
      </c>
      <c r="H499" s="13">
        <v>0.22</v>
      </c>
      <c r="I499" t="s">
        <v>1933</v>
      </c>
      <c r="J499" s="16">
        <v>323.67660000000001</v>
      </c>
      <c r="K499" s="19">
        <f t="shared" si="35"/>
        <v>1615143.099200001</v>
      </c>
      <c r="L499" s="22">
        <f t="shared" si="36"/>
        <v>1074.6128404524291</v>
      </c>
      <c r="M499" s="22">
        <f t="shared" si="37"/>
        <v>523</v>
      </c>
      <c r="N499" s="22" t="str">
        <f t="shared" si="38"/>
        <v>Low Value</v>
      </c>
      <c r="O499" s="22" t="str">
        <f t="shared" si="39"/>
        <v>Apr-2025</v>
      </c>
      <c r="P499" s="22" t="s">
        <v>1759</v>
      </c>
      <c r="Q499" s="22" t="s">
        <v>1560</v>
      </c>
      <c r="R499" s="22" t="s">
        <v>627</v>
      </c>
      <c r="S499" s="22"/>
      <c r="T499" s="22"/>
      <c r="V499" s="26" t="s">
        <v>1933</v>
      </c>
      <c r="W499" s="6">
        <v>2</v>
      </c>
    </row>
    <row r="500" spans="1:23">
      <c r="A500" t="s">
        <v>2435</v>
      </c>
      <c r="B500" s="8">
        <v>45280</v>
      </c>
      <c r="C500" t="s">
        <v>491</v>
      </c>
      <c r="D500" t="s">
        <v>1624</v>
      </c>
      <c r="E500" t="s">
        <v>1901</v>
      </c>
      <c r="F500">
        <v>2</v>
      </c>
      <c r="G500" s="10">
        <v>583.51</v>
      </c>
      <c r="H500" s="13">
        <v>0.2</v>
      </c>
      <c r="I500" t="s">
        <v>1936</v>
      </c>
      <c r="J500" s="16">
        <v>933.61599999999999</v>
      </c>
      <c r="K500" s="19">
        <f t="shared" si="35"/>
        <v>1614819.4226000009</v>
      </c>
      <c r="L500" s="22">
        <f t="shared" si="36"/>
        <v>1075.1127980026638</v>
      </c>
      <c r="M500" s="22">
        <f t="shared" si="37"/>
        <v>522</v>
      </c>
      <c r="N500" s="22" t="str">
        <f t="shared" si="38"/>
        <v>Low Value</v>
      </c>
      <c r="O500" s="22" t="str">
        <f t="shared" si="39"/>
        <v>Dec-2023</v>
      </c>
      <c r="P500" s="22" t="s">
        <v>1625</v>
      </c>
      <c r="Q500" s="22" t="s">
        <v>1536</v>
      </c>
      <c r="R500" s="22" t="s">
        <v>492</v>
      </c>
      <c r="S500" s="22"/>
      <c r="T500" s="22"/>
      <c r="V500" s="25" t="s">
        <v>953</v>
      </c>
      <c r="W500" s="6">
        <v>3</v>
      </c>
    </row>
    <row r="501" spans="1:23">
      <c r="A501" t="s">
        <v>2436</v>
      </c>
      <c r="B501" s="8">
        <v>45911</v>
      </c>
      <c r="C501" t="s">
        <v>55</v>
      </c>
      <c r="D501" t="s">
        <v>1642</v>
      </c>
      <c r="E501" t="s">
        <v>1914</v>
      </c>
      <c r="F501">
        <v>1</v>
      </c>
      <c r="G501" s="10">
        <v>659.27</v>
      </c>
      <c r="H501" s="13">
        <v>0.15</v>
      </c>
      <c r="I501" t="s">
        <v>1933</v>
      </c>
      <c r="J501" s="16">
        <v>560.37950000000001</v>
      </c>
      <c r="K501" s="19">
        <f t="shared" si="35"/>
        <v>1613885.8066000009</v>
      </c>
      <c r="L501" s="22">
        <f t="shared" si="36"/>
        <v>1075.2070663557633</v>
      </c>
      <c r="M501" s="22">
        <f t="shared" si="37"/>
        <v>522</v>
      </c>
      <c r="N501" s="22" t="str">
        <f t="shared" si="38"/>
        <v>Low Value</v>
      </c>
      <c r="O501" s="22" t="str">
        <f t="shared" si="39"/>
        <v>Sep-2025</v>
      </c>
      <c r="P501" s="22" t="s">
        <v>1643</v>
      </c>
      <c r="Q501" s="22" t="s">
        <v>1569</v>
      </c>
      <c r="R501" s="22" t="s">
        <v>56</v>
      </c>
      <c r="S501" s="22"/>
      <c r="T501" s="22"/>
      <c r="V501" s="26" t="s">
        <v>1933</v>
      </c>
      <c r="W501" s="6">
        <v>3</v>
      </c>
    </row>
    <row r="502" spans="1:23">
      <c r="A502" t="s">
        <v>2437</v>
      </c>
      <c r="B502" s="8">
        <v>45627</v>
      </c>
      <c r="C502" t="s">
        <v>1368</v>
      </c>
      <c r="D502" t="s">
        <v>1539</v>
      </c>
      <c r="E502" t="s">
        <v>1876</v>
      </c>
      <c r="F502">
        <v>4</v>
      </c>
      <c r="G502" s="10">
        <v>106.66</v>
      </c>
      <c r="H502" s="13">
        <v>0.2</v>
      </c>
      <c r="I502" t="s">
        <v>1936</v>
      </c>
      <c r="J502" s="16">
        <v>341.31200000000001</v>
      </c>
      <c r="K502" s="19">
        <f t="shared" si="35"/>
        <v>1613325.4271000009</v>
      </c>
      <c r="L502" s="22">
        <f t="shared" si="36"/>
        <v>1075.5502847333339</v>
      </c>
      <c r="M502" s="22">
        <f t="shared" si="37"/>
        <v>521</v>
      </c>
      <c r="N502" s="22" t="str">
        <f t="shared" si="38"/>
        <v>Low Value</v>
      </c>
      <c r="O502" s="22" t="str">
        <f t="shared" si="39"/>
        <v>Dec-2024</v>
      </c>
      <c r="P502" s="22" t="s">
        <v>1540</v>
      </c>
      <c r="Q502" s="22" t="s">
        <v>1536</v>
      </c>
      <c r="R502" s="22" t="s">
        <v>1369</v>
      </c>
      <c r="S502" s="22"/>
      <c r="T502" s="22"/>
      <c r="V502" s="25" t="s">
        <v>392</v>
      </c>
      <c r="W502" s="6">
        <v>13</v>
      </c>
    </row>
    <row r="503" spans="1:23">
      <c r="A503" t="s">
        <v>2438</v>
      </c>
      <c r="B503" s="8">
        <v>45617</v>
      </c>
      <c r="C503" t="s">
        <v>542</v>
      </c>
      <c r="D503" t="s">
        <v>1572</v>
      </c>
      <c r="E503" t="s">
        <v>1880</v>
      </c>
      <c r="F503">
        <v>4</v>
      </c>
      <c r="G503" s="10">
        <v>168.55</v>
      </c>
      <c r="H503" s="13">
        <v>0.15</v>
      </c>
      <c r="I503" t="s">
        <v>1933</v>
      </c>
      <c r="J503" s="16">
        <v>573.07000000000005</v>
      </c>
      <c r="K503" s="19">
        <f t="shared" si="35"/>
        <v>1612984.1151000008</v>
      </c>
      <c r="L503" s="22">
        <f t="shared" si="36"/>
        <v>1076.0401034689799</v>
      </c>
      <c r="M503" s="22">
        <f t="shared" si="37"/>
        <v>521</v>
      </c>
      <c r="N503" s="22" t="str">
        <f t="shared" si="38"/>
        <v>Low Value</v>
      </c>
      <c r="O503" s="22" t="str">
        <f t="shared" si="39"/>
        <v>Nov-2024</v>
      </c>
      <c r="P503" s="22" t="s">
        <v>1573</v>
      </c>
      <c r="Q503" s="22" t="s">
        <v>1560</v>
      </c>
      <c r="R503" s="22" t="s">
        <v>543</v>
      </c>
      <c r="S503" s="22"/>
      <c r="T503" s="22"/>
      <c r="V503" s="26" t="s">
        <v>1936</v>
      </c>
      <c r="W503" s="6">
        <v>5</v>
      </c>
    </row>
    <row r="504" spans="1:23">
      <c r="A504" t="s">
        <v>2439</v>
      </c>
      <c r="B504" s="8">
        <v>45899</v>
      </c>
      <c r="C504" t="s">
        <v>1489</v>
      </c>
      <c r="D504" t="s">
        <v>1684</v>
      </c>
      <c r="E504" t="s">
        <v>1868</v>
      </c>
      <c r="F504">
        <v>1</v>
      </c>
      <c r="G504" s="10">
        <v>230.53</v>
      </c>
      <c r="H504" s="13">
        <v>0.06</v>
      </c>
      <c r="I504" t="s">
        <v>1936</v>
      </c>
      <c r="J504" s="16">
        <v>216.69820000000001</v>
      </c>
      <c r="K504" s="19">
        <f t="shared" si="35"/>
        <v>1612411.0451000007</v>
      </c>
      <c r="L504" s="22">
        <f t="shared" si="36"/>
        <v>1076.3758645527375</v>
      </c>
      <c r="M504" s="22">
        <f t="shared" si="37"/>
        <v>520</v>
      </c>
      <c r="N504" s="22" t="str">
        <f t="shared" si="38"/>
        <v>Low Value</v>
      </c>
      <c r="O504" s="22" t="str">
        <f t="shared" si="39"/>
        <v>Aug-2025</v>
      </c>
      <c r="P504" s="22" t="s">
        <v>1685</v>
      </c>
      <c r="Q504" s="22" t="s">
        <v>1569</v>
      </c>
      <c r="R504" s="22" t="s">
        <v>1490</v>
      </c>
      <c r="S504" s="22"/>
      <c r="T504" s="22"/>
      <c r="V504" s="26" t="s">
        <v>1931</v>
      </c>
      <c r="W504" s="6">
        <v>8</v>
      </c>
    </row>
    <row r="505" spans="1:23">
      <c r="A505" t="s">
        <v>2440</v>
      </c>
      <c r="B505" s="8">
        <v>45889</v>
      </c>
      <c r="C505" t="s">
        <v>39</v>
      </c>
      <c r="D505" t="s">
        <v>1716</v>
      </c>
      <c r="E505" t="s">
        <v>1864</v>
      </c>
      <c r="F505">
        <v>2</v>
      </c>
      <c r="G505" s="10">
        <v>355.41</v>
      </c>
      <c r="H505" s="13">
        <v>0.13</v>
      </c>
      <c r="I505" t="s">
        <v>1936</v>
      </c>
      <c r="J505" s="16">
        <v>618.41340000000002</v>
      </c>
      <c r="K505" s="19">
        <f t="shared" si="35"/>
        <v>1612194.3469000007</v>
      </c>
      <c r="L505" s="22">
        <f t="shared" si="36"/>
        <v>1076.9501315297266</v>
      </c>
      <c r="M505" s="22">
        <f t="shared" si="37"/>
        <v>520</v>
      </c>
      <c r="N505" s="22" t="str">
        <f t="shared" si="38"/>
        <v>Low Value</v>
      </c>
      <c r="O505" s="22" t="str">
        <f t="shared" si="39"/>
        <v>Aug-2025</v>
      </c>
      <c r="P505" s="22" t="s">
        <v>1717</v>
      </c>
      <c r="Q505" s="22" t="s">
        <v>1569</v>
      </c>
      <c r="R505" s="22" t="s">
        <v>40</v>
      </c>
      <c r="S505" s="22"/>
      <c r="T505" s="22"/>
      <c r="V505" s="25" t="s">
        <v>492</v>
      </c>
      <c r="W505" s="6">
        <v>5</v>
      </c>
    </row>
    <row r="506" spans="1:23">
      <c r="A506" t="s">
        <v>2441</v>
      </c>
      <c r="B506" s="8">
        <v>45943</v>
      </c>
      <c r="C506" t="s">
        <v>554</v>
      </c>
      <c r="D506" t="s">
        <v>1693</v>
      </c>
      <c r="E506" t="s">
        <v>1868</v>
      </c>
      <c r="F506">
        <v>3</v>
      </c>
      <c r="G506" s="10">
        <v>843.44</v>
      </c>
      <c r="H506" s="13">
        <v>0.22</v>
      </c>
      <c r="I506" t="s">
        <v>1931</v>
      </c>
      <c r="J506" s="16">
        <v>1973.6496</v>
      </c>
      <c r="K506" s="19">
        <f t="shared" si="35"/>
        <v>1611575.9335000005</v>
      </c>
      <c r="L506" s="22">
        <f t="shared" si="36"/>
        <v>1077.2566400401072</v>
      </c>
      <c r="M506" s="22">
        <f t="shared" si="37"/>
        <v>520</v>
      </c>
      <c r="N506" s="22" t="str">
        <f t="shared" si="38"/>
        <v>High Value</v>
      </c>
      <c r="O506" s="22" t="str">
        <f t="shared" si="39"/>
        <v>Oct-2025</v>
      </c>
      <c r="P506" s="22" t="s">
        <v>1694</v>
      </c>
      <c r="Q506" s="22" t="s">
        <v>1555</v>
      </c>
      <c r="R506" s="22" t="s">
        <v>555</v>
      </c>
      <c r="S506" s="22"/>
      <c r="T506" s="22"/>
      <c r="V506" s="26" t="s">
        <v>1936</v>
      </c>
      <c r="W506" s="6">
        <v>5</v>
      </c>
    </row>
    <row r="507" spans="1:23">
      <c r="A507" t="s">
        <v>2442</v>
      </c>
      <c r="B507" s="8">
        <v>45306</v>
      </c>
      <c r="C507" t="s">
        <v>542</v>
      </c>
      <c r="D507" t="s">
        <v>1840</v>
      </c>
      <c r="E507" t="s">
        <v>1864</v>
      </c>
      <c r="F507">
        <v>1</v>
      </c>
      <c r="G507" s="10">
        <v>301.60000000000002</v>
      </c>
      <c r="H507" s="13">
        <v>0.27</v>
      </c>
      <c r="I507" t="s">
        <v>1931</v>
      </c>
      <c r="J507" s="16">
        <v>220.16800000000001</v>
      </c>
      <c r="K507" s="19">
        <f t="shared" si="35"/>
        <v>1609602.2839000006</v>
      </c>
      <c r="L507" s="22">
        <f t="shared" si="36"/>
        <v>1076.6570460869568</v>
      </c>
      <c r="M507" s="22">
        <f t="shared" si="37"/>
        <v>520</v>
      </c>
      <c r="N507" s="22" t="str">
        <f t="shared" si="38"/>
        <v>Low Value</v>
      </c>
      <c r="O507" s="22" t="str">
        <f t="shared" si="39"/>
        <v>Jan-2024</v>
      </c>
      <c r="P507" s="22" t="s">
        <v>1841</v>
      </c>
      <c r="Q507" s="22" t="s">
        <v>1569</v>
      </c>
      <c r="R507" s="22" t="s">
        <v>543</v>
      </c>
      <c r="S507" s="22"/>
      <c r="T507" s="22"/>
      <c r="V507" s="25" t="s">
        <v>1308</v>
      </c>
      <c r="W507" s="6">
        <v>6</v>
      </c>
    </row>
    <row r="508" spans="1:23">
      <c r="A508" t="s">
        <v>2443</v>
      </c>
      <c r="B508" s="8">
        <v>45772</v>
      </c>
      <c r="C508" t="s">
        <v>163</v>
      </c>
      <c r="D508" t="s">
        <v>1822</v>
      </c>
      <c r="E508" t="s">
        <v>1868</v>
      </c>
      <c r="F508">
        <v>3</v>
      </c>
      <c r="G508" s="10">
        <v>21.59</v>
      </c>
      <c r="H508" s="13">
        <v>0.16</v>
      </c>
      <c r="I508" t="s">
        <v>1936</v>
      </c>
      <c r="J508" s="16">
        <v>54.406799999999997</v>
      </c>
      <c r="K508" s="19">
        <f t="shared" si="35"/>
        <v>1609382.1159000008</v>
      </c>
      <c r="L508" s="22">
        <f t="shared" si="36"/>
        <v>1077.2303319277114</v>
      </c>
      <c r="M508" s="22">
        <f t="shared" si="37"/>
        <v>520</v>
      </c>
      <c r="N508" s="22" t="str">
        <f t="shared" si="38"/>
        <v>Low Value</v>
      </c>
      <c r="O508" s="22" t="str">
        <f t="shared" si="39"/>
        <v>Apr-2025</v>
      </c>
      <c r="P508" s="22" t="s">
        <v>1823</v>
      </c>
      <c r="Q508" s="22" t="s">
        <v>1555</v>
      </c>
      <c r="R508" s="22" t="s">
        <v>164</v>
      </c>
      <c r="S508" s="22"/>
      <c r="T508" s="22"/>
      <c r="V508" s="26" t="s">
        <v>1936</v>
      </c>
      <c r="W508" s="6">
        <v>6</v>
      </c>
    </row>
    <row r="509" spans="1:23">
      <c r="A509" t="s">
        <v>2444</v>
      </c>
      <c r="B509" s="8">
        <v>45346</v>
      </c>
      <c r="C509" t="s">
        <v>688</v>
      </c>
      <c r="D509" t="s">
        <v>1583</v>
      </c>
      <c r="E509" t="s">
        <v>1868</v>
      </c>
      <c r="F509">
        <v>4</v>
      </c>
      <c r="G509" s="10">
        <v>284.24</v>
      </c>
      <c r="H509" s="13">
        <v>0.09</v>
      </c>
      <c r="I509" t="s">
        <v>1931</v>
      </c>
      <c r="J509" s="16">
        <v>1034.6335999999999</v>
      </c>
      <c r="K509" s="19">
        <f t="shared" si="35"/>
        <v>1609327.7091000008</v>
      </c>
      <c r="L509" s="22">
        <f t="shared" si="36"/>
        <v>1077.9154113194916</v>
      </c>
      <c r="M509" s="22">
        <f t="shared" si="37"/>
        <v>520</v>
      </c>
      <c r="N509" s="22" t="str">
        <f t="shared" si="38"/>
        <v>High Value</v>
      </c>
      <c r="O509" s="22" t="str">
        <f t="shared" si="39"/>
        <v>Feb-2024</v>
      </c>
      <c r="P509" s="22" t="s">
        <v>1584</v>
      </c>
      <c r="Q509" s="22" t="s">
        <v>1531</v>
      </c>
      <c r="R509" s="22" t="s">
        <v>689</v>
      </c>
      <c r="S509" s="22"/>
      <c r="T509" s="22"/>
      <c r="V509" s="25" t="s">
        <v>1457</v>
      </c>
      <c r="W509" s="6">
        <v>18</v>
      </c>
    </row>
    <row r="510" spans="1:23">
      <c r="A510" t="s">
        <v>2445</v>
      </c>
      <c r="B510" s="8">
        <v>45656</v>
      </c>
      <c r="C510" t="s">
        <v>1145</v>
      </c>
      <c r="D510" t="s">
        <v>1549</v>
      </c>
      <c r="E510" t="s">
        <v>1893</v>
      </c>
      <c r="F510">
        <v>1</v>
      </c>
      <c r="G510" s="10">
        <v>191.6</v>
      </c>
      <c r="H510" s="13">
        <v>0.27</v>
      </c>
      <c r="I510" t="s">
        <v>1933</v>
      </c>
      <c r="J510" s="16">
        <v>139.86799999999999</v>
      </c>
      <c r="K510" s="19">
        <f t="shared" si="35"/>
        <v>1608293.0755000007</v>
      </c>
      <c r="L510" s="22">
        <f t="shared" si="36"/>
        <v>1077.944420576408</v>
      </c>
      <c r="M510" s="22">
        <f t="shared" si="37"/>
        <v>520</v>
      </c>
      <c r="N510" s="22" t="str">
        <f t="shared" si="38"/>
        <v>Low Value</v>
      </c>
      <c r="O510" s="22" t="str">
        <f t="shared" si="39"/>
        <v>Dec-2024</v>
      </c>
      <c r="P510" s="22" t="s">
        <v>1550</v>
      </c>
      <c r="Q510" s="22" t="s">
        <v>1536</v>
      </c>
      <c r="R510" s="22" t="s">
        <v>1146</v>
      </c>
      <c r="S510" s="22"/>
      <c r="T510" s="22"/>
      <c r="V510" s="26" t="s">
        <v>1936</v>
      </c>
      <c r="W510" s="6">
        <v>8</v>
      </c>
    </row>
    <row r="511" spans="1:23">
      <c r="A511" t="s">
        <v>2446</v>
      </c>
      <c r="B511" s="8">
        <v>45762</v>
      </c>
      <c r="C511" t="s">
        <v>978</v>
      </c>
      <c r="D511" t="s">
        <v>1789</v>
      </c>
      <c r="E511" t="s">
        <v>1901</v>
      </c>
      <c r="F511">
        <v>2</v>
      </c>
      <c r="G511" s="10">
        <v>616.97</v>
      </c>
      <c r="H511" s="13">
        <v>0.22</v>
      </c>
      <c r="I511" t="s">
        <v>1931</v>
      </c>
      <c r="J511" s="16">
        <v>962.47320000000002</v>
      </c>
      <c r="K511" s="19">
        <f t="shared" si="35"/>
        <v>1608153.2075000007</v>
      </c>
      <c r="L511" s="22">
        <f t="shared" si="36"/>
        <v>1078.5735798122071</v>
      </c>
      <c r="M511" s="22">
        <f t="shared" si="37"/>
        <v>519</v>
      </c>
      <c r="N511" s="22" t="str">
        <f t="shared" si="38"/>
        <v>Low Value</v>
      </c>
      <c r="O511" s="22" t="str">
        <f t="shared" si="39"/>
        <v>Apr-2025</v>
      </c>
      <c r="P511" s="22" t="s">
        <v>1790</v>
      </c>
      <c r="Q511" s="22" t="s">
        <v>1560</v>
      </c>
      <c r="R511" s="22" t="s">
        <v>979</v>
      </c>
      <c r="S511" s="22"/>
      <c r="T511" s="22"/>
      <c r="V511" s="26" t="s">
        <v>1931</v>
      </c>
      <c r="W511" s="6">
        <v>4</v>
      </c>
    </row>
    <row r="512" spans="1:23">
      <c r="A512" t="s">
        <v>2447</v>
      </c>
      <c r="B512" s="8">
        <v>45580</v>
      </c>
      <c r="C512" t="s">
        <v>557</v>
      </c>
      <c r="D512" t="s">
        <v>1633</v>
      </c>
      <c r="E512" t="s">
        <v>1896</v>
      </c>
      <c r="F512">
        <v>3</v>
      </c>
      <c r="G512" s="10">
        <v>125.68</v>
      </c>
      <c r="H512" s="13">
        <v>0.26</v>
      </c>
      <c r="I512" t="s">
        <v>1936</v>
      </c>
      <c r="J512" s="16">
        <v>279.00959999999998</v>
      </c>
      <c r="K512" s="19">
        <f t="shared" si="35"/>
        <v>1607190.7343000008</v>
      </c>
      <c r="L512" s="22">
        <f t="shared" si="36"/>
        <v>1078.6514995302018</v>
      </c>
      <c r="M512" s="22">
        <f t="shared" si="37"/>
        <v>519</v>
      </c>
      <c r="N512" s="22" t="str">
        <f t="shared" si="38"/>
        <v>Low Value</v>
      </c>
      <c r="O512" s="22" t="str">
        <f t="shared" si="39"/>
        <v>Oct-2024</v>
      </c>
      <c r="P512" s="22" t="s">
        <v>1634</v>
      </c>
      <c r="Q512" s="22" t="s">
        <v>1569</v>
      </c>
      <c r="R512" s="22" t="s">
        <v>558</v>
      </c>
      <c r="S512" s="22"/>
      <c r="T512" s="22"/>
      <c r="V512" s="26" t="s">
        <v>1933</v>
      </c>
      <c r="W512" s="6">
        <v>6</v>
      </c>
    </row>
    <row r="513" spans="1:23">
      <c r="A513" t="s">
        <v>2448</v>
      </c>
      <c r="B513" s="8">
        <v>45676</v>
      </c>
      <c r="C513" t="s">
        <v>1099</v>
      </c>
      <c r="D513" t="s">
        <v>1681</v>
      </c>
      <c r="E513" t="s">
        <v>1876</v>
      </c>
      <c r="F513">
        <v>3</v>
      </c>
      <c r="G513" s="10">
        <v>307.48</v>
      </c>
      <c r="H513" s="13">
        <v>0.24</v>
      </c>
      <c r="I513" t="s">
        <v>1931</v>
      </c>
      <c r="J513" s="16">
        <v>701.0544000000001</v>
      </c>
      <c r="K513" s="19">
        <f t="shared" si="35"/>
        <v>1606911.7247000011</v>
      </c>
      <c r="L513" s="22">
        <f t="shared" si="36"/>
        <v>1079.1885323707193</v>
      </c>
      <c r="M513" s="22">
        <f t="shared" si="37"/>
        <v>519</v>
      </c>
      <c r="N513" s="22" t="str">
        <f t="shared" si="38"/>
        <v>Low Value</v>
      </c>
      <c r="O513" s="22" t="str">
        <f t="shared" si="39"/>
        <v>Jan-2025</v>
      </c>
      <c r="P513" s="22" t="s">
        <v>1682</v>
      </c>
      <c r="Q513" s="22" t="s">
        <v>1531</v>
      </c>
      <c r="R513" s="22" t="s">
        <v>1100</v>
      </c>
      <c r="S513" s="22"/>
      <c r="T513" s="22"/>
      <c r="V513" s="25" t="s">
        <v>988</v>
      </c>
      <c r="W513" s="6">
        <v>13</v>
      </c>
    </row>
    <row r="514" spans="1:23">
      <c r="A514" t="s">
        <v>2449</v>
      </c>
      <c r="B514" s="8">
        <v>45495</v>
      </c>
      <c r="C514" t="s">
        <v>940</v>
      </c>
      <c r="D514" t="s">
        <v>1539</v>
      </c>
      <c r="E514" t="s">
        <v>1920</v>
      </c>
      <c r="F514">
        <v>1</v>
      </c>
      <c r="G514" s="10">
        <v>505.23</v>
      </c>
      <c r="H514" s="13">
        <v>0.11</v>
      </c>
      <c r="I514" t="s">
        <v>1931</v>
      </c>
      <c r="J514" s="16">
        <v>449.65469999999999</v>
      </c>
      <c r="K514" s="19">
        <f t="shared" ref="K514:K577" si="40">SUM(J514:J2513)</f>
        <v>1606210.6703000008</v>
      </c>
      <c r="L514" s="22">
        <f t="shared" ref="L514:L577" si="41">AVERAGE(J514:J2513)</f>
        <v>1079.4426547715059</v>
      </c>
      <c r="M514" s="22">
        <f t="shared" ref="M514:M577" si="42">COUNTIF(I514:I2513,"PayPal")</f>
        <v>519</v>
      </c>
      <c r="N514" s="22" t="str">
        <f t="shared" ref="N514:N577" si="43">IF(J514&gt;=1000,"High Value","Low Value")</f>
        <v>Low Value</v>
      </c>
      <c r="O514" s="22" t="str">
        <f t="shared" ref="O514:O577" si="44">TEXT(B514,"mmm-yyyy")</f>
        <v>Jul-2024</v>
      </c>
      <c r="P514" s="22" t="s">
        <v>1540</v>
      </c>
      <c r="Q514" s="22" t="s">
        <v>1536</v>
      </c>
      <c r="R514" s="22" t="s">
        <v>941</v>
      </c>
      <c r="S514" s="22"/>
      <c r="T514" s="22"/>
      <c r="V514" s="26" t="s">
        <v>1936</v>
      </c>
      <c r="W514" s="6">
        <v>4</v>
      </c>
    </row>
    <row r="515" spans="1:23">
      <c r="A515" t="s">
        <v>2450</v>
      </c>
      <c r="B515" s="8">
        <v>45735</v>
      </c>
      <c r="C515" t="s">
        <v>1136</v>
      </c>
      <c r="D515" t="s">
        <v>1687</v>
      </c>
      <c r="E515" t="s">
        <v>1911</v>
      </c>
      <c r="F515">
        <v>1</v>
      </c>
      <c r="G515" s="10">
        <v>853.12</v>
      </c>
      <c r="H515" s="13">
        <v>0.19</v>
      </c>
      <c r="I515" t="s">
        <v>1936</v>
      </c>
      <c r="J515" s="16">
        <v>691.02719999999999</v>
      </c>
      <c r="K515" s="19">
        <f t="shared" si="40"/>
        <v>1605761.0156000007</v>
      </c>
      <c r="L515" s="22">
        <f t="shared" si="41"/>
        <v>1079.8661839946205</v>
      </c>
      <c r="M515" s="22">
        <f t="shared" si="42"/>
        <v>519</v>
      </c>
      <c r="N515" s="22" t="str">
        <f t="shared" si="43"/>
        <v>Low Value</v>
      </c>
      <c r="O515" s="22" t="str">
        <f t="shared" si="44"/>
        <v>Mar-2025</v>
      </c>
      <c r="P515" s="22" t="s">
        <v>1688</v>
      </c>
      <c r="Q515" s="22" t="s">
        <v>1569</v>
      </c>
      <c r="R515" s="22" t="s">
        <v>1137</v>
      </c>
      <c r="S515" s="22"/>
      <c r="T515" s="22"/>
      <c r="V515" s="26" t="s">
        <v>1931</v>
      </c>
      <c r="W515" s="6">
        <v>5</v>
      </c>
    </row>
    <row r="516" spans="1:23">
      <c r="A516" t="s">
        <v>2451</v>
      </c>
      <c r="B516" s="8">
        <v>45312</v>
      </c>
      <c r="C516" t="s">
        <v>440</v>
      </c>
      <c r="D516" t="s">
        <v>1529</v>
      </c>
      <c r="E516" t="s">
        <v>1886</v>
      </c>
      <c r="F516">
        <v>4</v>
      </c>
      <c r="G516" s="10">
        <v>191.65</v>
      </c>
      <c r="H516" s="13">
        <v>0.19</v>
      </c>
      <c r="I516" t="s">
        <v>1933</v>
      </c>
      <c r="J516" s="16">
        <v>620.94600000000003</v>
      </c>
      <c r="K516" s="19">
        <f t="shared" si="40"/>
        <v>1605069.9884000008</v>
      </c>
      <c r="L516" s="22">
        <f t="shared" si="41"/>
        <v>1080.1278522207274</v>
      </c>
      <c r="M516" s="22">
        <f t="shared" si="42"/>
        <v>519</v>
      </c>
      <c r="N516" s="22" t="str">
        <f t="shared" si="43"/>
        <v>Low Value</v>
      </c>
      <c r="O516" s="22" t="str">
        <f t="shared" si="44"/>
        <v>Jan-2024</v>
      </c>
      <c r="P516" s="22" t="s">
        <v>1530</v>
      </c>
      <c r="Q516" s="22" t="s">
        <v>1531</v>
      </c>
      <c r="R516" s="22" t="s">
        <v>441</v>
      </c>
      <c r="S516" s="22"/>
      <c r="T516" s="22"/>
      <c r="V516" s="26" t="s">
        <v>1933</v>
      </c>
      <c r="W516" s="6">
        <v>4</v>
      </c>
    </row>
    <row r="517" spans="1:23">
      <c r="A517" t="s">
        <v>2452</v>
      </c>
      <c r="B517" s="8">
        <v>45286</v>
      </c>
      <c r="C517" t="s">
        <v>533</v>
      </c>
      <c r="D517" t="s">
        <v>1693</v>
      </c>
      <c r="E517" t="s">
        <v>1873</v>
      </c>
      <c r="F517">
        <v>1</v>
      </c>
      <c r="G517" s="10">
        <v>169.69</v>
      </c>
      <c r="H517" s="13">
        <v>0.22</v>
      </c>
      <c r="I517" t="s">
        <v>1931</v>
      </c>
      <c r="J517" s="16">
        <v>132.35820000000001</v>
      </c>
      <c r="K517" s="19">
        <f t="shared" si="40"/>
        <v>1604449.0424000008</v>
      </c>
      <c r="L517" s="22">
        <f t="shared" si="41"/>
        <v>1080.4370655892262</v>
      </c>
      <c r="M517" s="22">
        <f t="shared" si="42"/>
        <v>518</v>
      </c>
      <c r="N517" s="22" t="str">
        <f t="shared" si="43"/>
        <v>Low Value</v>
      </c>
      <c r="O517" s="22" t="str">
        <f t="shared" si="44"/>
        <v>Dec-2023</v>
      </c>
      <c r="P517" s="22" t="s">
        <v>1694</v>
      </c>
      <c r="Q517" s="22" t="s">
        <v>1555</v>
      </c>
      <c r="R517" s="22" t="s">
        <v>534</v>
      </c>
      <c r="S517" s="22"/>
      <c r="T517" s="22"/>
      <c r="V517" s="25" t="s">
        <v>985</v>
      </c>
      <c r="W517" s="6">
        <v>4</v>
      </c>
    </row>
    <row r="518" spans="1:23">
      <c r="A518" t="s">
        <v>2453</v>
      </c>
      <c r="B518" s="8">
        <v>45372</v>
      </c>
      <c r="C518" t="s">
        <v>577</v>
      </c>
      <c r="D518" t="s">
        <v>1740</v>
      </c>
      <c r="E518" t="s">
        <v>1906</v>
      </c>
      <c r="F518">
        <v>1</v>
      </c>
      <c r="G518" s="10">
        <v>145.43</v>
      </c>
      <c r="H518" s="13">
        <v>0.08</v>
      </c>
      <c r="I518" t="s">
        <v>1931</v>
      </c>
      <c r="J518" s="16">
        <v>133.79560000000001</v>
      </c>
      <c r="K518" s="19">
        <f t="shared" si="40"/>
        <v>1604316.6842000009</v>
      </c>
      <c r="L518" s="22">
        <f t="shared" si="41"/>
        <v>1081.0759327493267</v>
      </c>
      <c r="M518" s="22">
        <f t="shared" si="42"/>
        <v>518</v>
      </c>
      <c r="N518" s="22" t="str">
        <f t="shared" si="43"/>
        <v>Low Value</v>
      </c>
      <c r="O518" s="22" t="str">
        <f t="shared" si="44"/>
        <v>Mar-2024</v>
      </c>
      <c r="P518" s="22" t="s">
        <v>1741</v>
      </c>
      <c r="Q518" s="22" t="s">
        <v>1531</v>
      </c>
      <c r="R518" s="22" t="s">
        <v>578</v>
      </c>
      <c r="S518" s="22"/>
      <c r="T518" s="22"/>
      <c r="V518" s="26" t="s">
        <v>1931</v>
      </c>
      <c r="W518" s="6">
        <v>4</v>
      </c>
    </row>
    <row r="519" spans="1:23">
      <c r="A519" t="s">
        <v>2454</v>
      </c>
      <c r="B519" s="8">
        <v>45633</v>
      </c>
      <c r="C519" t="s">
        <v>301</v>
      </c>
      <c r="D519" t="s">
        <v>1834</v>
      </c>
      <c r="E519" t="s">
        <v>1901</v>
      </c>
      <c r="F519">
        <v>4</v>
      </c>
      <c r="G519" s="10">
        <v>828.35</v>
      </c>
      <c r="H519" s="13">
        <v>0.17</v>
      </c>
      <c r="I519" t="s">
        <v>1931</v>
      </c>
      <c r="J519" s="16">
        <v>2750.1219999999998</v>
      </c>
      <c r="K519" s="19">
        <f t="shared" si="40"/>
        <v>1604182.8886000009</v>
      </c>
      <c r="L519" s="22">
        <f t="shared" si="41"/>
        <v>1081.714692245449</v>
      </c>
      <c r="M519" s="22">
        <f t="shared" si="42"/>
        <v>518</v>
      </c>
      <c r="N519" s="22" t="str">
        <f t="shared" si="43"/>
        <v>High Value</v>
      </c>
      <c r="O519" s="22" t="str">
        <f t="shared" si="44"/>
        <v>Dec-2024</v>
      </c>
      <c r="P519" s="22" t="s">
        <v>1835</v>
      </c>
      <c r="Q519" s="22" t="s">
        <v>1531</v>
      </c>
      <c r="R519" s="22" t="s">
        <v>302</v>
      </c>
      <c r="S519" s="22"/>
      <c r="T519" s="22"/>
      <c r="V519" s="25" t="s">
        <v>1131</v>
      </c>
      <c r="W519" s="6">
        <v>16</v>
      </c>
    </row>
    <row r="520" spans="1:23">
      <c r="A520" t="s">
        <v>2455</v>
      </c>
      <c r="B520" s="8">
        <v>45598</v>
      </c>
      <c r="C520" t="s">
        <v>1128</v>
      </c>
      <c r="D520" t="s">
        <v>1840</v>
      </c>
      <c r="E520" t="s">
        <v>1886</v>
      </c>
      <c r="F520">
        <v>3</v>
      </c>
      <c r="G520" s="10">
        <v>268.76</v>
      </c>
      <c r="H520" s="13">
        <v>0.01</v>
      </c>
      <c r="I520" t="s">
        <v>1933</v>
      </c>
      <c r="J520" s="16">
        <v>798.21719999999993</v>
      </c>
      <c r="K520" s="19">
        <f t="shared" si="40"/>
        <v>1601432.7666000009</v>
      </c>
      <c r="L520" s="22">
        <f t="shared" si="41"/>
        <v>1080.5889113360331</v>
      </c>
      <c r="M520" s="22">
        <f t="shared" si="42"/>
        <v>518</v>
      </c>
      <c r="N520" s="22" t="str">
        <f t="shared" si="43"/>
        <v>Low Value</v>
      </c>
      <c r="O520" s="22" t="str">
        <f t="shared" si="44"/>
        <v>Nov-2024</v>
      </c>
      <c r="P520" s="22" t="s">
        <v>1841</v>
      </c>
      <c r="Q520" s="22" t="s">
        <v>1569</v>
      </c>
      <c r="R520" s="22" t="s">
        <v>3956</v>
      </c>
      <c r="S520" s="22"/>
      <c r="T520" s="22"/>
      <c r="V520" s="26" t="s">
        <v>1936</v>
      </c>
      <c r="W520" s="6">
        <v>11</v>
      </c>
    </row>
    <row r="521" spans="1:23">
      <c r="A521" t="s">
        <v>2456</v>
      </c>
      <c r="B521" s="8">
        <v>45495</v>
      </c>
      <c r="C521" t="s">
        <v>750</v>
      </c>
      <c r="D521" t="s">
        <v>1819</v>
      </c>
      <c r="E521" t="s">
        <v>1859</v>
      </c>
      <c r="F521">
        <v>4</v>
      </c>
      <c r="G521" s="10">
        <v>370.09</v>
      </c>
      <c r="H521" s="13">
        <v>0.22</v>
      </c>
      <c r="I521" t="s">
        <v>1936</v>
      </c>
      <c r="J521" s="16">
        <v>1154.6808000000001</v>
      </c>
      <c r="K521" s="19">
        <f t="shared" si="40"/>
        <v>1600634.5494000008</v>
      </c>
      <c r="L521" s="22">
        <f t="shared" si="41"/>
        <v>1080.7795742066178</v>
      </c>
      <c r="M521" s="22">
        <f t="shared" si="42"/>
        <v>517</v>
      </c>
      <c r="N521" s="22" t="str">
        <f t="shared" si="43"/>
        <v>High Value</v>
      </c>
      <c r="O521" s="22" t="str">
        <f t="shared" si="44"/>
        <v>Jul-2024</v>
      </c>
      <c r="P521" s="22" t="s">
        <v>1820</v>
      </c>
      <c r="Q521" s="22" t="s">
        <v>1569</v>
      </c>
      <c r="R521" s="22" t="s">
        <v>751</v>
      </c>
      <c r="S521" s="22"/>
      <c r="T521" s="22"/>
      <c r="V521" s="26" t="s">
        <v>1931</v>
      </c>
      <c r="W521" s="6">
        <v>5</v>
      </c>
    </row>
    <row r="522" spans="1:23">
      <c r="A522" t="s">
        <v>2457</v>
      </c>
      <c r="B522" s="8">
        <v>45229</v>
      </c>
      <c r="C522" t="s">
        <v>810</v>
      </c>
      <c r="D522" t="s">
        <v>1789</v>
      </c>
      <c r="E522" t="s">
        <v>1883</v>
      </c>
      <c r="F522">
        <v>3</v>
      </c>
      <c r="G522" s="10">
        <v>679.22</v>
      </c>
      <c r="H522" s="13">
        <v>0.11</v>
      </c>
      <c r="I522" t="s">
        <v>1933</v>
      </c>
      <c r="J522" s="16">
        <v>1813.5174</v>
      </c>
      <c r="K522" s="19">
        <f t="shared" si="40"/>
        <v>1599479.8686000006</v>
      </c>
      <c r="L522" s="22">
        <f t="shared" si="41"/>
        <v>1080.7296409459464</v>
      </c>
      <c r="M522" s="22">
        <f t="shared" si="42"/>
        <v>517</v>
      </c>
      <c r="N522" s="22" t="str">
        <f t="shared" si="43"/>
        <v>High Value</v>
      </c>
      <c r="O522" s="22" t="str">
        <f t="shared" si="44"/>
        <v>Oct-2023</v>
      </c>
      <c r="P522" s="22" t="s">
        <v>1790</v>
      </c>
      <c r="Q522" s="22" t="s">
        <v>1560</v>
      </c>
      <c r="R522" s="22" t="s">
        <v>3949</v>
      </c>
      <c r="S522" s="22"/>
      <c r="T522" s="22"/>
      <c r="V522" s="25" t="s">
        <v>729</v>
      </c>
      <c r="W522" s="6">
        <v>8</v>
      </c>
    </row>
    <row r="523" spans="1:23">
      <c r="A523" t="s">
        <v>2458</v>
      </c>
      <c r="B523" s="8">
        <v>45433</v>
      </c>
      <c r="C523" t="s">
        <v>1160</v>
      </c>
      <c r="D523" t="s">
        <v>1774</v>
      </c>
      <c r="E523" t="s">
        <v>1859</v>
      </c>
      <c r="F523">
        <v>3</v>
      </c>
      <c r="G523" s="10">
        <v>780.69</v>
      </c>
      <c r="H523" s="13">
        <v>0.1</v>
      </c>
      <c r="I523" t="s">
        <v>1936</v>
      </c>
      <c r="J523" s="16">
        <v>2107.8629999999998</v>
      </c>
      <c r="K523" s="19">
        <f t="shared" si="40"/>
        <v>1597666.3512000006</v>
      </c>
      <c r="L523" s="22">
        <f t="shared" si="41"/>
        <v>1080.2341793103453</v>
      </c>
      <c r="M523" s="22">
        <f t="shared" si="42"/>
        <v>516</v>
      </c>
      <c r="N523" s="22" t="str">
        <f t="shared" si="43"/>
        <v>High Value</v>
      </c>
      <c r="O523" s="22" t="str">
        <f t="shared" si="44"/>
        <v>May-2024</v>
      </c>
      <c r="P523" s="22" t="s">
        <v>1775</v>
      </c>
      <c r="Q523" s="22" t="s">
        <v>1569</v>
      </c>
      <c r="R523" s="22" t="s">
        <v>1161</v>
      </c>
      <c r="S523" s="22"/>
      <c r="T523" s="22"/>
      <c r="V523" s="26" t="s">
        <v>1936</v>
      </c>
      <c r="W523" s="6">
        <v>4</v>
      </c>
    </row>
    <row r="524" spans="1:23">
      <c r="A524" t="s">
        <v>2459</v>
      </c>
      <c r="B524" s="8">
        <v>45766</v>
      </c>
      <c r="C524" t="s">
        <v>833</v>
      </c>
      <c r="D524" t="s">
        <v>1678</v>
      </c>
      <c r="E524" t="s">
        <v>1868</v>
      </c>
      <c r="F524">
        <v>2</v>
      </c>
      <c r="G524" s="10">
        <v>42.97</v>
      </c>
      <c r="H524" s="13">
        <v>0.18</v>
      </c>
      <c r="I524" t="s">
        <v>1933</v>
      </c>
      <c r="J524" s="16">
        <v>70.470799999999997</v>
      </c>
      <c r="K524" s="19">
        <f t="shared" si="40"/>
        <v>1595558.4882000007</v>
      </c>
      <c r="L524" s="22">
        <f t="shared" si="41"/>
        <v>1079.5388959404606</v>
      </c>
      <c r="M524" s="22">
        <f t="shared" si="42"/>
        <v>516</v>
      </c>
      <c r="N524" s="22" t="str">
        <f t="shared" si="43"/>
        <v>Low Value</v>
      </c>
      <c r="O524" s="22" t="str">
        <f t="shared" si="44"/>
        <v>Apr-2025</v>
      </c>
      <c r="P524" s="22" t="s">
        <v>1679</v>
      </c>
      <c r="Q524" s="22" t="s">
        <v>1531</v>
      </c>
      <c r="R524" s="22" t="s">
        <v>834</v>
      </c>
      <c r="S524" s="22"/>
      <c r="T524" s="22"/>
      <c r="V524" s="26" t="s">
        <v>1931</v>
      </c>
      <c r="W524" s="6">
        <v>4</v>
      </c>
    </row>
    <row r="525" spans="1:23">
      <c r="A525" t="s">
        <v>2460</v>
      </c>
      <c r="B525" s="8">
        <v>45639</v>
      </c>
      <c r="C525" t="s">
        <v>907</v>
      </c>
      <c r="D525" t="s">
        <v>1801</v>
      </c>
      <c r="E525" t="s">
        <v>1859</v>
      </c>
      <c r="F525">
        <v>4</v>
      </c>
      <c r="G525" s="10">
        <v>854.37</v>
      </c>
      <c r="H525" s="13">
        <v>7.0000000000000007E-2</v>
      </c>
      <c r="I525" t="s">
        <v>1933</v>
      </c>
      <c r="J525" s="16">
        <v>3178.2564000000002</v>
      </c>
      <c r="K525" s="19">
        <f t="shared" si="40"/>
        <v>1595488.0174000007</v>
      </c>
      <c r="L525" s="22">
        <f t="shared" si="41"/>
        <v>1080.2220835477324</v>
      </c>
      <c r="M525" s="22">
        <f t="shared" si="42"/>
        <v>515</v>
      </c>
      <c r="N525" s="22" t="str">
        <f t="shared" si="43"/>
        <v>High Value</v>
      </c>
      <c r="O525" s="22" t="str">
        <f t="shared" si="44"/>
        <v>Dec-2024</v>
      </c>
      <c r="P525" s="22" t="s">
        <v>1802</v>
      </c>
      <c r="Q525" s="22" t="s">
        <v>1569</v>
      </c>
      <c r="R525" s="22" t="s">
        <v>908</v>
      </c>
      <c r="S525" s="22"/>
      <c r="T525" s="22"/>
      <c r="V525" s="25" t="s">
        <v>1065</v>
      </c>
      <c r="W525" s="6">
        <v>2</v>
      </c>
    </row>
    <row r="526" spans="1:23">
      <c r="A526" t="s">
        <v>2461</v>
      </c>
      <c r="B526" s="8">
        <v>45774</v>
      </c>
      <c r="C526" t="s">
        <v>351</v>
      </c>
      <c r="D526" t="s">
        <v>1620</v>
      </c>
      <c r="E526" t="s">
        <v>1911</v>
      </c>
      <c r="F526">
        <v>2</v>
      </c>
      <c r="G526" s="10">
        <v>409.52</v>
      </c>
      <c r="H526" s="13">
        <v>0.06</v>
      </c>
      <c r="I526" t="s">
        <v>1936</v>
      </c>
      <c r="J526" s="16">
        <v>769.8975999999999</v>
      </c>
      <c r="K526" s="19">
        <f t="shared" si="40"/>
        <v>1592309.7610000009</v>
      </c>
      <c r="L526" s="22">
        <f t="shared" si="41"/>
        <v>1078.8006510840114</v>
      </c>
      <c r="M526" s="22">
        <f t="shared" si="42"/>
        <v>514</v>
      </c>
      <c r="N526" s="22" t="str">
        <f t="shared" si="43"/>
        <v>Low Value</v>
      </c>
      <c r="O526" s="22" t="str">
        <f t="shared" si="44"/>
        <v>Apr-2025</v>
      </c>
      <c r="P526" s="22" t="s">
        <v>1621</v>
      </c>
      <c r="Q526" s="22" t="s">
        <v>1569</v>
      </c>
      <c r="R526" s="22" t="s">
        <v>352</v>
      </c>
      <c r="S526" s="22"/>
      <c r="T526" s="22"/>
      <c r="V526" s="26" t="s">
        <v>1936</v>
      </c>
      <c r="W526" s="6">
        <v>2</v>
      </c>
    </row>
    <row r="527" spans="1:23">
      <c r="A527" t="s">
        <v>2462</v>
      </c>
      <c r="B527" s="8">
        <v>45569</v>
      </c>
      <c r="C527" t="s">
        <v>545</v>
      </c>
      <c r="D527" t="s">
        <v>1777</v>
      </c>
      <c r="E527" t="s">
        <v>1896</v>
      </c>
      <c r="F527">
        <v>2</v>
      </c>
      <c r="G527" s="10">
        <v>407.46</v>
      </c>
      <c r="H527" s="13">
        <v>0.21</v>
      </c>
      <c r="I527" t="s">
        <v>1931</v>
      </c>
      <c r="J527" s="16">
        <v>643.78679999999997</v>
      </c>
      <c r="K527" s="19">
        <f t="shared" si="40"/>
        <v>1591539.8634000008</v>
      </c>
      <c r="L527" s="22">
        <f t="shared" si="41"/>
        <v>1079.0100768813566</v>
      </c>
      <c r="M527" s="22">
        <f t="shared" si="42"/>
        <v>514</v>
      </c>
      <c r="N527" s="22" t="str">
        <f t="shared" si="43"/>
        <v>Low Value</v>
      </c>
      <c r="O527" s="22" t="str">
        <f t="shared" si="44"/>
        <v>Oct-2024</v>
      </c>
      <c r="P527" s="22" t="s">
        <v>1778</v>
      </c>
      <c r="Q527" s="22" t="s">
        <v>1531</v>
      </c>
      <c r="R527" s="22" t="s">
        <v>546</v>
      </c>
      <c r="S527" s="22"/>
      <c r="T527" s="22"/>
      <c r="V527" s="25" t="s">
        <v>1378</v>
      </c>
      <c r="W527" s="6">
        <v>5</v>
      </c>
    </row>
    <row r="528" spans="1:23">
      <c r="A528" t="s">
        <v>2463</v>
      </c>
      <c r="B528" s="8">
        <v>45856</v>
      </c>
      <c r="C528" t="s">
        <v>736</v>
      </c>
      <c r="D528" t="s">
        <v>1545</v>
      </c>
      <c r="E528" t="s">
        <v>1889</v>
      </c>
      <c r="F528">
        <v>1</v>
      </c>
      <c r="G528" s="10">
        <v>728.84</v>
      </c>
      <c r="H528" s="13">
        <v>0.28000000000000003</v>
      </c>
      <c r="I528" t="s">
        <v>1933</v>
      </c>
      <c r="J528" s="16">
        <v>524.76480000000004</v>
      </c>
      <c r="K528" s="19">
        <f t="shared" si="40"/>
        <v>1590896.076600001</v>
      </c>
      <c r="L528" s="22">
        <f t="shared" si="41"/>
        <v>1079.3053436906384</v>
      </c>
      <c r="M528" s="22">
        <f t="shared" si="42"/>
        <v>514</v>
      </c>
      <c r="N528" s="22" t="str">
        <f t="shared" si="43"/>
        <v>Low Value</v>
      </c>
      <c r="O528" s="22" t="str">
        <f t="shared" si="44"/>
        <v>Jul-2025</v>
      </c>
      <c r="P528" s="22" t="s">
        <v>1546</v>
      </c>
      <c r="Q528" s="22" t="s">
        <v>1536</v>
      </c>
      <c r="R528" s="22" t="s">
        <v>737</v>
      </c>
      <c r="S528" s="22"/>
      <c r="T528" s="22"/>
      <c r="V528" s="26" t="s">
        <v>1933</v>
      </c>
      <c r="W528" s="6">
        <v>5</v>
      </c>
    </row>
    <row r="529" spans="1:23">
      <c r="A529" t="s">
        <v>2464</v>
      </c>
      <c r="B529" s="8">
        <v>45362</v>
      </c>
      <c r="C529" t="s">
        <v>1391</v>
      </c>
      <c r="D529" t="s">
        <v>1789</v>
      </c>
      <c r="E529" t="s">
        <v>1883</v>
      </c>
      <c r="F529">
        <v>4</v>
      </c>
      <c r="G529" s="10">
        <v>467.24</v>
      </c>
      <c r="H529" s="13">
        <v>0.08</v>
      </c>
      <c r="I529" t="s">
        <v>1933</v>
      </c>
      <c r="J529" s="16">
        <v>1719.4431999999999</v>
      </c>
      <c r="K529" s="19">
        <f t="shared" si="40"/>
        <v>1590371.3118000007</v>
      </c>
      <c r="L529" s="22">
        <f t="shared" si="41"/>
        <v>1079.6818138492877</v>
      </c>
      <c r="M529" s="22">
        <f t="shared" si="42"/>
        <v>513</v>
      </c>
      <c r="N529" s="22" t="str">
        <f t="shared" si="43"/>
        <v>High Value</v>
      </c>
      <c r="O529" s="22" t="str">
        <f t="shared" si="44"/>
        <v>Mar-2024</v>
      </c>
      <c r="P529" s="22" t="s">
        <v>1790</v>
      </c>
      <c r="Q529" s="22" t="s">
        <v>1560</v>
      </c>
      <c r="R529" s="22" t="s">
        <v>1392</v>
      </c>
      <c r="S529" s="22"/>
      <c r="T529" s="22"/>
      <c r="V529" s="25" t="s">
        <v>1484</v>
      </c>
      <c r="W529" s="6">
        <v>13</v>
      </c>
    </row>
    <row r="530" spans="1:23">
      <c r="A530" t="s">
        <v>2465</v>
      </c>
      <c r="B530" s="8">
        <v>45457</v>
      </c>
      <c r="C530" t="s">
        <v>327</v>
      </c>
      <c r="D530" t="s">
        <v>1572</v>
      </c>
      <c r="E530" t="s">
        <v>1899</v>
      </c>
      <c r="F530">
        <v>1</v>
      </c>
      <c r="G530" s="10">
        <v>57.94</v>
      </c>
      <c r="H530" s="13">
        <v>0.13</v>
      </c>
      <c r="I530" t="s">
        <v>1933</v>
      </c>
      <c r="J530" s="16">
        <v>50.407799999999988</v>
      </c>
      <c r="K530" s="19">
        <f t="shared" si="40"/>
        <v>1588651.8686000009</v>
      </c>
      <c r="L530" s="22">
        <f t="shared" si="41"/>
        <v>1079.2471933423919</v>
      </c>
      <c r="M530" s="22">
        <f t="shared" si="42"/>
        <v>512</v>
      </c>
      <c r="N530" s="22" t="str">
        <f t="shared" si="43"/>
        <v>Low Value</v>
      </c>
      <c r="O530" s="22" t="str">
        <f t="shared" si="44"/>
        <v>Jun-2024</v>
      </c>
      <c r="P530" s="22" t="s">
        <v>1573</v>
      </c>
      <c r="Q530" s="22" t="s">
        <v>1560</v>
      </c>
      <c r="R530" s="22" t="s">
        <v>328</v>
      </c>
      <c r="S530" s="22"/>
      <c r="T530" s="22"/>
      <c r="V530" s="26" t="s">
        <v>1936</v>
      </c>
      <c r="W530" s="6">
        <v>6</v>
      </c>
    </row>
    <row r="531" spans="1:23">
      <c r="A531" t="s">
        <v>2466</v>
      </c>
      <c r="B531" s="8">
        <v>45338</v>
      </c>
      <c r="C531" t="s">
        <v>1076</v>
      </c>
      <c r="D531" t="s">
        <v>1700</v>
      </c>
      <c r="E531" t="s">
        <v>1914</v>
      </c>
      <c r="F531">
        <v>1</v>
      </c>
      <c r="G531" s="10">
        <v>540.1</v>
      </c>
      <c r="H531" s="13">
        <v>0.22</v>
      </c>
      <c r="I531" t="s">
        <v>1931</v>
      </c>
      <c r="J531" s="16">
        <v>421.27800000000002</v>
      </c>
      <c r="K531" s="19">
        <f t="shared" si="40"/>
        <v>1588601.4608000009</v>
      </c>
      <c r="L531" s="22">
        <f t="shared" si="41"/>
        <v>1079.9466082936783</v>
      </c>
      <c r="M531" s="22">
        <f t="shared" si="42"/>
        <v>511</v>
      </c>
      <c r="N531" s="22" t="str">
        <f t="shared" si="43"/>
        <v>Low Value</v>
      </c>
      <c r="O531" s="22" t="str">
        <f t="shared" si="44"/>
        <v>Feb-2024</v>
      </c>
      <c r="P531" s="22" t="s">
        <v>1701</v>
      </c>
      <c r="Q531" s="22" t="s">
        <v>1555</v>
      </c>
      <c r="R531" s="22" t="s">
        <v>1077</v>
      </c>
      <c r="S531" s="22"/>
      <c r="T531" s="22"/>
      <c r="V531" s="26" t="s">
        <v>1931</v>
      </c>
      <c r="W531" s="6">
        <v>3</v>
      </c>
    </row>
    <row r="532" spans="1:23">
      <c r="A532" t="s">
        <v>2467</v>
      </c>
      <c r="B532" s="8">
        <v>45552</v>
      </c>
      <c r="C532" t="s">
        <v>278</v>
      </c>
      <c r="D532" t="s">
        <v>1563</v>
      </c>
      <c r="E532" t="s">
        <v>1920</v>
      </c>
      <c r="F532">
        <v>4</v>
      </c>
      <c r="G532" s="10">
        <v>816.28</v>
      </c>
      <c r="H532" s="13">
        <v>0.15</v>
      </c>
      <c r="I532" t="s">
        <v>1936</v>
      </c>
      <c r="J532" s="16">
        <v>2775.3519999999999</v>
      </c>
      <c r="K532" s="19">
        <f t="shared" si="40"/>
        <v>1588180.1828000008</v>
      </c>
      <c r="L532" s="22">
        <f t="shared" si="41"/>
        <v>1080.3946821768714</v>
      </c>
      <c r="M532" s="22">
        <f t="shared" si="42"/>
        <v>511</v>
      </c>
      <c r="N532" s="22" t="str">
        <f t="shared" si="43"/>
        <v>High Value</v>
      </c>
      <c r="O532" s="22" t="str">
        <f t="shared" si="44"/>
        <v>Sep-2024</v>
      </c>
      <c r="P532" s="22" t="s">
        <v>1564</v>
      </c>
      <c r="Q532" s="22" t="s">
        <v>1531</v>
      </c>
      <c r="R532" s="22" t="s">
        <v>279</v>
      </c>
      <c r="S532" s="22"/>
      <c r="T532" s="22"/>
      <c r="V532" s="26" t="s">
        <v>1933</v>
      </c>
      <c r="W532" s="6">
        <v>4</v>
      </c>
    </row>
    <row r="533" spans="1:23">
      <c r="A533" t="s">
        <v>2468</v>
      </c>
      <c r="B533" s="8">
        <v>45895</v>
      </c>
      <c r="C533" t="s">
        <v>587</v>
      </c>
      <c r="D533" t="s">
        <v>1678</v>
      </c>
      <c r="E533" t="s">
        <v>1889</v>
      </c>
      <c r="F533">
        <v>4</v>
      </c>
      <c r="G533" s="10">
        <v>727.49</v>
      </c>
      <c r="H533" s="13">
        <v>0.11</v>
      </c>
      <c r="I533" t="s">
        <v>1931</v>
      </c>
      <c r="J533" s="16">
        <v>2589.8643999999999</v>
      </c>
      <c r="K533" s="19">
        <f t="shared" si="40"/>
        <v>1585404.8308000003</v>
      </c>
      <c r="L533" s="22">
        <f t="shared" si="41"/>
        <v>1079.2408650782847</v>
      </c>
      <c r="M533" s="22">
        <f t="shared" si="42"/>
        <v>511</v>
      </c>
      <c r="N533" s="22" t="str">
        <f t="shared" si="43"/>
        <v>High Value</v>
      </c>
      <c r="O533" s="22" t="str">
        <f t="shared" si="44"/>
        <v>Aug-2025</v>
      </c>
      <c r="P533" s="22" t="s">
        <v>1679</v>
      </c>
      <c r="Q533" s="22" t="s">
        <v>1531</v>
      </c>
      <c r="R533" s="22" t="s">
        <v>588</v>
      </c>
      <c r="S533" s="22"/>
      <c r="T533" s="22"/>
      <c r="V533" s="25" t="s">
        <v>256</v>
      </c>
      <c r="W533" s="6">
        <v>14</v>
      </c>
    </row>
    <row r="534" spans="1:23">
      <c r="A534" t="s">
        <v>2469</v>
      </c>
      <c r="B534" s="8">
        <v>45447</v>
      </c>
      <c r="C534" t="s">
        <v>565</v>
      </c>
      <c r="D534" t="s">
        <v>1813</v>
      </c>
      <c r="E534" t="s">
        <v>1904</v>
      </c>
      <c r="F534">
        <v>4</v>
      </c>
      <c r="G534" s="10">
        <v>817.92</v>
      </c>
      <c r="H534" s="13">
        <v>0.21</v>
      </c>
      <c r="I534" t="s">
        <v>1931</v>
      </c>
      <c r="J534" s="16">
        <v>2584.6271999999999</v>
      </c>
      <c r="K534" s="19">
        <f t="shared" si="40"/>
        <v>1582814.9664000007</v>
      </c>
      <c r="L534" s="22">
        <f t="shared" si="41"/>
        <v>1078.2118299727526</v>
      </c>
      <c r="M534" s="22">
        <f t="shared" si="42"/>
        <v>511</v>
      </c>
      <c r="N534" s="22" t="str">
        <f t="shared" si="43"/>
        <v>High Value</v>
      </c>
      <c r="O534" s="22" t="str">
        <f t="shared" si="44"/>
        <v>Jun-2024</v>
      </c>
      <c r="P534" s="22" t="s">
        <v>1814</v>
      </c>
      <c r="Q534" s="22" t="s">
        <v>1560</v>
      </c>
      <c r="R534" s="22" t="s">
        <v>566</v>
      </c>
      <c r="S534" s="22"/>
      <c r="T534" s="22"/>
      <c r="V534" s="26" t="s">
        <v>1936</v>
      </c>
      <c r="W534" s="6">
        <v>6</v>
      </c>
    </row>
    <row r="535" spans="1:23">
      <c r="A535" t="s">
        <v>2470</v>
      </c>
      <c r="B535" s="8">
        <v>45578</v>
      </c>
      <c r="C535" t="s">
        <v>1019</v>
      </c>
      <c r="D535" t="s">
        <v>1665</v>
      </c>
      <c r="E535" t="s">
        <v>1886</v>
      </c>
      <c r="F535">
        <v>2</v>
      </c>
      <c r="G535" s="10">
        <v>358.45</v>
      </c>
      <c r="H535" s="13">
        <v>7.0000000000000007E-2</v>
      </c>
      <c r="I535" t="s">
        <v>1936</v>
      </c>
      <c r="J535" s="16">
        <v>666.71699999999998</v>
      </c>
      <c r="K535" s="19">
        <f t="shared" si="40"/>
        <v>1580230.3392000003</v>
      </c>
      <c r="L535" s="22">
        <f t="shared" si="41"/>
        <v>1077.1849619631903</v>
      </c>
      <c r="M535" s="22">
        <f t="shared" si="42"/>
        <v>511</v>
      </c>
      <c r="N535" s="22" t="str">
        <f t="shared" si="43"/>
        <v>Low Value</v>
      </c>
      <c r="O535" s="22" t="str">
        <f t="shared" si="44"/>
        <v>Oct-2024</v>
      </c>
      <c r="P535" s="22" t="s">
        <v>1666</v>
      </c>
      <c r="Q535" s="22" t="s">
        <v>1569</v>
      </c>
      <c r="R535" s="22" t="s">
        <v>1020</v>
      </c>
      <c r="S535" s="22"/>
      <c r="T535" s="22"/>
      <c r="V535" s="26" t="s">
        <v>1931</v>
      </c>
      <c r="W535" s="6">
        <v>4</v>
      </c>
    </row>
    <row r="536" spans="1:23">
      <c r="A536" t="s">
        <v>2471</v>
      </c>
      <c r="B536" s="8">
        <v>45697</v>
      </c>
      <c r="C536" t="s">
        <v>655</v>
      </c>
      <c r="D536" t="s">
        <v>1816</v>
      </c>
      <c r="E536" t="s">
        <v>1893</v>
      </c>
      <c r="F536">
        <v>1</v>
      </c>
      <c r="G536" s="10">
        <v>972.06</v>
      </c>
      <c r="H536" s="13">
        <v>0.3</v>
      </c>
      <c r="I536" t="s">
        <v>1936</v>
      </c>
      <c r="J536" s="16">
        <v>680.44199999999989</v>
      </c>
      <c r="K536" s="19">
        <f t="shared" si="40"/>
        <v>1579563.6222000003</v>
      </c>
      <c r="L536" s="22">
        <f t="shared" si="41"/>
        <v>1077.4649537517055</v>
      </c>
      <c r="M536" s="22">
        <f t="shared" si="42"/>
        <v>511</v>
      </c>
      <c r="N536" s="22" t="str">
        <f t="shared" si="43"/>
        <v>Low Value</v>
      </c>
      <c r="O536" s="22" t="str">
        <f t="shared" si="44"/>
        <v>Feb-2025</v>
      </c>
      <c r="P536" s="22" t="s">
        <v>1817</v>
      </c>
      <c r="Q536" s="22" t="s">
        <v>1560</v>
      </c>
      <c r="R536" s="22" t="s">
        <v>656</v>
      </c>
      <c r="S536" s="22"/>
      <c r="T536" s="22"/>
      <c r="V536" s="26" t="s">
        <v>1933</v>
      </c>
      <c r="W536" s="6">
        <v>4</v>
      </c>
    </row>
    <row r="537" spans="1:23">
      <c r="A537" t="s">
        <v>2472</v>
      </c>
      <c r="B537" s="8">
        <v>45281</v>
      </c>
      <c r="C537" t="s">
        <v>130</v>
      </c>
      <c r="D537" t="s">
        <v>1970</v>
      </c>
      <c r="E537" t="s">
        <v>1859</v>
      </c>
      <c r="F537">
        <v>1</v>
      </c>
      <c r="G537" s="10">
        <v>791.36</v>
      </c>
      <c r="H537" s="13">
        <v>0.06</v>
      </c>
      <c r="I537" t="s">
        <v>1933</v>
      </c>
      <c r="J537" s="16">
        <v>743.87839999999994</v>
      </c>
      <c r="K537" s="19">
        <f t="shared" si="40"/>
        <v>1578883.1802000003</v>
      </c>
      <c r="L537" s="22">
        <f t="shared" si="41"/>
        <v>1077.7359591808877</v>
      </c>
      <c r="M537" s="22">
        <f t="shared" si="42"/>
        <v>511</v>
      </c>
      <c r="N537" s="22" t="str">
        <f t="shared" si="43"/>
        <v>Low Value</v>
      </c>
      <c r="O537" s="22" t="str">
        <f t="shared" si="44"/>
        <v>Dec-2023</v>
      </c>
      <c r="P537" s="22" t="s">
        <v>1594</v>
      </c>
      <c r="Q537" s="22" t="s">
        <v>1555</v>
      </c>
      <c r="R537" s="22" t="s">
        <v>131</v>
      </c>
      <c r="S537" s="22"/>
      <c r="T537" s="22"/>
      <c r="V537" s="25" t="s">
        <v>695</v>
      </c>
      <c r="W537" s="6">
        <v>9</v>
      </c>
    </row>
    <row r="538" spans="1:23">
      <c r="A538" t="s">
        <v>2473</v>
      </c>
      <c r="B538" s="8">
        <v>45855</v>
      </c>
      <c r="C538" t="s">
        <v>987</v>
      </c>
      <c r="D538" t="s">
        <v>1746</v>
      </c>
      <c r="E538" t="s">
        <v>1880</v>
      </c>
      <c r="F538">
        <v>4</v>
      </c>
      <c r="G538" s="10">
        <v>839.65</v>
      </c>
      <c r="H538" s="13">
        <v>0.26</v>
      </c>
      <c r="I538" t="s">
        <v>1936</v>
      </c>
      <c r="J538" s="16">
        <v>2485.364</v>
      </c>
      <c r="K538" s="19">
        <f t="shared" si="40"/>
        <v>1578139.3018000005</v>
      </c>
      <c r="L538" s="22">
        <f t="shared" si="41"/>
        <v>1077.9640039617489</v>
      </c>
      <c r="M538" s="22">
        <f t="shared" si="42"/>
        <v>510</v>
      </c>
      <c r="N538" s="22" t="str">
        <f t="shared" si="43"/>
        <v>High Value</v>
      </c>
      <c r="O538" s="22" t="str">
        <f t="shared" si="44"/>
        <v>Jul-2025</v>
      </c>
      <c r="P538" s="22" t="s">
        <v>1747</v>
      </c>
      <c r="Q538" s="22" t="s">
        <v>1555</v>
      </c>
      <c r="R538" s="22" t="s">
        <v>988</v>
      </c>
      <c r="S538" s="22"/>
      <c r="T538" s="22"/>
      <c r="V538" s="26" t="s">
        <v>1936</v>
      </c>
      <c r="W538" s="6">
        <v>5</v>
      </c>
    </row>
    <row r="539" spans="1:23">
      <c r="A539" t="s">
        <v>2474</v>
      </c>
      <c r="B539" s="8">
        <v>45793</v>
      </c>
      <c r="C539" t="s">
        <v>815</v>
      </c>
      <c r="D539" t="s">
        <v>1771</v>
      </c>
      <c r="E539" t="s">
        <v>1868</v>
      </c>
      <c r="F539">
        <v>2</v>
      </c>
      <c r="G539" s="10">
        <v>245.52</v>
      </c>
      <c r="H539" s="13">
        <v>0.11</v>
      </c>
      <c r="I539" t="s">
        <v>1936</v>
      </c>
      <c r="J539" s="16">
        <v>437.0256</v>
      </c>
      <c r="K539" s="19">
        <f t="shared" si="40"/>
        <v>1575653.9378000004</v>
      </c>
      <c r="L539" s="22">
        <f t="shared" si="41"/>
        <v>1077.0020080656188</v>
      </c>
      <c r="M539" s="22">
        <f t="shared" si="42"/>
        <v>510</v>
      </c>
      <c r="N539" s="22" t="str">
        <f t="shared" si="43"/>
        <v>Low Value</v>
      </c>
      <c r="O539" s="22" t="str">
        <f t="shared" si="44"/>
        <v>May-2025</v>
      </c>
      <c r="P539" s="22" t="s">
        <v>1772</v>
      </c>
      <c r="Q539" s="22" t="s">
        <v>1569</v>
      </c>
      <c r="R539" s="22" t="s">
        <v>816</v>
      </c>
      <c r="S539" s="22"/>
      <c r="T539" s="22"/>
      <c r="V539" s="26" t="s">
        <v>1933</v>
      </c>
      <c r="W539" s="6">
        <v>4</v>
      </c>
    </row>
    <row r="540" spans="1:23">
      <c r="A540" t="s">
        <v>2475</v>
      </c>
      <c r="B540" s="8">
        <v>45881</v>
      </c>
      <c r="C540" t="s">
        <v>1205</v>
      </c>
      <c r="D540" t="s">
        <v>1801</v>
      </c>
      <c r="E540" t="s">
        <v>1889</v>
      </c>
      <c r="F540">
        <v>3</v>
      </c>
      <c r="G540" s="10">
        <v>787.91</v>
      </c>
      <c r="H540" s="13">
        <v>0.06</v>
      </c>
      <c r="I540" t="s">
        <v>1933</v>
      </c>
      <c r="J540" s="16">
        <v>2221.9061999999999</v>
      </c>
      <c r="K540" s="19">
        <f t="shared" si="40"/>
        <v>1575216.9122000004</v>
      </c>
      <c r="L540" s="22">
        <f t="shared" si="41"/>
        <v>1077.4397484268129</v>
      </c>
      <c r="M540" s="22">
        <f t="shared" si="42"/>
        <v>510</v>
      </c>
      <c r="N540" s="22" t="str">
        <f t="shared" si="43"/>
        <v>High Value</v>
      </c>
      <c r="O540" s="22" t="str">
        <f t="shared" si="44"/>
        <v>Aug-2025</v>
      </c>
      <c r="P540" s="22" t="s">
        <v>1802</v>
      </c>
      <c r="Q540" s="22" t="s">
        <v>1569</v>
      </c>
      <c r="R540" s="22" t="s">
        <v>1206</v>
      </c>
      <c r="S540" s="22"/>
      <c r="T540" s="22"/>
      <c r="V540" s="25" t="s">
        <v>157</v>
      </c>
      <c r="W540" s="6">
        <v>4</v>
      </c>
    </row>
    <row r="541" spans="1:23">
      <c r="A541" t="s">
        <v>2476</v>
      </c>
      <c r="B541" s="8">
        <v>45890</v>
      </c>
      <c r="C541" t="s">
        <v>199</v>
      </c>
      <c r="D541" t="s">
        <v>1780</v>
      </c>
      <c r="E541" t="s">
        <v>1876</v>
      </c>
      <c r="F541">
        <v>2</v>
      </c>
      <c r="G541" s="10">
        <v>709.17</v>
      </c>
      <c r="H541" s="13">
        <v>0.22</v>
      </c>
      <c r="I541" t="s">
        <v>1931</v>
      </c>
      <c r="J541" s="16">
        <v>1106.3052</v>
      </c>
      <c r="K541" s="19">
        <f t="shared" si="40"/>
        <v>1572995.0060000003</v>
      </c>
      <c r="L541" s="22">
        <f t="shared" si="41"/>
        <v>1076.6564038329914</v>
      </c>
      <c r="M541" s="22">
        <f t="shared" si="42"/>
        <v>509</v>
      </c>
      <c r="N541" s="22" t="str">
        <f t="shared" si="43"/>
        <v>High Value</v>
      </c>
      <c r="O541" s="22" t="str">
        <f t="shared" si="44"/>
        <v>Aug-2025</v>
      </c>
      <c r="P541" s="22" t="s">
        <v>1781</v>
      </c>
      <c r="Q541" s="22" t="s">
        <v>1536</v>
      </c>
      <c r="R541" s="22" t="s">
        <v>200</v>
      </c>
      <c r="S541" s="22"/>
      <c r="T541" s="22"/>
      <c r="V541" s="26" t="s">
        <v>1931</v>
      </c>
      <c r="W541" s="6">
        <v>3</v>
      </c>
    </row>
    <row r="542" spans="1:23">
      <c r="A542" t="s">
        <v>2477</v>
      </c>
      <c r="B542" s="8">
        <v>45251</v>
      </c>
      <c r="C542" t="s">
        <v>756</v>
      </c>
      <c r="D542" t="s">
        <v>1828</v>
      </c>
      <c r="E542" t="s">
        <v>1886</v>
      </c>
      <c r="F542">
        <v>2</v>
      </c>
      <c r="G542" s="10">
        <v>533.91999999999996</v>
      </c>
      <c r="H542" s="13">
        <v>0.13</v>
      </c>
      <c r="I542" t="s">
        <v>1931</v>
      </c>
      <c r="J542" s="16">
        <v>929.02079999999989</v>
      </c>
      <c r="K542" s="19">
        <f t="shared" si="40"/>
        <v>1571888.7008000002</v>
      </c>
      <c r="L542" s="22">
        <f t="shared" si="41"/>
        <v>1076.6360964383564</v>
      </c>
      <c r="M542" s="22">
        <f t="shared" si="42"/>
        <v>509</v>
      </c>
      <c r="N542" s="22" t="str">
        <f t="shared" si="43"/>
        <v>Low Value</v>
      </c>
      <c r="O542" s="22" t="str">
        <f t="shared" si="44"/>
        <v>Nov-2023</v>
      </c>
      <c r="P542" s="22" t="s">
        <v>1829</v>
      </c>
      <c r="Q542" s="22" t="s">
        <v>1536</v>
      </c>
      <c r="R542" s="22" t="s">
        <v>757</v>
      </c>
      <c r="S542" s="22"/>
      <c r="T542" s="22"/>
      <c r="V542" s="26" t="s">
        <v>1933</v>
      </c>
      <c r="W542" s="6">
        <v>1</v>
      </c>
    </row>
    <row r="543" spans="1:23">
      <c r="A543" t="s">
        <v>2478</v>
      </c>
      <c r="B543" s="8">
        <v>45695</v>
      </c>
      <c r="C543" t="s">
        <v>1500</v>
      </c>
      <c r="D543" t="s">
        <v>1678</v>
      </c>
      <c r="E543" t="s">
        <v>1859</v>
      </c>
      <c r="F543">
        <v>1</v>
      </c>
      <c r="G543" s="10">
        <v>878.84</v>
      </c>
      <c r="H543" s="13">
        <v>0.28000000000000003</v>
      </c>
      <c r="I543" t="s">
        <v>1936</v>
      </c>
      <c r="J543" s="16">
        <v>632.76480000000004</v>
      </c>
      <c r="K543" s="19">
        <f t="shared" si="40"/>
        <v>1570959.6800000006</v>
      </c>
      <c r="L543" s="22">
        <f t="shared" si="41"/>
        <v>1076.7372721041813</v>
      </c>
      <c r="M543" s="22">
        <f t="shared" si="42"/>
        <v>509</v>
      </c>
      <c r="N543" s="22" t="str">
        <f t="shared" si="43"/>
        <v>Low Value</v>
      </c>
      <c r="O543" s="22" t="str">
        <f t="shared" si="44"/>
        <v>Feb-2025</v>
      </c>
      <c r="P543" s="22" t="s">
        <v>1679</v>
      </c>
      <c r="Q543" s="22" t="s">
        <v>1531</v>
      </c>
      <c r="R543" s="22" t="s">
        <v>1501</v>
      </c>
      <c r="S543" s="22"/>
      <c r="T543" s="22"/>
      <c r="V543" s="25" t="s">
        <v>1254</v>
      </c>
      <c r="W543" s="6">
        <v>17</v>
      </c>
    </row>
    <row r="544" spans="1:23">
      <c r="A544" t="s">
        <v>2479</v>
      </c>
      <c r="B544" s="8">
        <v>45287</v>
      </c>
      <c r="C544" t="s">
        <v>664</v>
      </c>
      <c r="D544" t="s">
        <v>1684</v>
      </c>
      <c r="E544" t="s">
        <v>1911</v>
      </c>
      <c r="F544">
        <v>1</v>
      </c>
      <c r="G544" s="10">
        <v>442.36</v>
      </c>
      <c r="H544" s="13">
        <v>0.14000000000000001</v>
      </c>
      <c r="I544" t="s">
        <v>1931</v>
      </c>
      <c r="J544" s="16">
        <v>380.42959999999999</v>
      </c>
      <c r="K544" s="19">
        <f t="shared" si="40"/>
        <v>1570326.9152000004</v>
      </c>
      <c r="L544" s="22">
        <f t="shared" si="41"/>
        <v>1077.0417799725653</v>
      </c>
      <c r="M544" s="22">
        <f t="shared" si="42"/>
        <v>509</v>
      </c>
      <c r="N544" s="22" t="str">
        <f t="shared" si="43"/>
        <v>Low Value</v>
      </c>
      <c r="O544" s="22" t="str">
        <f t="shared" si="44"/>
        <v>Dec-2023</v>
      </c>
      <c r="P544" s="22" t="s">
        <v>1685</v>
      </c>
      <c r="Q544" s="22" t="s">
        <v>1569</v>
      </c>
      <c r="R544" s="22" t="s">
        <v>665</v>
      </c>
      <c r="S544" s="22"/>
      <c r="T544" s="22"/>
      <c r="V544" s="26" t="s">
        <v>1936</v>
      </c>
      <c r="W544" s="6">
        <v>3</v>
      </c>
    </row>
    <row r="545" spans="1:23">
      <c r="A545" t="s">
        <v>2480</v>
      </c>
      <c r="B545" s="8">
        <v>45711</v>
      </c>
      <c r="C545" t="s">
        <v>1043</v>
      </c>
      <c r="D545" t="s">
        <v>1655</v>
      </c>
      <c r="E545" t="s">
        <v>1883</v>
      </c>
      <c r="F545">
        <v>1</v>
      </c>
      <c r="G545" s="10">
        <v>763.34</v>
      </c>
      <c r="H545" s="13">
        <v>0.11</v>
      </c>
      <c r="I545" t="s">
        <v>1936</v>
      </c>
      <c r="J545" s="16">
        <v>679.37260000000003</v>
      </c>
      <c r="K545" s="19">
        <f t="shared" si="40"/>
        <v>1569946.4856000005</v>
      </c>
      <c r="L545" s="22">
        <f t="shared" si="41"/>
        <v>1077.5198940288267</v>
      </c>
      <c r="M545" s="22">
        <f t="shared" si="42"/>
        <v>509</v>
      </c>
      <c r="N545" s="22" t="str">
        <f t="shared" si="43"/>
        <v>Low Value</v>
      </c>
      <c r="O545" s="22" t="str">
        <f t="shared" si="44"/>
        <v>Feb-2025</v>
      </c>
      <c r="P545" s="22" t="s">
        <v>1656</v>
      </c>
      <c r="Q545" s="22" t="s">
        <v>1560</v>
      </c>
      <c r="R545" s="22" t="s">
        <v>1044</v>
      </c>
      <c r="S545" s="22"/>
      <c r="T545" s="22"/>
      <c r="V545" s="26" t="s">
        <v>1931</v>
      </c>
      <c r="W545" s="6">
        <v>10</v>
      </c>
    </row>
    <row r="546" spans="1:23">
      <c r="A546" t="s">
        <v>2481</v>
      </c>
      <c r="B546" s="8">
        <v>45842</v>
      </c>
      <c r="C546" t="s">
        <v>551</v>
      </c>
      <c r="D546" t="s">
        <v>1731</v>
      </c>
      <c r="E546" t="s">
        <v>1917</v>
      </c>
      <c r="F546">
        <v>3</v>
      </c>
      <c r="G546" s="10">
        <v>178.22</v>
      </c>
      <c r="H546" s="13">
        <v>0.15</v>
      </c>
      <c r="I546" t="s">
        <v>1936</v>
      </c>
      <c r="J546" s="16">
        <v>454.46100000000001</v>
      </c>
      <c r="K546" s="19">
        <f t="shared" si="40"/>
        <v>1569267.1130000004</v>
      </c>
      <c r="L546" s="22">
        <f t="shared" si="41"/>
        <v>1077.7933468406595</v>
      </c>
      <c r="M546" s="22">
        <f t="shared" si="42"/>
        <v>509</v>
      </c>
      <c r="N546" s="22" t="str">
        <f t="shared" si="43"/>
        <v>Low Value</v>
      </c>
      <c r="O546" s="22" t="str">
        <f t="shared" si="44"/>
        <v>Jul-2025</v>
      </c>
      <c r="P546" s="22" t="s">
        <v>1732</v>
      </c>
      <c r="Q546" s="22" t="s">
        <v>1555</v>
      </c>
      <c r="R546" s="22" t="s">
        <v>552</v>
      </c>
      <c r="S546" s="22"/>
      <c r="T546" s="22"/>
      <c r="V546" s="26" t="s">
        <v>1933</v>
      </c>
      <c r="W546" s="6">
        <v>4</v>
      </c>
    </row>
    <row r="547" spans="1:23">
      <c r="A547" t="s">
        <v>2482</v>
      </c>
      <c r="B547" s="8">
        <v>45255</v>
      </c>
      <c r="C547" t="s">
        <v>361</v>
      </c>
      <c r="D547" t="s">
        <v>1627</v>
      </c>
      <c r="E547" t="s">
        <v>1864</v>
      </c>
      <c r="F547">
        <v>4</v>
      </c>
      <c r="G547" s="10">
        <v>90.32</v>
      </c>
      <c r="H547" s="13">
        <v>0.08</v>
      </c>
      <c r="I547" t="s">
        <v>1933</v>
      </c>
      <c r="J547" s="16">
        <v>332.37759999999997</v>
      </c>
      <c r="K547" s="19">
        <f t="shared" si="40"/>
        <v>1568812.6520000002</v>
      </c>
      <c r="L547" s="22">
        <f t="shared" si="41"/>
        <v>1078.2217539518902</v>
      </c>
      <c r="M547" s="22">
        <f t="shared" si="42"/>
        <v>509</v>
      </c>
      <c r="N547" s="22" t="str">
        <f t="shared" si="43"/>
        <v>Low Value</v>
      </c>
      <c r="O547" s="22" t="str">
        <f t="shared" si="44"/>
        <v>Nov-2023</v>
      </c>
      <c r="P547" s="22" t="s">
        <v>1628</v>
      </c>
      <c r="Q547" s="22" t="s">
        <v>1531</v>
      </c>
      <c r="R547" s="22" t="s">
        <v>362</v>
      </c>
      <c r="S547" s="22"/>
      <c r="T547" s="22"/>
      <c r="V547" s="25" t="s">
        <v>374</v>
      </c>
      <c r="W547" s="6">
        <v>12</v>
      </c>
    </row>
    <row r="548" spans="1:23">
      <c r="A548" t="s">
        <v>2483</v>
      </c>
      <c r="B548" s="8">
        <v>45695</v>
      </c>
      <c r="C548" t="s">
        <v>1175</v>
      </c>
      <c r="D548" t="s">
        <v>1572</v>
      </c>
      <c r="E548" t="s">
        <v>1883</v>
      </c>
      <c r="F548">
        <v>3</v>
      </c>
      <c r="G548" s="10">
        <v>370.93</v>
      </c>
      <c r="H548" s="13">
        <v>0</v>
      </c>
      <c r="I548" t="s">
        <v>1931</v>
      </c>
      <c r="J548" s="16">
        <v>1112.79</v>
      </c>
      <c r="K548" s="19">
        <f t="shared" si="40"/>
        <v>1568480.2744000002</v>
      </c>
      <c r="L548" s="22">
        <f t="shared" si="41"/>
        <v>1078.7347141678131</v>
      </c>
      <c r="M548" s="22">
        <f t="shared" si="42"/>
        <v>508</v>
      </c>
      <c r="N548" s="22" t="str">
        <f t="shared" si="43"/>
        <v>High Value</v>
      </c>
      <c r="O548" s="22" t="str">
        <f t="shared" si="44"/>
        <v>Feb-2025</v>
      </c>
      <c r="P548" s="22" t="s">
        <v>1573</v>
      </c>
      <c r="Q548" s="22" t="s">
        <v>1560</v>
      </c>
      <c r="R548" s="22" t="s">
        <v>1176</v>
      </c>
      <c r="S548" s="22"/>
      <c r="T548" s="22"/>
      <c r="V548" s="26" t="s">
        <v>1936</v>
      </c>
      <c r="W548" s="6">
        <v>8</v>
      </c>
    </row>
    <row r="549" spans="1:23">
      <c r="A549" t="s">
        <v>2484</v>
      </c>
      <c r="B549" s="8">
        <v>45281</v>
      </c>
      <c r="C549" t="s">
        <v>176</v>
      </c>
      <c r="D549" t="s">
        <v>1617</v>
      </c>
      <c r="E549" t="s">
        <v>1908</v>
      </c>
      <c r="F549">
        <v>1</v>
      </c>
      <c r="G549" s="10">
        <v>352.43</v>
      </c>
      <c r="H549" s="13">
        <v>0.14000000000000001</v>
      </c>
      <c r="I549" t="s">
        <v>1933</v>
      </c>
      <c r="J549" s="16">
        <v>303.08980000000003</v>
      </c>
      <c r="K549" s="19">
        <f t="shared" si="40"/>
        <v>1567367.4844000002</v>
      </c>
      <c r="L549" s="22">
        <f t="shared" si="41"/>
        <v>1078.7112762560221</v>
      </c>
      <c r="M549" s="22">
        <f t="shared" si="42"/>
        <v>508</v>
      </c>
      <c r="N549" s="22" t="str">
        <f t="shared" si="43"/>
        <v>Low Value</v>
      </c>
      <c r="O549" s="22" t="str">
        <f t="shared" si="44"/>
        <v>Dec-2023</v>
      </c>
      <c r="P549" s="22" t="s">
        <v>1618</v>
      </c>
      <c r="Q549" s="22" t="s">
        <v>1536</v>
      </c>
      <c r="R549" s="22" t="s">
        <v>3945</v>
      </c>
      <c r="S549" s="22"/>
      <c r="T549" s="22"/>
      <c r="V549" s="26" t="s">
        <v>1931</v>
      </c>
      <c r="W549" s="6">
        <v>2</v>
      </c>
    </row>
    <row r="550" spans="1:23">
      <c r="A550" t="s">
        <v>2485</v>
      </c>
      <c r="B550" s="8">
        <v>45295</v>
      </c>
      <c r="C550" t="s">
        <v>421</v>
      </c>
      <c r="D550" t="s">
        <v>1579</v>
      </c>
      <c r="E550" t="s">
        <v>1908</v>
      </c>
      <c r="F550">
        <v>2</v>
      </c>
      <c r="G550" s="10">
        <v>562.97</v>
      </c>
      <c r="H550" s="13">
        <v>0.2</v>
      </c>
      <c r="I550" t="s">
        <v>1931</v>
      </c>
      <c r="J550" s="16">
        <v>900.75200000000007</v>
      </c>
      <c r="K550" s="19">
        <f t="shared" si="40"/>
        <v>1567064.3946000002</v>
      </c>
      <c r="L550" s="22">
        <f t="shared" si="41"/>
        <v>1079.2454508264464</v>
      </c>
      <c r="M550" s="22">
        <f t="shared" si="42"/>
        <v>507</v>
      </c>
      <c r="N550" s="22" t="str">
        <f t="shared" si="43"/>
        <v>Low Value</v>
      </c>
      <c r="O550" s="22" t="str">
        <f t="shared" si="44"/>
        <v>Jan-2024</v>
      </c>
      <c r="P550" s="22" t="s">
        <v>1580</v>
      </c>
      <c r="Q550" s="22" t="s">
        <v>1555</v>
      </c>
      <c r="R550" s="22" t="s">
        <v>422</v>
      </c>
      <c r="S550" s="22"/>
      <c r="T550" s="22"/>
      <c r="V550" s="26" t="s">
        <v>1933</v>
      </c>
      <c r="W550" s="6">
        <v>2</v>
      </c>
    </row>
    <row r="551" spans="1:23">
      <c r="A551" t="s">
        <v>2486</v>
      </c>
      <c r="B551" s="8">
        <v>45260</v>
      </c>
      <c r="C551" t="s">
        <v>524</v>
      </c>
      <c r="D551" t="s">
        <v>1719</v>
      </c>
      <c r="E551" t="s">
        <v>1886</v>
      </c>
      <c r="F551">
        <v>1</v>
      </c>
      <c r="G551" s="10">
        <v>522.85</v>
      </c>
      <c r="H551" s="13">
        <v>0.12</v>
      </c>
      <c r="I551" t="s">
        <v>1933</v>
      </c>
      <c r="J551" s="16">
        <v>460.108</v>
      </c>
      <c r="K551" s="19">
        <f t="shared" si="40"/>
        <v>1566163.6426000001</v>
      </c>
      <c r="L551" s="22">
        <f t="shared" si="41"/>
        <v>1079.3684649207444</v>
      </c>
      <c r="M551" s="22">
        <f t="shared" si="42"/>
        <v>507</v>
      </c>
      <c r="N551" s="22" t="str">
        <f t="shared" si="43"/>
        <v>Low Value</v>
      </c>
      <c r="O551" s="22" t="str">
        <f t="shared" si="44"/>
        <v>Nov-2023</v>
      </c>
      <c r="P551" s="22" t="s">
        <v>1720</v>
      </c>
      <c r="Q551" s="22" t="s">
        <v>1560</v>
      </c>
      <c r="R551" s="22" t="s">
        <v>525</v>
      </c>
      <c r="S551" s="22"/>
      <c r="T551" s="22"/>
      <c r="V551" s="25" t="s">
        <v>1185</v>
      </c>
      <c r="W551" s="6">
        <v>16</v>
      </c>
    </row>
    <row r="552" spans="1:23">
      <c r="A552" t="s">
        <v>2487</v>
      </c>
      <c r="B552" s="8">
        <v>45851</v>
      </c>
      <c r="C552" t="s">
        <v>1090</v>
      </c>
      <c r="D552" t="s">
        <v>1610</v>
      </c>
      <c r="E552" t="s">
        <v>1911</v>
      </c>
      <c r="F552">
        <v>4</v>
      </c>
      <c r="G552" s="10">
        <v>714.89</v>
      </c>
      <c r="H552" s="13">
        <v>0.15</v>
      </c>
      <c r="I552" t="s">
        <v>1931</v>
      </c>
      <c r="J552" s="16">
        <v>2430.6260000000002</v>
      </c>
      <c r="K552" s="19">
        <f t="shared" si="40"/>
        <v>1565703.5346000001</v>
      </c>
      <c r="L552" s="22">
        <f t="shared" si="41"/>
        <v>1079.7955411034484</v>
      </c>
      <c r="M552" s="22">
        <f t="shared" si="42"/>
        <v>506</v>
      </c>
      <c r="N552" s="22" t="str">
        <f t="shared" si="43"/>
        <v>High Value</v>
      </c>
      <c r="O552" s="22" t="str">
        <f t="shared" si="44"/>
        <v>Jul-2025</v>
      </c>
      <c r="P552" s="22" t="s">
        <v>1611</v>
      </c>
      <c r="Q552" s="22" t="s">
        <v>1560</v>
      </c>
      <c r="R552" s="22" t="s">
        <v>1091</v>
      </c>
      <c r="S552" s="22"/>
      <c r="T552" s="22"/>
      <c r="V552" s="26" t="s">
        <v>1936</v>
      </c>
      <c r="W552" s="6">
        <v>8</v>
      </c>
    </row>
    <row r="553" spans="1:23">
      <c r="A553" t="s">
        <v>2488</v>
      </c>
      <c r="B553" s="8">
        <v>45222</v>
      </c>
      <c r="C553" t="s">
        <v>614</v>
      </c>
      <c r="D553" t="s">
        <v>1681</v>
      </c>
      <c r="E553" t="s">
        <v>1868</v>
      </c>
      <c r="F553">
        <v>3</v>
      </c>
      <c r="G553" s="10">
        <v>137.77000000000001</v>
      </c>
      <c r="H553" s="13">
        <v>0.26</v>
      </c>
      <c r="I553" t="s">
        <v>1933</v>
      </c>
      <c r="J553" s="16">
        <v>305.84940000000012</v>
      </c>
      <c r="K553" s="19">
        <f t="shared" si="40"/>
        <v>1563272.9086000002</v>
      </c>
      <c r="L553" s="22">
        <f t="shared" si="41"/>
        <v>1078.8632909592825</v>
      </c>
      <c r="M553" s="22">
        <f t="shared" si="42"/>
        <v>506</v>
      </c>
      <c r="N553" s="22" t="str">
        <f t="shared" si="43"/>
        <v>Low Value</v>
      </c>
      <c r="O553" s="22" t="str">
        <f t="shared" si="44"/>
        <v>Oct-2023</v>
      </c>
      <c r="P553" s="22" t="s">
        <v>1682</v>
      </c>
      <c r="Q553" s="22" t="s">
        <v>1531</v>
      </c>
      <c r="R553" s="22" t="s">
        <v>615</v>
      </c>
      <c r="S553" s="22"/>
      <c r="T553" s="22"/>
      <c r="V553" s="26" t="s">
        <v>1931</v>
      </c>
      <c r="W553" s="6">
        <v>1</v>
      </c>
    </row>
    <row r="554" spans="1:23">
      <c r="A554" t="s">
        <v>2489</v>
      </c>
      <c r="B554" s="8">
        <v>45940</v>
      </c>
      <c r="C554" t="s">
        <v>114</v>
      </c>
      <c r="D554" t="s">
        <v>1831</v>
      </c>
      <c r="E554" t="s">
        <v>1899</v>
      </c>
      <c r="F554">
        <v>3</v>
      </c>
      <c r="G554" s="10">
        <v>862.18</v>
      </c>
      <c r="H554" s="13">
        <v>0.22</v>
      </c>
      <c r="I554" t="s">
        <v>1933</v>
      </c>
      <c r="J554" s="16">
        <v>2017.5011999999999</v>
      </c>
      <c r="K554" s="19">
        <f t="shared" si="40"/>
        <v>1562967.0592</v>
      </c>
      <c r="L554" s="22">
        <f t="shared" si="41"/>
        <v>1079.3971403314918</v>
      </c>
      <c r="M554" s="22">
        <f t="shared" si="42"/>
        <v>505</v>
      </c>
      <c r="N554" s="22" t="str">
        <f t="shared" si="43"/>
        <v>High Value</v>
      </c>
      <c r="O554" s="22" t="str">
        <f t="shared" si="44"/>
        <v>Oct-2025</v>
      </c>
      <c r="P554" s="22" t="s">
        <v>1832</v>
      </c>
      <c r="Q554" s="22" t="s">
        <v>1560</v>
      </c>
      <c r="R554" s="22" t="s">
        <v>115</v>
      </c>
      <c r="S554" s="22"/>
      <c r="T554" s="22"/>
      <c r="V554" s="26" t="s">
        <v>1933</v>
      </c>
      <c r="W554" s="6">
        <v>7</v>
      </c>
    </row>
    <row r="555" spans="1:23">
      <c r="A555" t="s">
        <v>2490</v>
      </c>
      <c r="B555" s="8">
        <v>45822</v>
      </c>
      <c r="C555" t="s">
        <v>211</v>
      </c>
      <c r="D555" t="s">
        <v>1665</v>
      </c>
      <c r="E555" t="s">
        <v>1906</v>
      </c>
      <c r="F555">
        <v>2</v>
      </c>
      <c r="G555" s="10">
        <v>833.64</v>
      </c>
      <c r="H555" s="13">
        <v>0.24</v>
      </c>
      <c r="I555" t="s">
        <v>1933</v>
      </c>
      <c r="J555" s="16">
        <v>1267.1328000000001</v>
      </c>
      <c r="K555" s="19">
        <f t="shared" si="40"/>
        <v>1560949.558</v>
      </c>
      <c r="L555" s="22">
        <f t="shared" si="41"/>
        <v>1078.7488306841742</v>
      </c>
      <c r="M555" s="22">
        <f t="shared" si="42"/>
        <v>504</v>
      </c>
      <c r="N555" s="22" t="str">
        <f t="shared" si="43"/>
        <v>High Value</v>
      </c>
      <c r="O555" s="22" t="str">
        <f t="shared" si="44"/>
        <v>Jun-2025</v>
      </c>
      <c r="P555" s="22" t="s">
        <v>1666</v>
      </c>
      <c r="Q555" s="22" t="s">
        <v>1569</v>
      </c>
      <c r="R555" s="22" t="s">
        <v>212</v>
      </c>
      <c r="S555" s="22"/>
      <c r="T555" s="22"/>
      <c r="V555" s="25" t="s">
        <v>422</v>
      </c>
      <c r="W555" s="6">
        <v>9</v>
      </c>
    </row>
    <row r="556" spans="1:23">
      <c r="A556" t="s">
        <v>2491</v>
      </c>
      <c r="B556" s="8">
        <v>45752</v>
      </c>
      <c r="C556" t="s">
        <v>860</v>
      </c>
      <c r="D556" t="s">
        <v>1603</v>
      </c>
      <c r="E556" t="s">
        <v>1908</v>
      </c>
      <c r="F556">
        <v>3</v>
      </c>
      <c r="G556" s="10">
        <v>543.22</v>
      </c>
      <c r="H556" s="13">
        <v>0.05</v>
      </c>
      <c r="I556" t="s">
        <v>1936</v>
      </c>
      <c r="J556" s="16">
        <v>1548.1769999999999</v>
      </c>
      <c r="K556" s="19">
        <f t="shared" si="40"/>
        <v>1559682.4251999999</v>
      </c>
      <c r="L556" s="22">
        <f t="shared" si="41"/>
        <v>1078.6185513139694</v>
      </c>
      <c r="M556" s="22">
        <f t="shared" si="42"/>
        <v>503</v>
      </c>
      <c r="N556" s="22" t="str">
        <f t="shared" si="43"/>
        <v>High Value</v>
      </c>
      <c r="O556" s="22" t="str">
        <f t="shared" si="44"/>
        <v>Apr-2025</v>
      </c>
      <c r="P556" s="22" t="s">
        <v>1604</v>
      </c>
      <c r="Q556" s="22" t="s">
        <v>1569</v>
      </c>
      <c r="R556" s="22" t="s">
        <v>861</v>
      </c>
      <c r="S556" s="22"/>
      <c r="T556" s="22"/>
      <c r="V556" s="26" t="s">
        <v>1931</v>
      </c>
      <c r="W556" s="6">
        <v>7</v>
      </c>
    </row>
    <row r="557" spans="1:23">
      <c r="A557" t="s">
        <v>2492</v>
      </c>
      <c r="B557" s="8">
        <v>45677</v>
      </c>
      <c r="C557" t="s">
        <v>883</v>
      </c>
      <c r="D557" t="s">
        <v>1819</v>
      </c>
      <c r="E557" t="s">
        <v>1868</v>
      </c>
      <c r="F557">
        <v>3</v>
      </c>
      <c r="G557" s="10">
        <v>691.02</v>
      </c>
      <c r="H557" s="13">
        <v>0.12</v>
      </c>
      <c r="I557" t="s">
        <v>1936</v>
      </c>
      <c r="J557" s="16">
        <v>1824.2927999999999</v>
      </c>
      <c r="K557" s="19">
        <f t="shared" si="40"/>
        <v>1558134.2482</v>
      </c>
      <c r="L557" s="22">
        <f t="shared" si="41"/>
        <v>1078.2935973702422</v>
      </c>
      <c r="M557" s="22">
        <f t="shared" si="42"/>
        <v>503</v>
      </c>
      <c r="N557" s="22" t="str">
        <f t="shared" si="43"/>
        <v>High Value</v>
      </c>
      <c r="O557" s="22" t="str">
        <f t="shared" si="44"/>
        <v>Jan-2025</v>
      </c>
      <c r="P557" s="22" t="s">
        <v>1820</v>
      </c>
      <c r="Q557" s="22" t="s">
        <v>1569</v>
      </c>
      <c r="R557" s="22" t="s">
        <v>884</v>
      </c>
      <c r="S557" s="22"/>
      <c r="T557" s="22"/>
      <c r="V557" s="26" t="s">
        <v>1933</v>
      </c>
      <c r="W557" s="6">
        <v>2</v>
      </c>
    </row>
    <row r="558" spans="1:23">
      <c r="A558" t="s">
        <v>2493</v>
      </c>
      <c r="B558" s="8">
        <v>45253</v>
      </c>
      <c r="C558" t="s">
        <v>310</v>
      </c>
      <c r="D558" t="s">
        <v>1813</v>
      </c>
      <c r="E558" t="s">
        <v>1914</v>
      </c>
      <c r="F558">
        <v>4</v>
      </c>
      <c r="G558" s="10">
        <v>338.73</v>
      </c>
      <c r="H558" s="13">
        <v>0.18</v>
      </c>
      <c r="I558" t="s">
        <v>1931</v>
      </c>
      <c r="J558" s="16">
        <v>1111.0344</v>
      </c>
      <c r="K558" s="19">
        <f t="shared" si="40"/>
        <v>1556309.9554000001</v>
      </c>
      <c r="L558" s="22">
        <f t="shared" si="41"/>
        <v>1077.7769774238227</v>
      </c>
      <c r="M558" s="22">
        <f t="shared" si="42"/>
        <v>503</v>
      </c>
      <c r="N558" s="22" t="str">
        <f t="shared" si="43"/>
        <v>High Value</v>
      </c>
      <c r="O558" s="22" t="str">
        <f t="shared" si="44"/>
        <v>Nov-2023</v>
      </c>
      <c r="P558" s="22" t="s">
        <v>1814</v>
      </c>
      <c r="Q558" s="22" t="s">
        <v>1560</v>
      </c>
      <c r="R558" s="22" t="s">
        <v>3947</v>
      </c>
      <c r="S558" s="22"/>
      <c r="T558" s="22"/>
      <c r="V558" s="25" t="s">
        <v>597</v>
      </c>
      <c r="W558" s="6">
        <v>12</v>
      </c>
    </row>
    <row r="559" spans="1:23">
      <c r="A559" t="s">
        <v>2494</v>
      </c>
      <c r="B559" s="8">
        <v>45389</v>
      </c>
      <c r="C559" t="s">
        <v>227</v>
      </c>
      <c r="D559" t="s">
        <v>1807</v>
      </c>
      <c r="E559" t="s">
        <v>1911</v>
      </c>
      <c r="F559">
        <v>3</v>
      </c>
      <c r="G559" s="10">
        <v>366.08</v>
      </c>
      <c r="H559" s="13">
        <v>0.05</v>
      </c>
      <c r="I559" t="s">
        <v>1931</v>
      </c>
      <c r="J559" s="16">
        <v>1043.328</v>
      </c>
      <c r="K559" s="19">
        <f t="shared" si="40"/>
        <v>1555198.9210000001</v>
      </c>
      <c r="L559" s="22">
        <f t="shared" si="41"/>
        <v>1077.75393000693</v>
      </c>
      <c r="M559" s="22">
        <f t="shared" si="42"/>
        <v>503</v>
      </c>
      <c r="N559" s="22" t="str">
        <f t="shared" si="43"/>
        <v>High Value</v>
      </c>
      <c r="O559" s="22" t="str">
        <f t="shared" si="44"/>
        <v>Apr-2024</v>
      </c>
      <c r="P559" s="22" t="s">
        <v>1808</v>
      </c>
      <c r="Q559" s="22" t="s">
        <v>1560</v>
      </c>
      <c r="R559" s="22" t="s">
        <v>228</v>
      </c>
      <c r="S559" s="22"/>
      <c r="T559" s="22"/>
      <c r="V559" s="26" t="s">
        <v>1936</v>
      </c>
      <c r="W559" s="6">
        <v>8</v>
      </c>
    </row>
    <row r="560" spans="1:23">
      <c r="A560" t="s">
        <v>2495</v>
      </c>
      <c r="B560" s="8">
        <v>45840</v>
      </c>
      <c r="C560" t="s">
        <v>367</v>
      </c>
      <c r="D560" t="s">
        <v>1583</v>
      </c>
      <c r="E560" t="s">
        <v>1904</v>
      </c>
      <c r="F560">
        <v>4</v>
      </c>
      <c r="G560" s="10">
        <v>539.48</v>
      </c>
      <c r="H560" s="13">
        <v>0.28000000000000003</v>
      </c>
      <c r="I560" t="s">
        <v>1936</v>
      </c>
      <c r="J560" s="16">
        <v>1553.7023999999999</v>
      </c>
      <c r="K560" s="19">
        <f t="shared" si="40"/>
        <v>1554155.5929999999</v>
      </c>
      <c r="L560" s="22">
        <f t="shared" si="41"/>
        <v>1077.7778037447988</v>
      </c>
      <c r="M560" s="22">
        <f t="shared" si="42"/>
        <v>503</v>
      </c>
      <c r="N560" s="22" t="str">
        <f t="shared" si="43"/>
        <v>High Value</v>
      </c>
      <c r="O560" s="22" t="str">
        <f t="shared" si="44"/>
        <v>Jul-2025</v>
      </c>
      <c r="P560" s="22" t="s">
        <v>1584</v>
      </c>
      <c r="Q560" s="22" t="s">
        <v>1531</v>
      </c>
      <c r="R560" s="22" t="s">
        <v>368</v>
      </c>
      <c r="S560" s="22"/>
      <c r="T560" s="22"/>
      <c r="V560" s="26" t="s">
        <v>1931</v>
      </c>
      <c r="W560" s="6">
        <v>4</v>
      </c>
    </row>
    <row r="561" spans="1:23">
      <c r="A561" t="s">
        <v>2496</v>
      </c>
      <c r="B561" s="8">
        <v>45256</v>
      </c>
      <c r="C561" t="s">
        <v>1208</v>
      </c>
      <c r="D561" t="s">
        <v>1828</v>
      </c>
      <c r="E561" t="s">
        <v>1911</v>
      </c>
      <c r="F561">
        <v>1</v>
      </c>
      <c r="G561" s="10">
        <v>499.59</v>
      </c>
      <c r="H561" s="13">
        <v>0.03</v>
      </c>
      <c r="I561" t="s">
        <v>1936</v>
      </c>
      <c r="J561" s="16">
        <v>484.60230000000001</v>
      </c>
      <c r="K561" s="19">
        <f t="shared" si="40"/>
        <v>1552601.8905999998</v>
      </c>
      <c r="L561" s="22">
        <f t="shared" si="41"/>
        <v>1077.4475299097846</v>
      </c>
      <c r="M561" s="22">
        <f t="shared" si="42"/>
        <v>503</v>
      </c>
      <c r="N561" s="22" t="str">
        <f t="shared" si="43"/>
        <v>Low Value</v>
      </c>
      <c r="O561" s="22" t="str">
        <f t="shared" si="44"/>
        <v>Nov-2023</v>
      </c>
      <c r="P561" s="22" t="s">
        <v>1829</v>
      </c>
      <c r="Q561" s="22" t="s">
        <v>1536</v>
      </c>
      <c r="R561" s="22" t="s">
        <v>1209</v>
      </c>
      <c r="S561" s="22"/>
      <c r="T561" s="22"/>
      <c r="V561" s="25" t="s">
        <v>14</v>
      </c>
      <c r="W561" s="6">
        <v>5</v>
      </c>
    </row>
    <row r="562" spans="1:23">
      <c r="A562" t="s">
        <v>2497</v>
      </c>
      <c r="B562" s="8">
        <v>45326</v>
      </c>
      <c r="C562" t="s">
        <v>617</v>
      </c>
      <c r="D562" t="s">
        <v>1639</v>
      </c>
      <c r="E562" t="s">
        <v>1889</v>
      </c>
      <c r="F562">
        <v>3</v>
      </c>
      <c r="G562" s="10">
        <v>330.04</v>
      </c>
      <c r="H562" s="13">
        <v>0.2</v>
      </c>
      <c r="I562" t="s">
        <v>1931</v>
      </c>
      <c r="J562" s="16">
        <v>792.09600000000012</v>
      </c>
      <c r="K562" s="19">
        <f t="shared" si="40"/>
        <v>1552117.2882999999</v>
      </c>
      <c r="L562" s="22">
        <f t="shared" si="41"/>
        <v>1077.8592279861111</v>
      </c>
      <c r="M562" s="22">
        <f t="shared" si="42"/>
        <v>503</v>
      </c>
      <c r="N562" s="22" t="str">
        <f t="shared" si="43"/>
        <v>Low Value</v>
      </c>
      <c r="O562" s="22" t="str">
        <f t="shared" si="44"/>
        <v>Feb-2024</v>
      </c>
      <c r="P562" s="22" t="s">
        <v>1640</v>
      </c>
      <c r="Q562" s="22" t="s">
        <v>1560</v>
      </c>
      <c r="R562" s="22" t="s">
        <v>618</v>
      </c>
      <c r="S562" s="22"/>
      <c r="T562" s="22"/>
      <c r="V562" s="26" t="s">
        <v>1936</v>
      </c>
      <c r="W562" s="6">
        <v>4</v>
      </c>
    </row>
    <row r="563" spans="1:23">
      <c r="A563" t="s">
        <v>2498</v>
      </c>
      <c r="B563" s="8">
        <v>45459</v>
      </c>
      <c r="C563" t="s">
        <v>599</v>
      </c>
      <c r="D563" t="s">
        <v>1576</v>
      </c>
      <c r="E563" t="s">
        <v>1914</v>
      </c>
      <c r="F563">
        <v>2</v>
      </c>
      <c r="G563" s="10">
        <v>813.01</v>
      </c>
      <c r="H563" s="13">
        <v>0.06</v>
      </c>
      <c r="I563" t="s">
        <v>1933</v>
      </c>
      <c r="J563" s="16">
        <v>1528.4588000000001</v>
      </c>
      <c r="K563" s="19">
        <f t="shared" si="40"/>
        <v>1551325.1922999998</v>
      </c>
      <c r="L563" s="22">
        <f t="shared" si="41"/>
        <v>1078.0578125781792</v>
      </c>
      <c r="M563" s="22">
        <f t="shared" si="42"/>
        <v>503</v>
      </c>
      <c r="N563" s="22" t="str">
        <f t="shared" si="43"/>
        <v>High Value</v>
      </c>
      <c r="O563" s="22" t="str">
        <f t="shared" si="44"/>
        <v>Jun-2024</v>
      </c>
      <c r="P563" s="22" t="s">
        <v>1577</v>
      </c>
      <c r="Q563" s="22" t="s">
        <v>1531</v>
      </c>
      <c r="R563" s="22" t="s">
        <v>600</v>
      </c>
      <c r="S563" s="22"/>
      <c r="T563" s="22"/>
      <c r="V563" s="26" t="s">
        <v>1933</v>
      </c>
      <c r="W563" s="6">
        <v>1</v>
      </c>
    </row>
    <row r="564" spans="1:23">
      <c r="A564" t="s">
        <v>2499</v>
      </c>
      <c r="B564" s="8">
        <v>45715</v>
      </c>
      <c r="C564" t="s">
        <v>110</v>
      </c>
      <c r="D564" t="s">
        <v>1534</v>
      </c>
      <c r="E564" t="s">
        <v>1868</v>
      </c>
      <c r="F564">
        <v>4</v>
      </c>
      <c r="G564" s="10">
        <v>204.8</v>
      </c>
      <c r="H564" s="13">
        <v>0.03</v>
      </c>
      <c r="I564" t="s">
        <v>1933</v>
      </c>
      <c r="J564" s="16">
        <v>794.62400000000002</v>
      </c>
      <c r="K564" s="19">
        <f t="shared" si="40"/>
        <v>1549796.7334999996</v>
      </c>
      <c r="L564" s="22">
        <f t="shared" si="41"/>
        <v>1077.7445990959664</v>
      </c>
      <c r="M564" s="22">
        <f t="shared" si="42"/>
        <v>502</v>
      </c>
      <c r="N564" s="22" t="str">
        <f t="shared" si="43"/>
        <v>Low Value</v>
      </c>
      <c r="O564" s="22" t="str">
        <f t="shared" si="44"/>
        <v>Feb-2025</v>
      </c>
      <c r="P564" s="22" t="s">
        <v>1535</v>
      </c>
      <c r="Q564" s="22" t="s">
        <v>1536</v>
      </c>
      <c r="R564" s="22" t="s">
        <v>111</v>
      </c>
      <c r="S564" s="22"/>
      <c r="T564" s="22"/>
      <c r="V564" s="25" t="s">
        <v>1077</v>
      </c>
      <c r="W564" s="6">
        <v>10</v>
      </c>
    </row>
    <row r="565" spans="1:23">
      <c r="A565" t="s">
        <v>2500</v>
      </c>
      <c r="B565" s="8">
        <v>45223</v>
      </c>
      <c r="C565" t="s">
        <v>55</v>
      </c>
      <c r="D565" t="s">
        <v>2033</v>
      </c>
      <c r="E565" t="s">
        <v>1873</v>
      </c>
      <c r="F565">
        <v>3</v>
      </c>
      <c r="G565" s="10">
        <v>728.32</v>
      </c>
      <c r="H565" s="13">
        <v>0.01</v>
      </c>
      <c r="I565" t="s">
        <v>1931</v>
      </c>
      <c r="J565" s="16">
        <v>2163.1104</v>
      </c>
      <c r="K565" s="19">
        <f t="shared" si="40"/>
        <v>1549002.1094999998</v>
      </c>
      <c r="L565" s="22">
        <f t="shared" si="41"/>
        <v>1077.9416210855948</v>
      </c>
      <c r="M565" s="22">
        <f t="shared" si="42"/>
        <v>501</v>
      </c>
      <c r="N565" s="22" t="str">
        <f t="shared" si="43"/>
        <v>High Value</v>
      </c>
      <c r="O565" s="22" t="str">
        <f t="shared" si="44"/>
        <v>Oct-2023</v>
      </c>
      <c r="P565" s="22" t="s">
        <v>1543</v>
      </c>
      <c r="Q565" s="22" t="s">
        <v>1536</v>
      </c>
      <c r="R565" s="22" t="s">
        <v>56</v>
      </c>
      <c r="S565" s="22"/>
      <c r="T565" s="22"/>
      <c r="V565" s="26" t="s">
        <v>1936</v>
      </c>
      <c r="W565" s="6">
        <v>3</v>
      </c>
    </row>
    <row r="566" spans="1:23">
      <c r="A566" t="s">
        <v>2501</v>
      </c>
      <c r="B566" s="8">
        <v>45507</v>
      </c>
      <c r="C566" t="s">
        <v>1388</v>
      </c>
      <c r="D566" t="s">
        <v>1731</v>
      </c>
      <c r="E566" t="s">
        <v>1886</v>
      </c>
      <c r="F566">
        <v>3</v>
      </c>
      <c r="G566" s="10">
        <v>836.4</v>
      </c>
      <c r="H566" s="13">
        <v>0</v>
      </c>
      <c r="I566" t="s">
        <v>1931</v>
      </c>
      <c r="J566" s="16">
        <v>2509.1999999999998</v>
      </c>
      <c r="K566" s="19">
        <f t="shared" si="40"/>
        <v>1546838.9990999997</v>
      </c>
      <c r="L566" s="22">
        <f t="shared" si="41"/>
        <v>1077.1859325208911</v>
      </c>
      <c r="M566" s="22">
        <f t="shared" si="42"/>
        <v>501</v>
      </c>
      <c r="N566" s="22" t="str">
        <f t="shared" si="43"/>
        <v>High Value</v>
      </c>
      <c r="O566" s="22" t="str">
        <f t="shared" si="44"/>
        <v>Aug-2024</v>
      </c>
      <c r="P566" s="22" t="s">
        <v>1732</v>
      </c>
      <c r="Q566" s="22" t="s">
        <v>1555</v>
      </c>
      <c r="R566" s="22" t="s">
        <v>1389</v>
      </c>
      <c r="S566" s="22"/>
      <c r="T566" s="22"/>
      <c r="V566" s="26" t="s">
        <v>1931</v>
      </c>
      <c r="W566" s="6">
        <v>5</v>
      </c>
    </row>
    <row r="567" spans="1:23">
      <c r="A567" t="s">
        <v>2502</v>
      </c>
      <c r="B567" s="8">
        <v>45843</v>
      </c>
      <c r="C567" t="s">
        <v>500</v>
      </c>
      <c r="D567" t="s">
        <v>1825</v>
      </c>
      <c r="E567" t="s">
        <v>1901</v>
      </c>
      <c r="F567">
        <v>1</v>
      </c>
      <c r="G567" s="10">
        <v>780.16</v>
      </c>
      <c r="H567" s="13">
        <v>0.02</v>
      </c>
      <c r="I567" t="s">
        <v>1936</v>
      </c>
      <c r="J567" s="16">
        <v>764.55679999999995</v>
      </c>
      <c r="K567" s="19">
        <f t="shared" si="40"/>
        <v>1544329.7990999995</v>
      </c>
      <c r="L567" s="22">
        <f t="shared" si="41"/>
        <v>1076.1880133101042</v>
      </c>
      <c r="M567" s="22">
        <f t="shared" si="42"/>
        <v>501</v>
      </c>
      <c r="N567" s="22" t="str">
        <f t="shared" si="43"/>
        <v>Low Value</v>
      </c>
      <c r="O567" s="22" t="str">
        <f t="shared" si="44"/>
        <v>Jul-2025</v>
      </c>
      <c r="P567" s="22" t="s">
        <v>1826</v>
      </c>
      <c r="Q567" s="22" t="s">
        <v>1531</v>
      </c>
      <c r="R567" s="22" t="s">
        <v>501</v>
      </c>
      <c r="S567" s="22"/>
      <c r="T567" s="22"/>
      <c r="V567" s="26" t="s">
        <v>1933</v>
      </c>
      <c r="W567" s="6">
        <v>2</v>
      </c>
    </row>
    <row r="568" spans="1:23">
      <c r="A568" t="s">
        <v>2503</v>
      </c>
      <c r="B568" s="8">
        <v>45804</v>
      </c>
      <c r="C568" t="s">
        <v>1439</v>
      </c>
      <c r="D568" t="s">
        <v>1690</v>
      </c>
      <c r="E568" t="s">
        <v>1904</v>
      </c>
      <c r="F568">
        <v>4</v>
      </c>
      <c r="G568" s="10">
        <v>354.12</v>
      </c>
      <c r="H568" s="13">
        <v>0.06</v>
      </c>
      <c r="I568" t="s">
        <v>1933</v>
      </c>
      <c r="J568" s="16">
        <v>1331.4911999999999</v>
      </c>
      <c r="K568" s="19">
        <f t="shared" si="40"/>
        <v>1543565.2422999993</v>
      </c>
      <c r="L568" s="22">
        <f t="shared" si="41"/>
        <v>1076.4053293584375</v>
      </c>
      <c r="M568" s="22">
        <f t="shared" si="42"/>
        <v>501</v>
      </c>
      <c r="N568" s="22" t="str">
        <f t="shared" si="43"/>
        <v>High Value</v>
      </c>
      <c r="O568" s="22" t="str">
        <f t="shared" si="44"/>
        <v>May-2025</v>
      </c>
      <c r="P568" s="22" t="s">
        <v>1691</v>
      </c>
      <c r="Q568" s="22" t="s">
        <v>1536</v>
      </c>
      <c r="R568" s="22" t="s">
        <v>1440</v>
      </c>
      <c r="S568" s="22"/>
      <c r="T568" s="22"/>
      <c r="V568" s="25" t="s">
        <v>1176</v>
      </c>
      <c r="W568" s="6">
        <v>15</v>
      </c>
    </row>
    <row r="569" spans="1:23">
      <c r="A569" t="s">
        <v>2504</v>
      </c>
      <c r="B569" s="8">
        <v>45602</v>
      </c>
      <c r="C569" t="s">
        <v>1388</v>
      </c>
      <c r="D569" t="s">
        <v>1743</v>
      </c>
      <c r="E569" t="s">
        <v>1868</v>
      </c>
      <c r="F569">
        <v>4</v>
      </c>
      <c r="G569" s="10">
        <v>282.48</v>
      </c>
      <c r="H569" s="13">
        <v>0.11</v>
      </c>
      <c r="I569" t="s">
        <v>1933</v>
      </c>
      <c r="J569" s="16">
        <v>1005.6288</v>
      </c>
      <c r="K569" s="19">
        <f t="shared" si="40"/>
        <v>1542233.7510999995</v>
      </c>
      <c r="L569" s="22">
        <f t="shared" si="41"/>
        <v>1076.2273210746682</v>
      </c>
      <c r="M569" s="22">
        <f t="shared" si="42"/>
        <v>500</v>
      </c>
      <c r="N569" s="22" t="str">
        <f t="shared" si="43"/>
        <v>High Value</v>
      </c>
      <c r="O569" s="22" t="str">
        <f t="shared" si="44"/>
        <v>Nov-2024</v>
      </c>
      <c r="P569" s="22" t="s">
        <v>1744</v>
      </c>
      <c r="Q569" s="22" t="s">
        <v>1555</v>
      </c>
      <c r="R569" s="22" t="s">
        <v>1389</v>
      </c>
      <c r="S569" s="22"/>
      <c r="T569" s="22"/>
      <c r="V569" s="26" t="s">
        <v>1936</v>
      </c>
      <c r="W569" s="6">
        <v>5</v>
      </c>
    </row>
    <row r="570" spans="1:23">
      <c r="A570" t="s">
        <v>2505</v>
      </c>
      <c r="B570" s="8">
        <v>45446</v>
      </c>
      <c r="C570" t="s">
        <v>1028</v>
      </c>
      <c r="D570" t="s">
        <v>1607</v>
      </c>
      <c r="E570" t="s">
        <v>1883</v>
      </c>
      <c r="F570">
        <v>2</v>
      </c>
      <c r="G570" s="10">
        <v>740.68</v>
      </c>
      <c r="H570" s="13">
        <v>0.02</v>
      </c>
      <c r="I570" t="s">
        <v>1933</v>
      </c>
      <c r="J570" s="16">
        <v>1451.7328</v>
      </c>
      <c r="K570" s="19">
        <f t="shared" si="40"/>
        <v>1541228.1222999995</v>
      </c>
      <c r="L570" s="22">
        <f t="shared" si="41"/>
        <v>1076.2766217178767</v>
      </c>
      <c r="M570" s="22">
        <f t="shared" si="42"/>
        <v>499</v>
      </c>
      <c r="N570" s="22" t="str">
        <f t="shared" si="43"/>
        <v>High Value</v>
      </c>
      <c r="O570" s="22" t="str">
        <f t="shared" si="44"/>
        <v>Jun-2024</v>
      </c>
      <c r="P570" s="22" t="s">
        <v>1608</v>
      </c>
      <c r="Q570" s="22" t="s">
        <v>1569</v>
      </c>
      <c r="R570" s="22" t="s">
        <v>1029</v>
      </c>
      <c r="S570" s="22"/>
      <c r="T570" s="22"/>
      <c r="V570" s="26" t="s">
        <v>1931</v>
      </c>
      <c r="W570" s="6">
        <v>8</v>
      </c>
    </row>
    <row r="571" spans="1:23">
      <c r="A571" t="s">
        <v>2506</v>
      </c>
      <c r="B571" s="8">
        <v>45384</v>
      </c>
      <c r="C571" t="s">
        <v>367</v>
      </c>
      <c r="D571" t="s">
        <v>1722</v>
      </c>
      <c r="E571" t="s">
        <v>1893</v>
      </c>
      <c r="F571">
        <v>3</v>
      </c>
      <c r="G571" s="10">
        <v>600.58000000000004</v>
      </c>
      <c r="H571" s="13">
        <v>0.28999999999999998</v>
      </c>
      <c r="I571" t="s">
        <v>1936</v>
      </c>
      <c r="J571" s="16">
        <v>1279.2354</v>
      </c>
      <c r="K571" s="19">
        <f t="shared" si="40"/>
        <v>1539776.3894999993</v>
      </c>
      <c r="L571" s="22">
        <f t="shared" si="41"/>
        <v>1076.0142484276726</v>
      </c>
      <c r="M571" s="22">
        <f t="shared" si="42"/>
        <v>498</v>
      </c>
      <c r="N571" s="22" t="str">
        <f t="shared" si="43"/>
        <v>High Value</v>
      </c>
      <c r="O571" s="22" t="str">
        <f t="shared" si="44"/>
        <v>Apr-2024</v>
      </c>
      <c r="P571" s="22" t="s">
        <v>1723</v>
      </c>
      <c r="Q571" s="22" t="s">
        <v>1560</v>
      </c>
      <c r="R571" s="22" t="s">
        <v>368</v>
      </c>
      <c r="S571" s="22"/>
      <c r="T571" s="22"/>
      <c r="V571" s="26" t="s">
        <v>1933</v>
      </c>
      <c r="W571" s="6">
        <v>2</v>
      </c>
    </row>
    <row r="572" spans="1:23">
      <c r="A572" t="s">
        <v>2507</v>
      </c>
      <c r="B572" s="8">
        <v>45348</v>
      </c>
      <c r="C572" t="s">
        <v>1413</v>
      </c>
      <c r="D572" t="s">
        <v>1749</v>
      </c>
      <c r="E572" t="s">
        <v>1873</v>
      </c>
      <c r="F572">
        <v>3</v>
      </c>
      <c r="G572" s="10">
        <v>345.58</v>
      </c>
      <c r="H572" s="13">
        <v>0.22</v>
      </c>
      <c r="I572" t="s">
        <v>1931</v>
      </c>
      <c r="J572" s="16">
        <v>808.65719999999999</v>
      </c>
      <c r="K572" s="19">
        <f t="shared" si="40"/>
        <v>1538497.154099999</v>
      </c>
      <c r="L572" s="22">
        <f t="shared" si="41"/>
        <v>1075.8721357342649</v>
      </c>
      <c r="M572" s="22">
        <f t="shared" si="42"/>
        <v>498</v>
      </c>
      <c r="N572" s="22" t="str">
        <f t="shared" si="43"/>
        <v>Low Value</v>
      </c>
      <c r="O572" s="22" t="str">
        <f t="shared" si="44"/>
        <v>Feb-2024</v>
      </c>
      <c r="P572" s="22" t="s">
        <v>1750</v>
      </c>
      <c r="Q572" s="22" t="s">
        <v>1569</v>
      </c>
      <c r="R572" s="22" t="s">
        <v>1414</v>
      </c>
      <c r="S572" s="22"/>
      <c r="T572" s="22"/>
      <c r="V572" s="25" t="s">
        <v>1369</v>
      </c>
      <c r="W572" s="6">
        <v>14</v>
      </c>
    </row>
    <row r="573" spans="1:23">
      <c r="A573" t="s">
        <v>2508</v>
      </c>
      <c r="B573" s="8">
        <v>45688</v>
      </c>
      <c r="C573" t="s">
        <v>901</v>
      </c>
      <c r="D573" t="s">
        <v>1600</v>
      </c>
      <c r="E573" t="s">
        <v>1899</v>
      </c>
      <c r="F573">
        <v>1</v>
      </c>
      <c r="G573" s="10">
        <v>974.52</v>
      </c>
      <c r="H573" s="13">
        <v>0.01</v>
      </c>
      <c r="I573" t="s">
        <v>1933</v>
      </c>
      <c r="J573" s="16">
        <v>964.77480000000003</v>
      </c>
      <c r="K573" s="19">
        <f t="shared" si="40"/>
        <v>1537688.4968999992</v>
      </c>
      <c r="L573" s="22">
        <f t="shared" si="41"/>
        <v>1076.0591300909721</v>
      </c>
      <c r="M573" s="22">
        <f t="shared" si="42"/>
        <v>498</v>
      </c>
      <c r="N573" s="22" t="str">
        <f t="shared" si="43"/>
        <v>Low Value</v>
      </c>
      <c r="O573" s="22" t="str">
        <f t="shared" si="44"/>
        <v>Jan-2025</v>
      </c>
      <c r="P573" s="22" t="s">
        <v>1601</v>
      </c>
      <c r="Q573" s="22" t="s">
        <v>1536</v>
      </c>
      <c r="R573" s="22" t="s">
        <v>902</v>
      </c>
      <c r="S573" s="22"/>
      <c r="T573" s="22"/>
      <c r="V573" s="26" t="s">
        <v>1936</v>
      </c>
      <c r="W573" s="6">
        <v>6</v>
      </c>
    </row>
    <row r="574" spans="1:23">
      <c r="A574" t="s">
        <v>2509</v>
      </c>
      <c r="B574" s="8">
        <v>45249</v>
      </c>
      <c r="C574" t="s">
        <v>156</v>
      </c>
      <c r="D574" t="s">
        <v>1597</v>
      </c>
      <c r="E574" t="s">
        <v>1864</v>
      </c>
      <c r="F574">
        <v>3</v>
      </c>
      <c r="G574" s="10">
        <v>282.33</v>
      </c>
      <c r="H574" s="13">
        <v>7.0000000000000007E-2</v>
      </c>
      <c r="I574" t="s">
        <v>1931</v>
      </c>
      <c r="J574" s="16">
        <v>787.70069999999998</v>
      </c>
      <c r="K574" s="19">
        <f t="shared" si="40"/>
        <v>1536723.7220999992</v>
      </c>
      <c r="L574" s="22">
        <f t="shared" si="41"/>
        <v>1076.1370602941172</v>
      </c>
      <c r="M574" s="22">
        <f t="shared" si="42"/>
        <v>497</v>
      </c>
      <c r="N574" s="22" t="str">
        <f t="shared" si="43"/>
        <v>Low Value</v>
      </c>
      <c r="O574" s="22" t="str">
        <f t="shared" si="44"/>
        <v>Nov-2023</v>
      </c>
      <c r="P574" s="22" t="s">
        <v>1598</v>
      </c>
      <c r="Q574" s="22" t="s">
        <v>1569</v>
      </c>
      <c r="R574" s="22" t="s">
        <v>157</v>
      </c>
      <c r="S574" s="22"/>
      <c r="T574" s="22"/>
      <c r="V574" s="26" t="s">
        <v>1931</v>
      </c>
      <c r="W574" s="6">
        <v>6</v>
      </c>
    </row>
    <row r="575" spans="1:23">
      <c r="A575" t="s">
        <v>2510</v>
      </c>
      <c r="B575" s="8">
        <v>45726</v>
      </c>
      <c r="C575" t="s">
        <v>1187</v>
      </c>
      <c r="D575" t="s">
        <v>1783</v>
      </c>
      <c r="E575" t="s">
        <v>1920</v>
      </c>
      <c r="F575">
        <v>4</v>
      </c>
      <c r="G575" s="10">
        <v>158.46</v>
      </c>
      <c r="H575" s="13">
        <v>0.09</v>
      </c>
      <c r="I575" t="s">
        <v>1933</v>
      </c>
      <c r="J575" s="16">
        <v>576.7944</v>
      </c>
      <c r="K575" s="19">
        <f t="shared" si="40"/>
        <v>1535936.0213999993</v>
      </c>
      <c r="L575" s="22">
        <f t="shared" si="41"/>
        <v>1076.3391880868951</v>
      </c>
      <c r="M575" s="22">
        <f t="shared" si="42"/>
        <v>497</v>
      </c>
      <c r="N575" s="22" t="str">
        <f t="shared" si="43"/>
        <v>Low Value</v>
      </c>
      <c r="O575" s="22" t="str">
        <f t="shared" si="44"/>
        <v>Mar-2025</v>
      </c>
      <c r="P575" s="22" t="s">
        <v>1784</v>
      </c>
      <c r="Q575" s="22" t="s">
        <v>1531</v>
      </c>
      <c r="R575" s="22" t="s">
        <v>1188</v>
      </c>
      <c r="S575" s="22"/>
      <c r="T575" s="22"/>
      <c r="V575" s="26" t="s">
        <v>1933</v>
      </c>
      <c r="W575" s="6">
        <v>2</v>
      </c>
    </row>
    <row r="576" spans="1:23">
      <c r="A576" t="s">
        <v>2511</v>
      </c>
      <c r="B576" s="8">
        <v>45283</v>
      </c>
      <c r="C576" t="s">
        <v>1073</v>
      </c>
      <c r="D576" t="s">
        <v>1719</v>
      </c>
      <c r="E576" t="s">
        <v>1886</v>
      </c>
      <c r="F576">
        <v>2</v>
      </c>
      <c r="G576" s="10">
        <v>778.56</v>
      </c>
      <c r="H576" s="13">
        <v>0.11</v>
      </c>
      <c r="I576" t="s">
        <v>1936</v>
      </c>
      <c r="J576" s="16">
        <v>1385.8368</v>
      </c>
      <c r="K576" s="19">
        <f t="shared" si="40"/>
        <v>1535359.226999999</v>
      </c>
      <c r="L576" s="22">
        <f t="shared" si="41"/>
        <v>1076.6894999999993</v>
      </c>
      <c r="M576" s="22">
        <f t="shared" si="42"/>
        <v>496</v>
      </c>
      <c r="N576" s="22" t="str">
        <f t="shared" si="43"/>
        <v>High Value</v>
      </c>
      <c r="O576" s="22" t="str">
        <f t="shared" si="44"/>
        <v>Dec-2023</v>
      </c>
      <c r="P576" s="22" t="s">
        <v>1720</v>
      </c>
      <c r="Q576" s="22" t="s">
        <v>1560</v>
      </c>
      <c r="R576" s="22" t="s">
        <v>1074</v>
      </c>
      <c r="S576" s="22"/>
      <c r="T576" s="22"/>
      <c r="V576" s="25" t="s">
        <v>713</v>
      </c>
      <c r="W576" s="6">
        <v>9</v>
      </c>
    </row>
    <row r="577" spans="1:23">
      <c r="A577" t="s">
        <v>2512</v>
      </c>
      <c r="B577" s="8">
        <v>45353</v>
      </c>
      <c r="C577" t="s">
        <v>762</v>
      </c>
      <c r="D577" t="s">
        <v>1704</v>
      </c>
      <c r="E577" t="s">
        <v>1920</v>
      </c>
      <c r="F577">
        <v>4</v>
      </c>
      <c r="G577" s="10">
        <v>280.16000000000003</v>
      </c>
      <c r="H577" s="13">
        <v>0.18</v>
      </c>
      <c r="I577" t="s">
        <v>1936</v>
      </c>
      <c r="J577" s="16">
        <v>918.92480000000012</v>
      </c>
      <c r="K577" s="19">
        <f t="shared" si="40"/>
        <v>1533973.3901999991</v>
      </c>
      <c r="L577" s="22">
        <f t="shared" si="41"/>
        <v>1076.4725545263152</v>
      </c>
      <c r="M577" s="22">
        <f t="shared" si="42"/>
        <v>496</v>
      </c>
      <c r="N577" s="22" t="str">
        <f t="shared" si="43"/>
        <v>Low Value</v>
      </c>
      <c r="O577" s="22" t="str">
        <f t="shared" si="44"/>
        <v>Mar-2024</v>
      </c>
      <c r="P577" s="22" t="s">
        <v>1705</v>
      </c>
      <c r="Q577" s="22" t="s">
        <v>1569</v>
      </c>
      <c r="R577" s="22" t="s">
        <v>763</v>
      </c>
      <c r="S577" s="22"/>
      <c r="T577" s="22"/>
      <c r="V577" s="26" t="s">
        <v>1931</v>
      </c>
      <c r="W577" s="6">
        <v>3</v>
      </c>
    </row>
    <row r="578" spans="1:23">
      <c r="A578" t="s">
        <v>2513</v>
      </c>
      <c r="B578" s="8">
        <v>45592</v>
      </c>
      <c r="C578" t="s">
        <v>910</v>
      </c>
      <c r="D578" t="s">
        <v>1768</v>
      </c>
      <c r="E578" t="s">
        <v>1904</v>
      </c>
      <c r="F578">
        <v>2</v>
      </c>
      <c r="G578" s="10">
        <v>649.54999999999995</v>
      </c>
      <c r="H578" s="13">
        <v>0.28999999999999998</v>
      </c>
      <c r="I578" t="s">
        <v>1933</v>
      </c>
      <c r="J578" s="16">
        <v>922.36099999999988</v>
      </c>
      <c r="K578" s="19">
        <f t="shared" ref="K578:K641" si="45">SUM(J578:J2577)</f>
        <v>1533054.4653999992</v>
      </c>
      <c r="L578" s="22">
        <f t="shared" ref="L578:L641" si="46">AVERAGE(J578:J2577)</f>
        <v>1076.5831919943814</v>
      </c>
      <c r="M578" s="22">
        <f t="shared" ref="M578:M641" si="47">COUNTIF(I578:I2577,"PayPal")</f>
        <v>496</v>
      </c>
      <c r="N578" s="22" t="str">
        <f t="shared" ref="N578:N641" si="48">IF(J578&gt;=1000,"High Value","Low Value")</f>
        <v>Low Value</v>
      </c>
      <c r="O578" s="22" t="str">
        <f t="shared" ref="O578:O641" si="49">TEXT(B578,"mmm-yyyy")</f>
        <v>Oct-2024</v>
      </c>
      <c r="P578" s="22" t="s">
        <v>1769</v>
      </c>
      <c r="Q578" s="22" t="s">
        <v>1555</v>
      </c>
      <c r="R578" s="22" t="s">
        <v>911</v>
      </c>
      <c r="S578" s="22"/>
      <c r="T578" s="22"/>
      <c r="V578" s="26" t="s">
        <v>1933</v>
      </c>
      <c r="W578" s="6">
        <v>6</v>
      </c>
    </row>
    <row r="579" spans="1:23">
      <c r="A579" t="s">
        <v>2514</v>
      </c>
      <c r="B579" s="8">
        <v>45360</v>
      </c>
      <c r="C579" t="s">
        <v>39</v>
      </c>
      <c r="D579" t="s">
        <v>1819</v>
      </c>
      <c r="E579" t="s">
        <v>1868</v>
      </c>
      <c r="F579">
        <v>2</v>
      </c>
      <c r="G579" s="10">
        <v>994.32</v>
      </c>
      <c r="H579" s="13">
        <v>0.27</v>
      </c>
      <c r="I579" t="s">
        <v>1933</v>
      </c>
      <c r="J579" s="16">
        <v>1451.7072000000001</v>
      </c>
      <c r="K579" s="19">
        <f t="shared" si="45"/>
        <v>1532132.1043999991</v>
      </c>
      <c r="L579" s="22">
        <f t="shared" si="46"/>
        <v>1076.6915702037943</v>
      </c>
      <c r="M579" s="22">
        <f t="shared" si="47"/>
        <v>495</v>
      </c>
      <c r="N579" s="22" t="str">
        <f t="shared" si="48"/>
        <v>High Value</v>
      </c>
      <c r="O579" s="22" t="str">
        <f t="shared" si="49"/>
        <v>Mar-2024</v>
      </c>
      <c r="P579" s="22" t="s">
        <v>1820</v>
      </c>
      <c r="Q579" s="22" t="s">
        <v>1569</v>
      </c>
      <c r="R579" s="22" t="s">
        <v>40</v>
      </c>
      <c r="S579" s="22"/>
      <c r="T579" s="22"/>
      <c r="V579" s="25" t="s">
        <v>296</v>
      </c>
      <c r="W579" s="6">
        <v>14</v>
      </c>
    </row>
    <row r="580" spans="1:23">
      <c r="A580" t="s">
        <v>2515</v>
      </c>
      <c r="B580" s="8">
        <v>45649</v>
      </c>
      <c r="C580" t="s">
        <v>722</v>
      </c>
      <c r="D580" t="s">
        <v>1798</v>
      </c>
      <c r="E580" t="s">
        <v>1901</v>
      </c>
      <c r="F580">
        <v>1</v>
      </c>
      <c r="G580" s="10">
        <v>64.94</v>
      </c>
      <c r="H580" s="13">
        <v>0.21</v>
      </c>
      <c r="I580" t="s">
        <v>1933</v>
      </c>
      <c r="J580" s="16">
        <v>51.302599999999998</v>
      </c>
      <c r="K580" s="19">
        <f t="shared" si="45"/>
        <v>1530680.3971999991</v>
      </c>
      <c r="L580" s="22">
        <f t="shared" si="46"/>
        <v>1076.4278461322076</v>
      </c>
      <c r="M580" s="22">
        <f t="shared" si="47"/>
        <v>494</v>
      </c>
      <c r="N580" s="22" t="str">
        <f t="shared" si="48"/>
        <v>Low Value</v>
      </c>
      <c r="O580" s="22" t="str">
        <f t="shared" si="49"/>
        <v>Dec-2024</v>
      </c>
      <c r="P580" s="22" t="s">
        <v>1799</v>
      </c>
      <c r="Q580" s="22" t="s">
        <v>1569</v>
      </c>
      <c r="R580" s="22" t="s">
        <v>723</v>
      </c>
      <c r="S580" s="22"/>
      <c r="T580" s="22"/>
      <c r="V580" s="26" t="s">
        <v>1931</v>
      </c>
      <c r="W580" s="6">
        <v>2</v>
      </c>
    </row>
    <row r="581" spans="1:23">
      <c r="A581" t="s">
        <v>2516</v>
      </c>
      <c r="B581" s="8">
        <v>45709</v>
      </c>
      <c r="C581" t="s">
        <v>462</v>
      </c>
      <c r="D581" t="s">
        <v>1668</v>
      </c>
      <c r="E581" t="s">
        <v>1886</v>
      </c>
      <c r="F581">
        <v>2</v>
      </c>
      <c r="G581" s="10">
        <v>507.66</v>
      </c>
      <c r="H581" s="13">
        <v>0</v>
      </c>
      <c r="I581" t="s">
        <v>1936</v>
      </c>
      <c r="J581" s="16">
        <v>1015.32</v>
      </c>
      <c r="K581" s="19">
        <f t="shared" si="45"/>
        <v>1530629.094599999</v>
      </c>
      <c r="L581" s="22">
        <f t="shared" si="46"/>
        <v>1077.1492572836023</v>
      </c>
      <c r="M581" s="22">
        <f t="shared" si="47"/>
        <v>493</v>
      </c>
      <c r="N581" s="22" t="str">
        <f t="shared" si="48"/>
        <v>High Value</v>
      </c>
      <c r="O581" s="22" t="str">
        <f t="shared" si="49"/>
        <v>Feb-2025</v>
      </c>
      <c r="P581" s="22" t="s">
        <v>1669</v>
      </c>
      <c r="Q581" s="22" t="s">
        <v>1531</v>
      </c>
      <c r="R581" s="22" t="s">
        <v>463</v>
      </c>
      <c r="S581" s="22"/>
      <c r="T581" s="22"/>
      <c r="V581" s="26" t="s">
        <v>1933</v>
      </c>
      <c r="W581" s="6">
        <v>12</v>
      </c>
    </row>
    <row r="582" spans="1:23">
      <c r="A582" t="s">
        <v>2517</v>
      </c>
      <c r="B582" s="8">
        <v>45273</v>
      </c>
      <c r="C582" t="s">
        <v>777</v>
      </c>
      <c r="D582" t="s">
        <v>1798</v>
      </c>
      <c r="E582" t="s">
        <v>1876</v>
      </c>
      <c r="F582">
        <v>4</v>
      </c>
      <c r="G582" s="10">
        <v>968.27</v>
      </c>
      <c r="H582" s="13">
        <v>0.03</v>
      </c>
      <c r="I582" t="s">
        <v>1933</v>
      </c>
      <c r="J582" s="16">
        <v>3756.8876</v>
      </c>
      <c r="K582" s="19">
        <f t="shared" si="45"/>
        <v>1529613.7745999992</v>
      </c>
      <c r="L582" s="22">
        <f t="shared" si="46"/>
        <v>1077.1927990140839</v>
      </c>
      <c r="M582" s="22">
        <f t="shared" si="47"/>
        <v>493</v>
      </c>
      <c r="N582" s="22" t="str">
        <f t="shared" si="48"/>
        <v>High Value</v>
      </c>
      <c r="O582" s="22" t="str">
        <f t="shared" si="49"/>
        <v>Dec-2023</v>
      </c>
      <c r="P582" s="22" t="s">
        <v>1799</v>
      </c>
      <c r="Q582" s="22" t="s">
        <v>1569</v>
      </c>
      <c r="R582" s="22" t="s">
        <v>778</v>
      </c>
      <c r="S582" s="22"/>
      <c r="T582" s="22"/>
      <c r="V582" s="25" t="s">
        <v>179</v>
      </c>
      <c r="W582" s="6">
        <v>15</v>
      </c>
    </row>
    <row r="583" spans="1:23">
      <c r="A583" t="s">
        <v>2518</v>
      </c>
      <c r="B583" s="8">
        <v>45250</v>
      </c>
      <c r="C583" t="s">
        <v>78</v>
      </c>
      <c r="D583" t="s">
        <v>1819</v>
      </c>
      <c r="E583" t="s">
        <v>1880</v>
      </c>
      <c r="F583">
        <v>4</v>
      </c>
      <c r="G583" s="10">
        <v>510.33</v>
      </c>
      <c r="H583" s="13">
        <v>0.2</v>
      </c>
      <c r="I583" t="s">
        <v>1933</v>
      </c>
      <c r="J583" s="16">
        <v>1633.056</v>
      </c>
      <c r="K583" s="19">
        <f t="shared" si="45"/>
        <v>1525856.8869999989</v>
      </c>
      <c r="L583" s="22">
        <f t="shared" si="46"/>
        <v>1075.3043601127547</v>
      </c>
      <c r="M583" s="22">
        <f t="shared" si="47"/>
        <v>492</v>
      </c>
      <c r="N583" s="22" t="str">
        <f t="shared" si="48"/>
        <v>High Value</v>
      </c>
      <c r="O583" s="22" t="str">
        <f t="shared" si="49"/>
        <v>Nov-2023</v>
      </c>
      <c r="P583" s="22" t="s">
        <v>1820</v>
      </c>
      <c r="Q583" s="22" t="s">
        <v>1569</v>
      </c>
      <c r="R583" s="22" t="s">
        <v>79</v>
      </c>
      <c r="S583" s="22"/>
      <c r="T583" s="22"/>
      <c r="V583" s="26" t="s">
        <v>1936</v>
      </c>
      <c r="W583" s="6">
        <v>6</v>
      </c>
    </row>
    <row r="584" spans="1:23">
      <c r="A584" t="s">
        <v>2519</v>
      </c>
      <c r="B584" s="8">
        <v>45539</v>
      </c>
      <c r="C584" t="s">
        <v>55</v>
      </c>
      <c r="D584" t="s">
        <v>1684</v>
      </c>
      <c r="E584" t="s">
        <v>1920</v>
      </c>
      <c r="F584">
        <v>2</v>
      </c>
      <c r="G584" s="10">
        <v>156.72999999999999</v>
      </c>
      <c r="H584" s="13">
        <v>0.18</v>
      </c>
      <c r="I584" t="s">
        <v>1936</v>
      </c>
      <c r="J584" s="16">
        <v>257.03719999999998</v>
      </c>
      <c r="K584" s="19">
        <f t="shared" si="45"/>
        <v>1524223.8309999991</v>
      </c>
      <c r="L584" s="22">
        <f t="shared" si="46"/>
        <v>1074.9110232722137</v>
      </c>
      <c r="M584" s="22">
        <f t="shared" si="47"/>
        <v>491</v>
      </c>
      <c r="N584" s="22" t="str">
        <f t="shared" si="48"/>
        <v>Low Value</v>
      </c>
      <c r="O584" s="22" t="str">
        <f t="shared" si="49"/>
        <v>Sep-2024</v>
      </c>
      <c r="P584" s="22" t="s">
        <v>1685</v>
      </c>
      <c r="Q584" s="22" t="s">
        <v>1569</v>
      </c>
      <c r="R584" s="22" t="s">
        <v>56</v>
      </c>
      <c r="S584" s="22"/>
      <c r="T584" s="22"/>
      <c r="V584" s="26" t="s">
        <v>1931</v>
      </c>
      <c r="W584" s="6">
        <v>6</v>
      </c>
    </row>
    <row r="585" spans="1:23">
      <c r="A585" t="s">
        <v>2520</v>
      </c>
      <c r="B585" s="8">
        <v>45810</v>
      </c>
      <c r="C585" t="s">
        <v>479</v>
      </c>
      <c r="D585" t="s">
        <v>1852</v>
      </c>
      <c r="E585" t="s">
        <v>1896</v>
      </c>
      <c r="F585">
        <v>3</v>
      </c>
      <c r="G585" s="10">
        <v>53.83</v>
      </c>
      <c r="H585" s="13">
        <v>0.24</v>
      </c>
      <c r="I585" t="s">
        <v>1931</v>
      </c>
      <c r="J585" s="16">
        <v>122.7324</v>
      </c>
      <c r="K585" s="19">
        <f t="shared" si="45"/>
        <v>1523966.7937999989</v>
      </c>
      <c r="L585" s="22">
        <f t="shared" si="46"/>
        <v>1075.4882101623141</v>
      </c>
      <c r="M585" s="22">
        <f t="shared" si="47"/>
        <v>491</v>
      </c>
      <c r="N585" s="22" t="str">
        <f t="shared" si="48"/>
        <v>Low Value</v>
      </c>
      <c r="O585" s="22" t="str">
        <f t="shared" si="49"/>
        <v>Jun-2025</v>
      </c>
      <c r="P585" s="22" t="s">
        <v>1853</v>
      </c>
      <c r="Q585" s="22" t="s">
        <v>1560</v>
      </c>
      <c r="R585" s="22" t="s">
        <v>480</v>
      </c>
      <c r="S585" s="22"/>
      <c r="T585" s="22"/>
      <c r="V585" s="26" t="s">
        <v>1933</v>
      </c>
      <c r="W585" s="6">
        <v>3</v>
      </c>
    </row>
    <row r="586" spans="1:23">
      <c r="A586" t="s">
        <v>2521</v>
      </c>
      <c r="B586" s="8">
        <v>45350</v>
      </c>
      <c r="C586" t="s">
        <v>1172</v>
      </c>
      <c r="D586" t="s">
        <v>1789</v>
      </c>
      <c r="E586" t="s">
        <v>1876</v>
      </c>
      <c r="F586">
        <v>1</v>
      </c>
      <c r="G586" s="10">
        <v>34.71</v>
      </c>
      <c r="H586" s="13">
        <v>0.1</v>
      </c>
      <c r="I586" t="s">
        <v>1936</v>
      </c>
      <c r="J586" s="16">
        <v>31.239000000000001</v>
      </c>
      <c r="K586" s="19">
        <f t="shared" si="45"/>
        <v>1523844.0613999991</v>
      </c>
      <c r="L586" s="22">
        <f t="shared" si="46"/>
        <v>1076.1610603107338</v>
      </c>
      <c r="M586" s="22">
        <f t="shared" si="47"/>
        <v>491</v>
      </c>
      <c r="N586" s="22" t="str">
        <f t="shared" si="48"/>
        <v>Low Value</v>
      </c>
      <c r="O586" s="22" t="str">
        <f t="shared" si="49"/>
        <v>Feb-2024</v>
      </c>
      <c r="P586" s="22" t="s">
        <v>1790</v>
      </c>
      <c r="Q586" s="22" t="s">
        <v>1560</v>
      </c>
      <c r="R586" s="22" t="s">
        <v>1173</v>
      </c>
      <c r="S586" s="22"/>
      <c r="T586" s="22"/>
      <c r="V586" s="25" t="s">
        <v>928</v>
      </c>
      <c r="W586" s="6">
        <v>9</v>
      </c>
    </row>
    <row r="587" spans="1:23">
      <c r="A587" t="s">
        <v>2522</v>
      </c>
      <c r="B587" s="8">
        <v>45633</v>
      </c>
      <c r="C587" t="s">
        <v>738</v>
      </c>
      <c r="D587" t="s">
        <v>1786</v>
      </c>
      <c r="E587" t="s">
        <v>1864</v>
      </c>
      <c r="F587">
        <v>2</v>
      </c>
      <c r="G587" s="10">
        <v>829.15</v>
      </c>
      <c r="H587" s="13">
        <v>0.11</v>
      </c>
      <c r="I587" t="s">
        <v>1933</v>
      </c>
      <c r="J587" s="16">
        <v>1475.8869999999999</v>
      </c>
      <c r="K587" s="19">
        <f t="shared" si="45"/>
        <v>1523812.822399999</v>
      </c>
      <c r="L587" s="22">
        <f t="shared" si="46"/>
        <v>1076.8995211307413</v>
      </c>
      <c r="M587" s="22">
        <f t="shared" si="47"/>
        <v>491</v>
      </c>
      <c r="N587" s="22" t="str">
        <f t="shared" si="48"/>
        <v>High Value</v>
      </c>
      <c r="O587" s="22" t="str">
        <f t="shared" si="49"/>
        <v>Dec-2024</v>
      </c>
      <c r="P587" s="22" t="s">
        <v>1787</v>
      </c>
      <c r="Q587" s="22" t="s">
        <v>1531</v>
      </c>
      <c r="R587" s="22" t="s">
        <v>739</v>
      </c>
      <c r="S587" s="22"/>
      <c r="T587" s="22"/>
      <c r="V587" s="26" t="s">
        <v>1936</v>
      </c>
      <c r="W587" s="6">
        <v>4</v>
      </c>
    </row>
    <row r="588" spans="1:23">
      <c r="A588" t="s">
        <v>2523</v>
      </c>
      <c r="B588" s="8">
        <v>45798</v>
      </c>
      <c r="C588" t="s">
        <v>842</v>
      </c>
      <c r="D588" t="s">
        <v>1849</v>
      </c>
      <c r="E588" t="s">
        <v>1873</v>
      </c>
      <c r="F588">
        <v>2</v>
      </c>
      <c r="G588" s="10">
        <v>481.86</v>
      </c>
      <c r="H588" s="13">
        <v>0.1</v>
      </c>
      <c r="I588" t="s">
        <v>1936</v>
      </c>
      <c r="J588" s="16">
        <v>867.34800000000007</v>
      </c>
      <c r="K588" s="19">
        <f t="shared" si="45"/>
        <v>1522336.9353999989</v>
      </c>
      <c r="L588" s="22">
        <f t="shared" si="46"/>
        <v>1076.6173517680331</v>
      </c>
      <c r="M588" s="22">
        <f t="shared" si="47"/>
        <v>490</v>
      </c>
      <c r="N588" s="22" t="str">
        <f t="shared" si="48"/>
        <v>Low Value</v>
      </c>
      <c r="O588" s="22" t="str">
        <f t="shared" si="49"/>
        <v>May-2025</v>
      </c>
      <c r="P588" s="22" t="s">
        <v>1850</v>
      </c>
      <c r="Q588" s="22" t="s">
        <v>1531</v>
      </c>
      <c r="R588" s="22" t="s">
        <v>843</v>
      </c>
      <c r="S588" s="22"/>
      <c r="T588" s="22"/>
      <c r="V588" s="26" t="s">
        <v>1931</v>
      </c>
      <c r="W588" s="6">
        <v>1</v>
      </c>
    </row>
    <row r="589" spans="1:23">
      <c r="A589" t="s">
        <v>2524</v>
      </c>
      <c r="B589" s="8">
        <v>45354</v>
      </c>
      <c r="C589" t="s">
        <v>494</v>
      </c>
      <c r="D589" t="s">
        <v>1710</v>
      </c>
      <c r="E589" t="s">
        <v>1886</v>
      </c>
      <c r="F589">
        <v>4</v>
      </c>
      <c r="G589" s="10">
        <v>915.17</v>
      </c>
      <c r="H589" s="13">
        <v>0.19</v>
      </c>
      <c r="I589" t="s">
        <v>1936</v>
      </c>
      <c r="J589" s="16">
        <v>2965.1507999999999</v>
      </c>
      <c r="K589" s="19">
        <f t="shared" si="45"/>
        <v>1521469.5873999989</v>
      </c>
      <c r="L589" s="22">
        <f t="shared" si="46"/>
        <v>1076.7654546355266</v>
      </c>
      <c r="M589" s="22">
        <f t="shared" si="47"/>
        <v>490</v>
      </c>
      <c r="N589" s="22" t="str">
        <f t="shared" si="48"/>
        <v>High Value</v>
      </c>
      <c r="O589" s="22" t="str">
        <f t="shared" si="49"/>
        <v>Mar-2024</v>
      </c>
      <c r="P589" s="22" t="s">
        <v>1711</v>
      </c>
      <c r="Q589" s="22" t="s">
        <v>1569</v>
      </c>
      <c r="R589" s="22" t="s">
        <v>495</v>
      </c>
      <c r="S589" s="22"/>
      <c r="T589" s="22"/>
      <c r="V589" s="26" t="s">
        <v>1933</v>
      </c>
      <c r="W589" s="6">
        <v>4</v>
      </c>
    </row>
    <row r="590" spans="1:23">
      <c r="A590" t="s">
        <v>2525</v>
      </c>
      <c r="B590" s="8">
        <v>45357</v>
      </c>
      <c r="C590" t="s">
        <v>694</v>
      </c>
      <c r="D590" t="s">
        <v>1768</v>
      </c>
      <c r="E590" t="s">
        <v>1917</v>
      </c>
      <c r="F590">
        <v>1</v>
      </c>
      <c r="G590" s="10">
        <v>250.95</v>
      </c>
      <c r="H590" s="13">
        <v>0.03</v>
      </c>
      <c r="I590" t="s">
        <v>1933</v>
      </c>
      <c r="J590" s="16">
        <v>243.42150000000001</v>
      </c>
      <c r="K590" s="19">
        <f t="shared" si="45"/>
        <v>1518504.436599999</v>
      </c>
      <c r="L590" s="22">
        <f t="shared" si="46"/>
        <v>1075.4280712464581</v>
      </c>
      <c r="M590" s="22">
        <f t="shared" si="47"/>
        <v>490</v>
      </c>
      <c r="N590" s="22" t="str">
        <f t="shared" si="48"/>
        <v>Low Value</v>
      </c>
      <c r="O590" s="22" t="str">
        <f t="shared" si="49"/>
        <v>Mar-2024</v>
      </c>
      <c r="P590" s="22" t="s">
        <v>1769</v>
      </c>
      <c r="Q590" s="22" t="s">
        <v>1555</v>
      </c>
      <c r="R590" s="22" t="s">
        <v>695</v>
      </c>
      <c r="S590" s="22"/>
      <c r="T590" s="22"/>
      <c r="V590" s="25" t="s">
        <v>1149</v>
      </c>
      <c r="W590" s="6">
        <v>13</v>
      </c>
    </row>
    <row r="591" spans="1:23">
      <c r="A591" t="s">
        <v>2526</v>
      </c>
      <c r="B591" s="8">
        <v>45257</v>
      </c>
      <c r="C591" t="s">
        <v>1019</v>
      </c>
      <c r="D591" t="s">
        <v>1843</v>
      </c>
      <c r="E591" t="s">
        <v>1880</v>
      </c>
      <c r="F591">
        <v>3</v>
      </c>
      <c r="G591" s="10">
        <v>882.84</v>
      </c>
      <c r="H591" s="13">
        <v>0.1</v>
      </c>
      <c r="I591" t="s">
        <v>1931</v>
      </c>
      <c r="J591" s="16">
        <v>2383.6680000000001</v>
      </c>
      <c r="K591" s="19">
        <f t="shared" si="45"/>
        <v>1518261.015099999</v>
      </c>
      <c r="L591" s="22">
        <f t="shared" si="46"/>
        <v>1076.017728632175</v>
      </c>
      <c r="M591" s="22">
        <f t="shared" si="47"/>
        <v>489</v>
      </c>
      <c r="N591" s="22" t="str">
        <f t="shared" si="48"/>
        <v>High Value</v>
      </c>
      <c r="O591" s="22" t="str">
        <f t="shared" si="49"/>
        <v>Nov-2023</v>
      </c>
      <c r="P591" s="22" t="s">
        <v>1844</v>
      </c>
      <c r="Q591" s="22" t="s">
        <v>1536</v>
      </c>
      <c r="R591" s="22" t="s">
        <v>1020</v>
      </c>
      <c r="S591" s="22"/>
      <c r="T591" s="22"/>
      <c r="V591" s="26" t="s">
        <v>1936</v>
      </c>
      <c r="W591" s="6">
        <v>5</v>
      </c>
    </row>
    <row r="592" spans="1:23">
      <c r="A592" t="s">
        <v>2527</v>
      </c>
      <c r="B592" s="8">
        <v>45702</v>
      </c>
      <c r="C592" t="s">
        <v>468</v>
      </c>
      <c r="D592" t="s">
        <v>1603</v>
      </c>
      <c r="E592" t="s">
        <v>1917</v>
      </c>
      <c r="F592">
        <v>4</v>
      </c>
      <c r="G592" s="10">
        <v>573.37</v>
      </c>
      <c r="H592" s="13">
        <v>0.04</v>
      </c>
      <c r="I592" t="s">
        <v>1936</v>
      </c>
      <c r="J592" s="16">
        <v>2201.7408</v>
      </c>
      <c r="K592" s="19">
        <f t="shared" si="45"/>
        <v>1515877.3470999987</v>
      </c>
      <c r="L592" s="22">
        <f t="shared" si="46"/>
        <v>1075.0903170921977</v>
      </c>
      <c r="M592" s="22">
        <f t="shared" si="47"/>
        <v>489</v>
      </c>
      <c r="N592" s="22" t="str">
        <f t="shared" si="48"/>
        <v>High Value</v>
      </c>
      <c r="O592" s="22" t="str">
        <f t="shared" si="49"/>
        <v>Feb-2025</v>
      </c>
      <c r="P592" s="22" t="s">
        <v>1604</v>
      </c>
      <c r="Q592" s="22" t="s">
        <v>1569</v>
      </c>
      <c r="R592" s="22" t="s">
        <v>469</v>
      </c>
      <c r="S592" s="22"/>
      <c r="T592" s="22"/>
      <c r="V592" s="26" t="s">
        <v>1931</v>
      </c>
      <c r="W592" s="6">
        <v>6</v>
      </c>
    </row>
    <row r="593" spans="1:23">
      <c r="A593" t="s">
        <v>2528</v>
      </c>
      <c r="B593" s="8">
        <v>45318</v>
      </c>
      <c r="C593" t="s">
        <v>215</v>
      </c>
      <c r="D593" t="s">
        <v>1646</v>
      </c>
      <c r="E593" t="s">
        <v>1901</v>
      </c>
      <c r="F593">
        <v>3</v>
      </c>
      <c r="G593" s="10">
        <v>622.72</v>
      </c>
      <c r="H593" s="13">
        <v>0.04</v>
      </c>
      <c r="I593" t="s">
        <v>1931</v>
      </c>
      <c r="J593" s="16">
        <v>1793.4336000000001</v>
      </c>
      <c r="K593" s="19">
        <f t="shared" si="45"/>
        <v>1513675.6062999987</v>
      </c>
      <c r="L593" s="22">
        <f t="shared" si="46"/>
        <v>1074.2907070972312</v>
      </c>
      <c r="M593" s="22">
        <f t="shared" si="47"/>
        <v>489</v>
      </c>
      <c r="N593" s="22" t="str">
        <f t="shared" si="48"/>
        <v>High Value</v>
      </c>
      <c r="O593" s="22" t="str">
        <f t="shared" si="49"/>
        <v>Jan-2024</v>
      </c>
      <c r="P593" s="22" t="s">
        <v>1647</v>
      </c>
      <c r="Q593" s="22" t="s">
        <v>1555</v>
      </c>
      <c r="R593" s="22" t="s">
        <v>216</v>
      </c>
      <c r="S593" s="22"/>
      <c r="T593" s="22"/>
      <c r="V593" s="26" t="s">
        <v>1933</v>
      </c>
      <c r="W593" s="6">
        <v>2</v>
      </c>
    </row>
    <row r="594" spans="1:23">
      <c r="A594" t="s">
        <v>2529</v>
      </c>
      <c r="B594" s="8">
        <v>45943</v>
      </c>
      <c r="C594" t="s">
        <v>1205</v>
      </c>
      <c r="D594" t="s">
        <v>1831</v>
      </c>
      <c r="E594" t="s">
        <v>1914</v>
      </c>
      <c r="F594">
        <v>3</v>
      </c>
      <c r="G594" s="10">
        <v>259.74</v>
      </c>
      <c r="H594" s="13">
        <v>0.24</v>
      </c>
      <c r="I594" t="s">
        <v>1931</v>
      </c>
      <c r="J594" s="16">
        <v>592.20720000000006</v>
      </c>
      <c r="K594" s="19">
        <f t="shared" si="45"/>
        <v>1511882.1726999988</v>
      </c>
      <c r="L594" s="22">
        <f t="shared" si="46"/>
        <v>1073.7799522017037</v>
      </c>
      <c r="M594" s="22">
        <f t="shared" si="47"/>
        <v>489</v>
      </c>
      <c r="N594" s="22" t="str">
        <f t="shared" si="48"/>
        <v>Low Value</v>
      </c>
      <c r="O594" s="22" t="str">
        <f t="shared" si="49"/>
        <v>Oct-2025</v>
      </c>
      <c r="P594" s="22" t="s">
        <v>1832</v>
      </c>
      <c r="Q594" s="22" t="s">
        <v>1560</v>
      </c>
      <c r="R594" s="22" t="s">
        <v>1206</v>
      </c>
      <c r="S594" s="22"/>
      <c r="T594" s="22"/>
      <c r="V594" s="25" t="s">
        <v>1434</v>
      </c>
      <c r="W594" s="6">
        <v>15</v>
      </c>
    </row>
    <row r="595" spans="1:23">
      <c r="A595" t="s">
        <v>2530</v>
      </c>
      <c r="B595" s="8">
        <v>45769</v>
      </c>
      <c r="C595" t="s">
        <v>202</v>
      </c>
      <c r="D595" t="s">
        <v>1633</v>
      </c>
      <c r="E595" t="s">
        <v>1904</v>
      </c>
      <c r="F595">
        <v>4</v>
      </c>
      <c r="G595" s="10">
        <v>951.09</v>
      </c>
      <c r="H595" s="13">
        <v>0.14000000000000001</v>
      </c>
      <c r="I595" t="s">
        <v>1936</v>
      </c>
      <c r="J595" s="16">
        <v>3271.7496000000001</v>
      </c>
      <c r="K595" s="19">
        <f t="shared" si="45"/>
        <v>1511289.9654999988</v>
      </c>
      <c r="L595" s="22">
        <f t="shared" si="46"/>
        <v>1074.1222213930339</v>
      </c>
      <c r="M595" s="22">
        <f t="shared" si="47"/>
        <v>489</v>
      </c>
      <c r="N595" s="22" t="str">
        <f t="shared" si="48"/>
        <v>High Value</v>
      </c>
      <c r="O595" s="22" t="str">
        <f t="shared" si="49"/>
        <v>Apr-2025</v>
      </c>
      <c r="P595" s="22" t="s">
        <v>1634</v>
      </c>
      <c r="Q595" s="22" t="s">
        <v>1569</v>
      </c>
      <c r="R595" s="22" t="s">
        <v>203</v>
      </c>
      <c r="S595" s="22"/>
      <c r="T595" s="22"/>
      <c r="V595" s="26" t="s">
        <v>1936</v>
      </c>
      <c r="W595" s="6">
        <v>2</v>
      </c>
    </row>
    <row r="596" spans="1:23">
      <c r="A596" t="s">
        <v>2531</v>
      </c>
      <c r="B596" s="8">
        <v>45765</v>
      </c>
      <c r="C596" t="s">
        <v>649</v>
      </c>
      <c r="D596" t="s">
        <v>1852</v>
      </c>
      <c r="E596" t="s">
        <v>1868</v>
      </c>
      <c r="F596">
        <v>1</v>
      </c>
      <c r="G596" s="10">
        <v>71.709999999999994</v>
      </c>
      <c r="H596" s="13">
        <v>0.23</v>
      </c>
      <c r="I596" t="s">
        <v>1936</v>
      </c>
      <c r="J596" s="16">
        <v>55.216700000000003</v>
      </c>
      <c r="K596" s="19">
        <f t="shared" si="45"/>
        <v>1508018.2158999988</v>
      </c>
      <c r="L596" s="22">
        <f t="shared" si="46"/>
        <v>1072.5591862731144</v>
      </c>
      <c r="M596" s="22">
        <f t="shared" si="47"/>
        <v>489</v>
      </c>
      <c r="N596" s="22" t="str">
        <f t="shared" si="48"/>
        <v>Low Value</v>
      </c>
      <c r="O596" s="22" t="str">
        <f t="shared" si="49"/>
        <v>Apr-2025</v>
      </c>
      <c r="P596" s="22" t="s">
        <v>1853</v>
      </c>
      <c r="Q596" s="22" t="s">
        <v>1560</v>
      </c>
      <c r="R596" s="22" t="s">
        <v>650</v>
      </c>
      <c r="S596" s="22"/>
      <c r="T596" s="22"/>
      <c r="V596" s="26" t="s">
        <v>1931</v>
      </c>
      <c r="W596" s="6">
        <v>3</v>
      </c>
    </row>
    <row r="597" spans="1:23">
      <c r="A597" t="s">
        <v>2532</v>
      </c>
      <c r="B597" s="8">
        <v>45891</v>
      </c>
      <c r="C597" t="s">
        <v>571</v>
      </c>
      <c r="D597" t="s">
        <v>1607</v>
      </c>
      <c r="E597" t="s">
        <v>1886</v>
      </c>
      <c r="F597">
        <v>4</v>
      </c>
      <c r="G597" s="10">
        <v>894.93</v>
      </c>
      <c r="H597" s="13">
        <v>0.05</v>
      </c>
      <c r="I597" t="s">
        <v>1936</v>
      </c>
      <c r="J597" s="16">
        <v>3400.733999999999</v>
      </c>
      <c r="K597" s="19">
        <f t="shared" si="45"/>
        <v>1507962.9991999988</v>
      </c>
      <c r="L597" s="22">
        <f t="shared" si="46"/>
        <v>1073.2832734519563</v>
      </c>
      <c r="M597" s="22">
        <f t="shared" si="47"/>
        <v>489</v>
      </c>
      <c r="N597" s="22" t="str">
        <f t="shared" si="48"/>
        <v>High Value</v>
      </c>
      <c r="O597" s="22" t="str">
        <f t="shared" si="49"/>
        <v>Aug-2025</v>
      </c>
      <c r="P597" s="22" t="s">
        <v>1608</v>
      </c>
      <c r="Q597" s="22" t="s">
        <v>1569</v>
      </c>
      <c r="R597" s="22" t="s">
        <v>572</v>
      </c>
      <c r="S597" s="22"/>
      <c r="T597" s="22"/>
      <c r="V597" s="26" t="s">
        <v>1933</v>
      </c>
      <c r="W597" s="6">
        <v>10</v>
      </c>
    </row>
    <row r="598" spans="1:23">
      <c r="A598" t="s">
        <v>2533</v>
      </c>
      <c r="B598" s="8">
        <v>45842</v>
      </c>
      <c r="C598" t="s">
        <v>658</v>
      </c>
      <c r="D598" t="s">
        <v>1789</v>
      </c>
      <c r="E598" t="s">
        <v>1889</v>
      </c>
      <c r="F598">
        <v>4</v>
      </c>
      <c r="G598" s="10">
        <v>870.18</v>
      </c>
      <c r="H598" s="13">
        <v>0.13</v>
      </c>
      <c r="I598" t="s">
        <v>1936</v>
      </c>
      <c r="J598" s="16">
        <v>3028.2264</v>
      </c>
      <c r="K598" s="19">
        <f t="shared" si="45"/>
        <v>1504562.2651999989</v>
      </c>
      <c r="L598" s="22">
        <f t="shared" si="46"/>
        <v>1071.6255450142442</v>
      </c>
      <c r="M598" s="22">
        <f t="shared" si="47"/>
        <v>489</v>
      </c>
      <c r="N598" s="22" t="str">
        <f t="shared" si="48"/>
        <v>High Value</v>
      </c>
      <c r="O598" s="22" t="str">
        <f t="shared" si="49"/>
        <v>Jul-2025</v>
      </c>
      <c r="P598" s="22" t="s">
        <v>1790</v>
      </c>
      <c r="Q598" s="22" t="s">
        <v>1560</v>
      </c>
      <c r="R598" s="22" t="s">
        <v>659</v>
      </c>
      <c r="S598" s="22"/>
      <c r="T598" s="22"/>
      <c r="V598" s="25" t="s">
        <v>734</v>
      </c>
      <c r="W598" s="6">
        <v>5</v>
      </c>
    </row>
    <row r="599" spans="1:23">
      <c r="A599" t="s">
        <v>2534</v>
      </c>
      <c r="B599" s="8">
        <v>45382</v>
      </c>
      <c r="C599" t="s">
        <v>883</v>
      </c>
      <c r="D599" t="s">
        <v>1746</v>
      </c>
      <c r="E599" t="s">
        <v>1868</v>
      </c>
      <c r="F599">
        <v>2</v>
      </c>
      <c r="G599" s="10">
        <v>552.72</v>
      </c>
      <c r="H599" s="13">
        <v>0.06</v>
      </c>
      <c r="I599" t="s">
        <v>1933</v>
      </c>
      <c r="J599" s="16">
        <v>1039.1135999999999</v>
      </c>
      <c r="K599" s="19">
        <f t="shared" si="45"/>
        <v>1501534.0387999988</v>
      </c>
      <c r="L599" s="22">
        <f t="shared" si="46"/>
        <v>1070.2309613684952</v>
      </c>
      <c r="M599" s="22">
        <f t="shared" si="47"/>
        <v>489</v>
      </c>
      <c r="N599" s="22" t="str">
        <f t="shared" si="48"/>
        <v>High Value</v>
      </c>
      <c r="O599" s="22" t="str">
        <f t="shared" si="49"/>
        <v>Mar-2024</v>
      </c>
      <c r="P599" s="22" t="s">
        <v>1747</v>
      </c>
      <c r="Q599" s="22" t="s">
        <v>1555</v>
      </c>
      <c r="R599" s="22" t="s">
        <v>884</v>
      </c>
      <c r="S599" s="22"/>
      <c r="T599" s="22"/>
      <c r="V599" s="26" t="s">
        <v>1936</v>
      </c>
      <c r="W599" s="6">
        <v>5</v>
      </c>
    </row>
    <row r="600" spans="1:23">
      <c r="A600" t="s">
        <v>2535</v>
      </c>
      <c r="B600" s="8">
        <v>45236</v>
      </c>
      <c r="C600" t="s">
        <v>789</v>
      </c>
      <c r="D600" t="s">
        <v>1668</v>
      </c>
      <c r="E600" t="s">
        <v>1889</v>
      </c>
      <c r="F600">
        <v>3</v>
      </c>
      <c r="G600" s="10">
        <v>700.43</v>
      </c>
      <c r="H600" s="13">
        <v>0.01</v>
      </c>
      <c r="I600" t="s">
        <v>1936</v>
      </c>
      <c r="J600" s="16">
        <v>2080.2770999999998</v>
      </c>
      <c r="K600" s="19">
        <f t="shared" si="45"/>
        <v>1500494.9251999988</v>
      </c>
      <c r="L600" s="22">
        <f t="shared" si="46"/>
        <v>1070.2531563480734</v>
      </c>
      <c r="M600" s="22">
        <f t="shared" si="47"/>
        <v>488</v>
      </c>
      <c r="N600" s="22" t="str">
        <f t="shared" si="48"/>
        <v>High Value</v>
      </c>
      <c r="O600" s="22" t="str">
        <f t="shared" si="49"/>
        <v>Nov-2023</v>
      </c>
      <c r="P600" s="22" t="s">
        <v>1669</v>
      </c>
      <c r="Q600" s="22" t="s">
        <v>1531</v>
      </c>
      <c r="R600" s="22" t="s">
        <v>790</v>
      </c>
      <c r="S600" s="22"/>
      <c r="T600" s="22"/>
      <c r="V600" s="25" t="s">
        <v>454</v>
      </c>
      <c r="W600" s="6">
        <v>12</v>
      </c>
    </row>
    <row r="601" spans="1:23">
      <c r="A601" t="s">
        <v>2536</v>
      </c>
      <c r="B601" s="8">
        <v>45806</v>
      </c>
      <c r="C601" t="s">
        <v>1061</v>
      </c>
      <c r="D601" t="s">
        <v>1567</v>
      </c>
      <c r="E601" t="s">
        <v>1868</v>
      </c>
      <c r="F601">
        <v>2</v>
      </c>
      <c r="G601" s="10">
        <v>823.03</v>
      </c>
      <c r="H601" s="13">
        <v>0.18</v>
      </c>
      <c r="I601" t="s">
        <v>1933</v>
      </c>
      <c r="J601" s="16">
        <v>1349.7692</v>
      </c>
      <c r="K601" s="19">
        <f t="shared" si="45"/>
        <v>1498414.6480999989</v>
      </c>
      <c r="L601" s="22">
        <f t="shared" si="46"/>
        <v>1069.5322256245531</v>
      </c>
      <c r="M601" s="22">
        <f t="shared" si="47"/>
        <v>488</v>
      </c>
      <c r="N601" s="22" t="str">
        <f t="shared" si="48"/>
        <v>High Value</v>
      </c>
      <c r="O601" s="22" t="str">
        <f t="shared" si="49"/>
        <v>May-2025</v>
      </c>
      <c r="P601" s="22" t="s">
        <v>1568</v>
      </c>
      <c r="Q601" s="22" t="s">
        <v>1569</v>
      </c>
      <c r="R601" s="22" t="s">
        <v>1062</v>
      </c>
      <c r="S601" s="22"/>
      <c r="T601" s="22"/>
      <c r="V601" s="26" t="s">
        <v>1936</v>
      </c>
      <c r="W601" s="6">
        <v>4</v>
      </c>
    </row>
    <row r="602" spans="1:23">
      <c r="A602" t="s">
        <v>2537</v>
      </c>
      <c r="B602" s="8">
        <v>45401</v>
      </c>
      <c r="C602" t="s">
        <v>815</v>
      </c>
      <c r="D602" t="s">
        <v>1831</v>
      </c>
      <c r="E602" t="s">
        <v>1883</v>
      </c>
      <c r="F602">
        <v>1</v>
      </c>
      <c r="G602" s="10">
        <v>117.37</v>
      </c>
      <c r="H602" s="13">
        <v>0.21</v>
      </c>
      <c r="I602" t="s">
        <v>1931</v>
      </c>
      <c r="J602" s="16">
        <v>92.722300000000004</v>
      </c>
      <c r="K602" s="19">
        <f t="shared" si="45"/>
        <v>1497064.8788999992</v>
      </c>
      <c r="L602" s="22">
        <f t="shared" si="46"/>
        <v>1069.3320563571424</v>
      </c>
      <c r="M602" s="22">
        <f t="shared" si="47"/>
        <v>487</v>
      </c>
      <c r="N602" s="22" t="str">
        <f t="shared" si="48"/>
        <v>Low Value</v>
      </c>
      <c r="O602" s="22" t="str">
        <f t="shared" si="49"/>
        <v>Apr-2024</v>
      </c>
      <c r="P602" s="22" t="s">
        <v>1832</v>
      </c>
      <c r="Q602" s="22" t="s">
        <v>1560</v>
      </c>
      <c r="R602" s="22" t="s">
        <v>816</v>
      </c>
      <c r="S602" s="22"/>
      <c r="T602" s="22"/>
      <c r="V602" s="26" t="s">
        <v>1931</v>
      </c>
      <c r="W602" s="6">
        <v>4</v>
      </c>
    </row>
    <row r="603" spans="1:23">
      <c r="A603" t="s">
        <v>2538</v>
      </c>
      <c r="B603" s="8">
        <v>45716</v>
      </c>
      <c r="C603" t="s">
        <v>364</v>
      </c>
      <c r="D603" t="s">
        <v>1722</v>
      </c>
      <c r="E603" t="s">
        <v>1864</v>
      </c>
      <c r="F603">
        <v>4</v>
      </c>
      <c r="G603" s="10">
        <v>165.37</v>
      </c>
      <c r="H603" s="13">
        <v>0.28999999999999998</v>
      </c>
      <c r="I603" t="s">
        <v>1931</v>
      </c>
      <c r="J603" s="16">
        <v>469.6508</v>
      </c>
      <c r="K603" s="19">
        <f t="shared" si="45"/>
        <v>1496972.1565999992</v>
      </c>
      <c r="L603" s="22">
        <f t="shared" si="46"/>
        <v>1070.0301333809857</v>
      </c>
      <c r="M603" s="22">
        <f t="shared" si="47"/>
        <v>487</v>
      </c>
      <c r="N603" s="22" t="str">
        <f t="shared" si="48"/>
        <v>Low Value</v>
      </c>
      <c r="O603" s="22" t="str">
        <f t="shared" si="49"/>
        <v>Feb-2025</v>
      </c>
      <c r="P603" s="22" t="s">
        <v>1723</v>
      </c>
      <c r="Q603" s="22" t="s">
        <v>1560</v>
      </c>
      <c r="R603" s="22" t="s">
        <v>365</v>
      </c>
      <c r="S603" s="22"/>
      <c r="T603" s="22"/>
      <c r="V603" s="26" t="s">
        <v>1933</v>
      </c>
      <c r="W603" s="6">
        <v>4</v>
      </c>
    </row>
    <row r="604" spans="1:23">
      <c r="A604" t="s">
        <v>2539</v>
      </c>
      <c r="B604" s="8">
        <v>45718</v>
      </c>
      <c r="C604" t="s">
        <v>1175</v>
      </c>
      <c r="D604" t="s">
        <v>1553</v>
      </c>
      <c r="E604" t="s">
        <v>1896</v>
      </c>
      <c r="F604">
        <v>3</v>
      </c>
      <c r="G604" s="10">
        <v>483.06</v>
      </c>
      <c r="H604" s="13">
        <v>0.05</v>
      </c>
      <c r="I604" t="s">
        <v>1931</v>
      </c>
      <c r="J604" s="16">
        <v>1376.721</v>
      </c>
      <c r="K604" s="19">
        <f t="shared" si="45"/>
        <v>1496502.5057999992</v>
      </c>
      <c r="L604" s="22">
        <f t="shared" si="46"/>
        <v>1070.4595892703858</v>
      </c>
      <c r="M604" s="22">
        <f t="shared" si="47"/>
        <v>487</v>
      </c>
      <c r="N604" s="22" t="str">
        <f t="shared" si="48"/>
        <v>High Value</v>
      </c>
      <c r="O604" s="22" t="str">
        <f t="shared" si="49"/>
        <v>Mar-2025</v>
      </c>
      <c r="P604" s="22" t="s">
        <v>1554</v>
      </c>
      <c r="Q604" s="22" t="s">
        <v>1555</v>
      </c>
      <c r="R604" s="22" t="s">
        <v>1176</v>
      </c>
      <c r="S604" s="22"/>
      <c r="T604" s="22"/>
      <c r="V604" s="25" t="s">
        <v>104</v>
      </c>
      <c r="W604" s="6">
        <v>5</v>
      </c>
    </row>
    <row r="605" spans="1:23">
      <c r="A605" t="s">
        <v>2540</v>
      </c>
      <c r="B605" s="8">
        <v>45379</v>
      </c>
      <c r="C605" t="s">
        <v>927</v>
      </c>
      <c r="D605" t="s">
        <v>1798</v>
      </c>
      <c r="E605" t="s">
        <v>1886</v>
      </c>
      <c r="F605">
        <v>4</v>
      </c>
      <c r="G605" s="10">
        <v>262.05</v>
      </c>
      <c r="H605" s="13">
        <v>0.24</v>
      </c>
      <c r="I605" t="s">
        <v>1933</v>
      </c>
      <c r="J605" s="16">
        <v>796.63200000000006</v>
      </c>
      <c r="K605" s="19">
        <f t="shared" si="45"/>
        <v>1495125.7847999991</v>
      </c>
      <c r="L605" s="22">
        <f t="shared" si="46"/>
        <v>1070.2403613457402</v>
      </c>
      <c r="M605" s="22">
        <f t="shared" si="47"/>
        <v>487</v>
      </c>
      <c r="N605" s="22" t="str">
        <f t="shared" si="48"/>
        <v>Low Value</v>
      </c>
      <c r="O605" s="22" t="str">
        <f t="shared" si="49"/>
        <v>Mar-2024</v>
      </c>
      <c r="P605" s="22" t="s">
        <v>1799</v>
      </c>
      <c r="Q605" s="22" t="s">
        <v>1569</v>
      </c>
      <c r="R605" s="22" t="s">
        <v>928</v>
      </c>
      <c r="S605" s="22"/>
      <c r="T605" s="22"/>
      <c r="V605" s="26" t="s">
        <v>1936</v>
      </c>
      <c r="W605" s="6">
        <v>2</v>
      </c>
    </row>
    <row r="606" spans="1:23">
      <c r="A606" t="s">
        <v>2541</v>
      </c>
      <c r="B606" s="8">
        <v>45635</v>
      </c>
      <c r="C606" t="s">
        <v>1419</v>
      </c>
      <c r="D606" t="s">
        <v>1586</v>
      </c>
      <c r="E606" t="s">
        <v>1906</v>
      </c>
      <c r="F606">
        <v>3</v>
      </c>
      <c r="G606" s="10">
        <v>970.89</v>
      </c>
      <c r="H606" s="13">
        <v>0.11</v>
      </c>
      <c r="I606" t="s">
        <v>1936</v>
      </c>
      <c r="J606" s="16">
        <v>2592.2763</v>
      </c>
      <c r="K606" s="19">
        <f t="shared" si="45"/>
        <v>1494329.1527999991</v>
      </c>
      <c r="L606" s="22">
        <f t="shared" si="46"/>
        <v>1070.4363558739249</v>
      </c>
      <c r="M606" s="22">
        <f t="shared" si="47"/>
        <v>486</v>
      </c>
      <c r="N606" s="22" t="str">
        <f t="shared" si="48"/>
        <v>High Value</v>
      </c>
      <c r="O606" s="22" t="str">
        <f t="shared" si="49"/>
        <v>Dec-2024</v>
      </c>
      <c r="P606" s="22" t="s">
        <v>1587</v>
      </c>
      <c r="Q606" s="22" t="s">
        <v>1560</v>
      </c>
      <c r="R606" s="22" t="s">
        <v>1420</v>
      </c>
      <c r="S606" s="22"/>
      <c r="T606" s="22"/>
      <c r="V606" s="26" t="s">
        <v>1931</v>
      </c>
      <c r="W606" s="6">
        <v>1</v>
      </c>
    </row>
    <row r="607" spans="1:23">
      <c r="A607" t="s">
        <v>2542</v>
      </c>
      <c r="B607" s="8">
        <v>45222</v>
      </c>
      <c r="C607" t="s">
        <v>700</v>
      </c>
      <c r="D607" t="s">
        <v>1771</v>
      </c>
      <c r="E607" t="s">
        <v>1859</v>
      </c>
      <c r="F607">
        <v>1</v>
      </c>
      <c r="G607" s="10">
        <v>61.11</v>
      </c>
      <c r="H607" s="13">
        <v>0.1</v>
      </c>
      <c r="I607" t="s">
        <v>1933</v>
      </c>
      <c r="J607" s="16">
        <v>54.999000000000002</v>
      </c>
      <c r="K607" s="19">
        <f t="shared" si="45"/>
        <v>1491736.8764999991</v>
      </c>
      <c r="L607" s="22">
        <f t="shared" si="46"/>
        <v>1069.345431182795</v>
      </c>
      <c r="M607" s="22">
        <f t="shared" si="47"/>
        <v>486</v>
      </c>
      <c r="N607" s="22" t="str">
        <f t="shared" si="48"/>
        <v>Low Value</v>
      </c>
      <c r="O607" s="22" t="str">
        <f t="shared" si="49"/>
        <v>Oct-2023</v>
      </c>
      <c r="P607" s="22" t="s">
        <v>1772</v>
      </c>
      <c r="Q607" s="22" t="s">
        <v>1569</v>
      </c>
      <c r="R607" s="22" t="s">
        <v>701</v>
      </c>
      <c r="S607" s="22"/>
      <c r="T607" s="22"/>
      <c r="V607" s="26" t="s">
        <v>1933</v>
      </c>
      <c r="W607" s="6">
        <v>2</v>
      </c>
    </row>
    <row r="608" spans="1:23">
      <c r="A608" t="s">
        <v>2543</v>
      </c>
      <c r="B608" s="8">
        <v>45555</v>
      </c>
      <c r="C608" t="s">
        <v>121</v>
      </c>
      <c r="D608" t="s">
        <v>1630</v>
      </c>
      <c r="E608" t="s">
        <v>1889</v>
      </c>
      <c r="F608">
        <v>3</v>
      </c>
      <c r="G608" s="10">
        <v>827.88</v>
      </c>
      <c r="H608" s="13">
        <v>0.19</v>
      </c>
      <c r="I608" t="s">
        <v>1933</v>
      </c>
      <c r="J608" s="16">
        <v>2011.7483999999999</v>
      </c>
      <c r="K608" s="19">
        <f t="shared" si="45"/>
        <v>1491681.877499999</v>
      </c>
      <c r="L608" s="22">
        <f t="shared" si="46"/>
        <v>1070.0730828550925</v>
      </c>
      <c r="M608" s="22">
        <f t="shared" si="47"/>
        <v>485</v>
      </c>
      <c r="N608" s="22" t="str">
        <f t="shared" si="48"/>
        <v>High Value</v>
      </c>
      <c r="O608" s="22" t="str">
        <f t="shared" si="49"/>
        <v>Sep-2024</v>
      </c>
      <c r="P608" s="22" t="s">
        <v>1631</v>
      </c>
      <c r="Q608" s="22" t="s">
        <v>1560</v>
      </c>
      <c r="R608" s="22" t="s">
        <v>122</v>
      </c>
      <c r="S608" s="22"/>
      <c r="T608" s="22"/>
      <c r="V608" s="25" t="s">
        <v>1091</v>
      </c>
      <c r="W608" s="6">
        <v>15</v>
      </c>
    </row>
    <row r="609" spans="1:23">
      <c r="A609" t="s">
        <v>2544</v>
      </c>
      <c r="B609" s="8">
        <v>45583</v>
      </c>
      <c r="C609" t="s">
        <v>1325</v>
      </c>
      <c r="D609" t="s">
        <v>1816</v>
      </c>
      <c r="E609" t="s">
        <v>1904</v>
      </c>
      <c r="F609">
        <v>3</v>
      </c>
      <c r="G609" s="10">
        <v>926.85</v>
      </c>
      <c r="H609" s="13">
        <v>0.18</v>
      </c>
      <c r="I609" t="s">
        <v>1936</v>
      </c>
      <c r="J609" s="16">
        <v>2280.0509999999999</v>
      </c>
      <c r="K609" s="19">
        <f t="shared" si="45"/>
        <v>1489670.1290999993</v>
      </c>
      <c r="L609" s="22">
        <f t="shared" si="46"/>
        <v>1069.3970776022968</v>
      </c>
      <c r="M609" s="22">
        <f t="shared" si="47"/>
        <v>484</v>
      </c>
      <c r="N609" s="22" t="str">
        <f t="shared" si="48"/>
        <v>High Value</v>
      </c>
      <c r="O609" s="22" t="str">
        <f t="shared" si="49"/>
        <v>Oct-2024</v>
      </c>
      <c r="P609" s="22" t="s">
        <v>1817</v>
      </c>
      <c r="Q609" s="22" t="s">
        <v>1560</v>
      </c>
      <c r="R609" s="22" t="s">
        <v>1326</v>
      </c>
      <c r="S609" s="22"/>
      <c r="T609" s="22"/>
      <c r="V609" s="26" t="s">
        <v>1931</v>
      </c>
      <c r="W609" s="6">
        <v>11</v>
      </c>
    </row>
    <row r="610" spans="1:23">
      <c r="A610" t="s">
        <v>2545</v>
      </c>
      <c r="B610" s="8">
        <v>45662</v>
      </c>
      <c r="C610" t="s">
        <v>996</v>
      </c>
      <c r="D610" t="s">
        <v>1572</v>
      </c>
      <c r="E610" t="s">
        <v>1906</v>
      </c>
      <c r="F610">
        <v>1</v>
      </c>
      <c r="G610" s="10">
        <v>874.59</v>
      </c>
      <c r="H610" s="13">
        <v>0.28999999999999998</v>
      </c>
      <c r="I610" t="s">
        <v>1933</v>
      </c>
      <c r="J610" s="16">
        <v>620.95889999999997</v>
      </c>
      <c r="K610" s="19">
        <f t="shared" si="45"/>
        <v>1487390.0780999991</v>
      </c>
      <c r="L610" s="22">
        <f t="shared" si="46"/>
        <v>1068.5273549568958</v>
      </c>
      <c r="M610" s="22">
        <f t="shared" si="47"/>
        <v>484</v>
      </c>
      <c r="N610" s="22" t="str">
        <f t="shared" si="48"/>
        <v>Low Value</v>
      </c>
      <c r="O610" s="22" t="str">
        <f t="shared" si="49"/>
        <v>Jan-2025</v>
      </c>
      <c r="P610" s="22" t="s">
        <v>1573</v>
      </c>
      <c r="Q610" s="22" t="s">
        <v>1560</v>
      </c>
      <c r="R610" s="22" t="s">
        <v>997</v>
      </c>
      <c r="S610" s="22"/>
      <c r="T610" s="22"/>
      <c r="V610" s="26" t="s">
        <v>1933</v>
      </c>
      <c r="W610" s="6">
        <v>4</v>
      </c>
    </row>
    <row r="611" spans="1:23">
      <c r="A611" t="s">
        <v>2546</v>
      </c>
      <c r="B611" s="8">
        <v>45921</v>
      </c>
      <c r="C611" t="s">
        <v>1439</v>
      </c>
      <c r="D611" t="s">
        <v>1590</v>
      </c>
      <c r="E611" t="s">
        <v>1864</v>
      </c>
      <c r="F611">
        <v>4</v>
      </c>
      <c r="G611" s="10">
        <v>479.11</v>
      </c>
      <c r="H611" s="13">
        <v>0.24</v>
      </c>
      <c r="I611" t="s">
        <v>1933</v>
      </c>
      <c r="J611" s="16">
        <v>1456.4944</v>
      </c>
      <c r="K611" s="19">
        <f t="shared" si="45"/>
        <v>1486769.1191999991</v>
      </c>
      <c r="L611" s="22">
        <f t="shared" si="46"/>
        <v>1068.8491151689425</v>
      </c>
      <c r="M611" s="22">
        <f t="shared" si="47"/>
        <v>483</v>
      </c>
      <c r="N611" s="22" t="str">
        <f t="shared" si="48"/>
        <v>High Value</v>
      </c>
      <c r="O611" s="22" t="str">
        <f t="shared" si="49"/>
        <v>Sep-2025</v>
      </c>
      <c r="P611" s="22" t="s">
        <v>1591</v>
      </c>
      <c r="Q611" s="22" t="s">
        <v>1531</v>
      </c>
      <c r="R611" s="22" t="s">
        <v>1440</v>
      </c>
      <c r="S611" s="22"/>
      <c r="T611" s="22"/>
      <c r="V611" s="25" t="s">
        <v>1215</v>
      </c>
      <c r="W611" s="6">
        <v>7</v>
      </c>
    </row>
    <row r="612" spans="1:23">
      <c r="A612" t="s">
        <v>2547</v>
      </c>
      <c r="B612" s="8">
        <v>45490</v>
      </c>
      <c r="C612" t="s">
        <v>691</v>
      </c>
      <c r="D612" t="s">
        <v>1646</v>
      </c>
      <c r="E612" t="s">
        <v>1914</v>
      </c>
      <c r="F612">
        <v>3</v>
      </c>
      <c r="G612" s="10">
        <v>182.91</v>
      </c>
      <c r="H612" s="13">
        <v>0.28999999999999998</v>
      </c>
      <c r="I612" t="s">
        <v>1931</v>
      </c>
      <c r="J612" s="16">
        <v>389.59829999999999</v>
      </c>
      <c r="K612" s="19">
        <f t="shared" si="45"/>
        <v>1485312.6247999992</v>
      </c>
      <c r="L612" s="22">
        <f t="shared" si="46"/>
        <v>1068.5702336690642</v>
      </c>
      <c r="M612" s="22">
        <f t="shared" si="47"/>
        <v>482</v>
      </c>
      <c r="N612" s="22" t="str">
        <f t="shared" si="48"/>
        <v>Low Value</v>
      </c>
      <c r="O612" s="22" t="str">
        <f t="shared" si="49"/>
        <v>Jul-2024</v>
      </c>
      <c r="P612" s="22" t="s">
        <v>1647</v>
      </c>
      <c r="Q612" s="22" t="s">
        <v>1555</v>
      </c>
      <c r="R612" s="22" t="s">
        <v>692</v>
      </c>
      <c r="S612" s="22"/>
      <c r="T612" s="22"/>
      <c r="V612" s="26" t="s">
        <v>1936</v>
      </c>
      <c r="W612" s="6">
        <v>2</v>
      </c>
    </row>
    <row r="613" spans="1:23">
      <c r="A613" t="s">
        <v>2548</v>
      </c>
      <c r="B613" s="8">
        <v>45652</v>
      </c>
      <c r="C613" t="s">
        <v>865</v>
      </c>
      <c r="D613" t="s">
        <v>1652</v>
      </c>
      <c r="E613" t="s">
        <v>1880</v>
      </c>
      <c r="F613">
        <v>4</v>
      </c>
      <c r="G613" s="10">
        <v>745.51</v>
      </c>
      <c r="H613" s="13">
        <v>0.05</v>
      </c>
      <c r="I613" t="s">
        <v>1931</v>
      </c>
      <c r="J613" s="16">
        <v>2832.9380000000001</v>
      </c>
      <c r="K613" s="19">
        <f t="shared" si="45"/>
        <v>1484923.026499999</v>
      </c>
      <c r="L613" s="22">
        <f t="shared" si="46"/>
        <v>1069.0590543556509</v>
      </c>
      <c r="M613" s="22">
        <f t="shared" si="47"/>
        <v>482</v>
      </c>
      <c r="N613" s="22" t="str">
        <f t="shared" si="48"/>
        <v>High Value</v>
      </c>
      <c r="O613" s="22" t="str">
        <f t="shared" si="49"/>
        <v>Dec-2024</v>
      </c>
      <c r="P613" s="22" t="s">
        <v>1653</v>
      </c>
      <c r="Q613" s="22" t="s">
        <v>1531</v>
      </c>
      <c r="R613" s="22" t="s">
        <v>866</v>
      </c>
      <c r="S613" s="22"/>
      <c r="T613" s="22"/>
      <c r="V613" s="26" t="s">
        <v>1931</v>
      </c>
      <c r="W613" s="6">
        <v>5</v>
      </c>
    </row>
    <row r="614" spans="1:23">
      <c r="A614" t="s">
        <v>2549</v>
      </c>
      <c r="B614" s="8">
        <v>45598</v>
      </c>
      <c r="C614" t="s">
        <v>1470</v>
      </c>
      <c r="D614" t="s">
        <v>1819</v>
      </c>
      <c r="E614" t="s">
        <v>1908</v>
      </c>
      <c r="F614">
        <v>3</v>
      </c>
      <c r="G614" s="10">
        <v>920.61</v>
      </c>
      <c r="H614" s="13">
        <v>0.04</v>
      </c>
      <c r="I614" t="s">
        <v>1931</v>
      </c>
      <c r="J614" s="16">
        <v>2651.3568</v>
      </c>
      <c r="K614" s="19">
        <f t="shared" si="45"/>
        <v>1482090.0884999989</v>
      </c>
      <c r="L614" s="22">
        <f t="shared" si="46"/>
        <v>1067.7882481988465</v>
      </c>
      <c r="M614" s="22">
        <f t="shared" si="47"/>
        <v>482</v>
      </c>
      <c r="N614" s="22" t="str">
        <f t="shared" si="48"/>
        <v>High Value</v>
      </c>
      <c r="O614" s="22" t="str">
        <f t="shared" si="49"/>
        <v>Nov-2024</v>
      </c>
      <c r="P614" s="22" t="s">
        <v>1820</v>
      </c>
      <c r="Q614" s="22" t="s">
        <v>1569</v>
      </c>
      <c r="R614" s="22" t="s">
        <v>1471</v>
      </c>
      <c r="S614" s="22"/>
      <c r="T614" s="22"/>
      <c r="V614" s="25" t="s">
        <v>1300</v>
      </c>
      <c r="W614" s="6">
        <v>8</v>
      </c>
    </row>
    <row r="615" spans="1:23">
      <c r="A615" t="s">
        <v>2550</v>
      </c>
      <c r="B615" s="8">
        <v>45772</v>
      </c>
      <c r="C615" t="s">
        <v>1310</v>
      </c>
      <c r="D615" t="s">
        <v>1780</v>
      </c>
      <c r="E615" t="s">
        <v>1896</v>
      </c>
      <c r="F615">
        <v>4</v>
      </c>
      <c r="G615" s="10">
        <v>659.03</v>
      </c>
      <c r="H615" s="13">
        <v>0.15</v>
      </c>
      <c r="I615" t="s">
        <v>1931</v>
      </c>
      <c r="J615" s="16">
        <v>2240.7020000000002</v>
      </c>
      <c r="K615" s="19">
        <f t="shared" si="45"/>
        <v>1479438.731699999</v>
      </c>
      <c r="L615" s="22">
        <f t="shared" si="46"/>
        <v>1066.6465260994946</v>
      </c>
      <c r="M615" s="22">
        <f t="shared" si="47"/>
        <v>482</v>
      </c>
      <c r="N615" s="22" t="str">
        <f t="shared" si="48"/>
        <v>High Value</v>
      </c>
      <c r="O615" s="22" t="str">
        <f t="shared" si="49"/>
        <v>Apr-2025</v>
      </c>
      <c r="P615" s="22" t="s">
        <v>1781</v>
      </c>
      <c r="Q615" s="22" t="s">
        <v>1536</v>
      </c>
      <c r="R615" s="22" t="s">
        <v>1311</v>
      </c>
      <c r="S615" s="22"/>
      <c r="T615" s="22"/>
      <c r="V615" s="26" t="s">
        <v>1931</v>
      </c>
      <c r="W615" s="6">
        <v>2</v>
      </c>
    </row>
    <row r="616" spans="1:23">
      <c r="A616" t="s">
        <v>2551</v>
      </c>
      <c r="B616" s="8">
        <v>45338</v>
      </c>
      <c r="C616" t="s">
        <v>2552</v>
      </c>
      <c r="D616" t="s">
        <v>1567</v>
      </c>
      <c r="E616" t="s">
        <v>1868</v>
      </c>
      <c r="F616">
        <v>1</v>
      </c>
      <c r="G616" s="10">
        <v>312.91000000000003</v>
      </c>
      <c r="H616" s="13">
        <v>0.12</v>
      </c>
      <c r="I616" t="s">
        <v>1933</v>
      </c>
      <c r="J616" s="16">
        <v>275.36079999999998</v>
      </c>
      <c r="K616" s="19">
        <f t="shared" si="45"/>
        <v>1477198.0296999989</v>
      </c>
      <c r="L616" s="22">
        <f t="shared" si="46"/>
        <v>1065.7994442279935</v>
      </c>
      <c r="M616" s="22">
        <f t="shared" si="47"/>
        <v>482</v>
      </c>
      <c r="N616" s="22" t="str">
        <f t="shared" si="48"/>
        <v>Low Value</v>
      </c>
      <c r="O616" s="22" t="str">
        <f t="shared" si="49"/>
        <v>Feb-2024</v>
      </c>
      <c r="P616" s="22" t="s">
        <v>1568</v>
      </c>
      <c r="Q616" s="22" t="s">
        <v>1569</v>
      </c>
      <c r="R616" s="22" t="s">
        <v>1498</v>
      </c>
      <c r="S616" s="22"/>
      <c r="T616" s="22"/>
      <c r="V616" s="26" t="s">
        <v>1933</v>
      </c>
      <c r="W616" s="6">
        <v>6</v>
      </c>
    </row>
    <row r="617" spans="1:23">
      <c r="A617" t="s">
        <v>2553</v>
      </c>
      <c r="B617" s="8">
        <v>45524</v>
      </c>
      <c r="C617" t="s">
        <v>736</v>
      </c>
      <c r="D617" t="s">
        <v>1579</v>
      </c>
      <c r="E617" t="s">
        <v>1917</v>
      </c>
      <c r="F617">
        <v>4</v>
      </c>
      <c r="G617" s="10">
        <v>705.64</v>
      </c>
      <c r="H617" s="13">
        <v>0.11</v>
      </c>
      <c r="I617" t="s">
        <v>1933</v>
      </c>
      <c r="J617" s="16">
        <v>2512.0783999999999</v>
      </c>
      <c r="K617" s="19">
        <f t="shared" si="45"/>
        <v>1476922.6688999988</v>
      </c>
      <c r="L617" s="22">
        <f t="shared" si="46"/>
        <v>1066.3701580505406</v>
      </c>
      <c r="M617" s="22">
        <f t="shared" si="47"/>
        <v>481</v>
      </c>
      <c r="N617" s="22" t="str">
        <f t="shared" si="48"/>
        <v>High Value</v>
      </c>
      <c r="O617" s="22" t="str">
        <f t="shared" si="49"/>
        <v>Aug-2024</v>
      </c>
      <c r="P617" s="22" t="s">
        <v>1580</v>
      </c>
      <c r="Q617" s="22" t="s">
        <v>1555</v>
      </c>
      <c r="R617" s="22" t="s">
        <v>737</v>
      </c>
      <c r="S617" s="22"/>
      <c r="T617" s="22"/>
      <c r="V617" s="25" t="s">
        <v>371</v>
      </c>
      <c r="W617" s="6">
        <v>6</v>
      </c>
    </row>
    <row r="618" spans="1:23">
      <c r="A618" t="s">
        <v>2554</v>
      </c>
      <c r="B618" s="8">
        <v>45497</v>
      </c>
      <c r="C618" t="s">
        <v>485</v>
      </c>
      <c r="D618" t="s">
        <v>1567</v>
      </c>
      <c r="E618" t="s">
        <v>1896</v>
      </c>
      <c r="F618">
        <v>4</v>
      </c>
      <c r="G618" s="10">
        <v>386.41</v>
      </c>
      <c r="H618" s="13">
        <v>0.13</v>
      </c>
      <c r="I618" t="s">
        <v>1936</v>
      </c>
      <c r="J618" s="16">
        <v>1344.7067999999999</v>
      </c>
      <c r="K618" s="19">
        <f t="shared" si="45"/>
        <v>1474410.590499999</v>
      </c>
      <c r="L618" s="22">
        <f t="shared" si="46"/>
        <v>1065.3255711705194</v>
      </c>
      <c r="M618" s="22">
        <f t="shared" si="47"/>
        <v>480</v>
      </c>
      <c r="N618" s="22" t="str">
        <f t="shared" si="48"/>
        <v>High Value</v>
      </c>
      <c r="O618" s="22" t="str">
        <f t="shared" si="49"/>
        <v>Jul-2024</v>
      </c>
      <c r="P618" s="22" t="s">
        <v>1568</v>
      </c>
      <c r="Q618" s="22" t="s">
        <v>1569</v>
      </c>
      <c r="R618" s="22" t="s">
        <v>486</v>
      </c>
      <c r="S618" s="22"/>
      <c r="T618" s="22"/>
      <c r="V618" s="26" t="s">
        <v>1936</v>
      </c>
      <c r="W618" s="6">
        <v>3</v>
      </c>
    </row>
    <row r="619" spans="1:23">
      <c r="A619" t="s">
        <v>2555</v>
      </c>
      <c r="B619" s="8">
        <v>45534</v>
      </c>
      <c r="C619" t="s">
        <v>121</v>
      </c>
      <c r="D619" t="s">
        <v>1837</v>
      </c>
      <c r="E619" t="s">
        <v>1899</v>
      </c>
      <c r="F619">
        <v>3</v>
      </c>
      <c r="G619" s="10">
        <v>265.89</v>
      </c>
      <c r="H619" s="13">
        <v>0.08</v>
      </c>
      <c r="I619" t="s">
        <v>1936</v>
      </c>
      <c r="J619" s="16">
        <v>733.85640000000001</v>
      </c>
      <c r="K619" s="19">
        <f t="shared" si="45"/>
        <v>1473065.883699999</v>
      </c>
      <c r="L619" s="22">
        <f t="shared" si="46"/>
        <v>1065.1235601590738</v>
      </c>
      <c r="M619" s="22">
        <f t="shared" si="47"/>
        <v>480</v>
      </c>
      <c r="N619" s="22" t="str">
        <f t="shared" si="48"/>
        <v>Low Value</v>
      </c>
      <c r="O619" s="22" t="str">
        <f t="shared" si="49"/>
        <v>Aug-2024</v>
      </c>
      <c r="P619" s="22" t="s">
        <v>1838</v>
      </c>
      <c r="Q619" s="22" t="s">
        <v>1555</v>
      </c>
      <c r="R619" s="22" t="s">
        <v>122</v>
      </c>
      <c r="S619" s="22"/>
      <c r="T619" s="22"/>
      <c r="V619" s="26" t="s">
        <v>1931</v>
      </c>
      <c r="W619" s="6">
        <v>3</v>
      </c>
    </row>
    <row r="620" spans="1:23">
      <c r="A620" t="s">
        <v>2556</v>
      </c>
      <c r="B620" s="8">
        <v>45925</v>
      </c>
      <c r="C620" t="s">
        <v>272</v>
      </c>
      <c r="D620" t="s">
        <v>1639</v>
      </c>
      <c r="E620" t="s">
        <v>1911</v>
      </c>
      <c r="F620">
        <v>1</v>
      </c>
      <c r="G620" s="10">
        <v>703.16</v>
      </c>
      <c r="H620" s="13">
        <v>0.28999999999999998</v>
      </c>
      <c r="I620" t="s">
        <v>1931</v>
      </c>
      <c r="J620" s="16">
        <v>499.24360000000001</v>
      </c>
      <c r="K620" s="19">
        <f t="shared" si="45"/>
        <v>1472332.0272999988</v>
      </c>
      <c r="L620" s="22">
        <f t="shared" si="46"/>
        <v>1065.3632614327053</v>
      </c>
      <c r="M620" s="22">
        <f t="shared" si="47"/>
        <v>480</v>
      </c>
      <c r="N620" s="22" t="str">
        <f t="shared" si="48"/>
        <v>Low Value</v>
      </c>
      <c r="O620" s="22" t="str">
        <f t="shared" si="49"/>
        <v>Sep-2025</v>
      </c>
      <c r="P620" s="22" t="s">
        <v>1640</v>
      </c>
      <c r="Q620" s="22" t="s">
        <v>1560</v>
      </c>
      <c r="R620" s="22" t="s">
        <v>273</v>
      </c>
      <c r="S620" s="22"/>
      <c r="T620" s="22"/>
      <c r="V620" s="25" t="s">
        <v>902</v>
      </c>
      <c r="W620" s="6">
        <v>1</v>
      </c>
    </row>
    <row r="621" spans="1:23">
      <c r="A621" t="s">
        <v>2557</v>
      </c>
      <c r="B621" s="8">
        <v>45765</v>
      </c>
      <c r="C621" t="s">
        <v>1442</v>
      </c>
      <c r="D621" t="s">
        <v>1846</v>
      </c>
      <c r="E621" t="s">
        <v>1904</v>
      </c>
      <c r="F621">
        <v>2</v>
      </c>
      <c r="G621" s="10">
        <v>394.5</v>
      </c>
      <c r="H621" s="13">
        <v>0.28999999999999998</v>
      </c>
      <c r="I621" t="s">
        <v>1936</v>
      </c>
      <c r="J621" s="16">
        <v>560.18999999999994</v>
      </c>
      <c r="K621" s="19">
        <f t="shared" si="45"/>
        <v>1471832.7836999986</v>
      </c>
      <c r="L621" s="22">
        <f t="shared" si="46"/>
        <v>1065.7731960173778</v>
      </c>
      <c r="M621" s="22">
        <f t="shared" si="47"/>
        <v>480</v>
      </c>
      <c r="N621" s="22" t="str">
        <f t="shared" si="48"/>
        <v>Low Value</v>
      </c>
      <c r="O621" s="22" t="str">
        <f t="shared" si="49"/>
        <v>Apr-2025</v>
      </c>
      <c r="P621" s="22" t="s">
        <v>1847</v>
      </c>
      <c r="Q621" s="22" t="s">
        <v>1569</v>
      </c>
      <c r="R621" s="22" t="s">
        <v>1443</v>
      </c>
      <c r="S621" s="22"/>
      <c r="T621" s="22"/>
      <c r="V621" s="26" t="s">
        <v>1933</v>
      </c>
      <c r="W621" s="6">
        <v>1</v>
      </c>
    </row>
    <row r="622" spans="1:23">
      <c r="A622" t="s">
        <v>2558</v>
      </c>
      <c r="B622" s="8">
        <v>45882</v>
      </c>
      <c r="C622" t="s">
        <v>403</v>
      </c>
      <c r="D622" t="s">
        <v>1846</v>
      </c>
      <c r="E622" t="s">
        <v>1886</v>
      </c>
      <c r="F622">
        <v>3</v>
      </c>
      <c r="G622" s="10">
        <v>411.25</v>
      </c>
      <c r="H622" s="13">
        <v>0.05</v>
      </c>
      <c r="I622" t="s">
        <v>1931</v>
      </c>
      <c r="J622" s="16">
        <v>1172.0625</v>
      </c>
      <c r="K622" s="19">
        <f t="shared" si="45"/>
        <v>1471272.5936999987</v>
      </c>
      <c r="L622" s="22">
        <f t="shared" si="46"/>
        <v>1066.139560652173</v>
      </c>
      <c r="M622" s="22">
        <f t="shared" si="47"/>
        <v>480</v>
      </c>
      <c r="N622" s="22" t="str">
        <f t="shared" si="48"/>
        <v>High Value</v>
      </c>
      <c r="O622" s="22" t="str">
        <f t="shared" si="49"/>
        <v>Aug-2025</v>
      </c>
      <c r="P622" s="22" t="s">
        <v>1847</v>
      </c>
      <c r="Q622" s="22" t="s">
        <v>1569</v>
      </c>
      <c r="R622" s="22" t="s">
        <v>404</v>
      </c>
      <c r="S622" s="22"/>
      <c r="T622" s="22"/>
      <c r="V622" s="25" t="s">
        <v>1263</v>
      </c>
      <c r="W622" s="6">
        <v>6</v>
      </c>
    </row>
    <row r="623" spans="1:23">
      <c r="A623" t="s">
        <v>2559</v>
      </c>
      <c r="B623" s="8">
        <v>45923</v>
      </c>
      <c r="C623" t="s">
        <v>1102</v>
      </c>
      <c r="D623" t="s">
        <v>1697</v>
      </c>
      <c r="E623" t="s">
        <v>1868</v>
      </c>
      <c r="F623">
        <v>4</v>
      </c>
      <c r="G623" s="10">
        <v>395.45</v>
      </c>
      <c r="H623" s="13">
        <v>0.01</v>
      </c>
      <c r="I623" t="s">
        <v>1931</v>
      </c>
      <c r="J623" s="16">
        <v>1565.982</v>
      </c>
      <c r="K623" s="19">
        <f t="shared" si="45"/>
        <v>1470100.5311999989</v>
      </c>
      <c r="L623" s="22">
        <f t="shared" si="46"/>
        <v>1066.0627492385779</v>
      </c>
      <c r="M623" s="22">
        <f t="shared" si="47"/>
        <v>480</v>
      </c>
      <c r="N623" s="22" t="str">
        <f t="shared" si="48"/>
        <v>High Value</v>
      </c>
      <c r="O623" s="22" t="str">
        <f t="shared" si="49"/>
        <v>Sep-2025</v>
      </c>
      <c r="P623" s="22" t="s">
        <v>1698</v>
      </c>
      <c r="Q623" s="22" t="s">
        <v>1531</v>
      </c>
      <c r="R623" s="22" t="s">
        <v>3955</v>
      </c>
      <c r="S623" s="22"/>
      <c r="T623" s="22"/>
      <c r="V623" s="26" t="s">
        <v>1936</v>
      </c>
      <c r="W623" s="6">
        <v>4</v>
      </c>
    </row>
    <row r="624" spans="1:23">
      <c r="A624" t="s">
        <v>2560</v>
      </c>
      <c r="B624" s="8">
        <v>45421</v>
      </c>
      <c r="C624" t="s">
        <v>143</v>
      </c>
      <c r="D624" t="s">
        <v>1825</v>
      </c>
      <c r="E624" t="s">
        <v>1880</v>
      </c>
      <c r="F624">
        <v>2</v>
      </c>
      <c r="G624" s="10">
        <v>678.98</v>
      </c>
      <c r="H624" s="13">
        <v>0.23</v>
      </c>
      <c r="I624" t="s">
        <v>1931</v>
      </c>
      <c r="J624" s="16">
        <v>1045.6292000000001</v>
      </c>
      <c r="K624" s="19">
        <f t="shared" si="45"/>
        <v>1468534.5491999988</v>
      </c>
      <c r="L624" s="22">
        <f t="shared" si="46"/>
        <v>1065.6999631349775</v>
      </c>
      <c r="M624" s="22">
        <f t="shared" si="47"/>
        <v>480</v>
      </c>
      <c r="N624" s="22" t="str">
        <f t="shared" si="48"/>
        <v>High Value</v>
      </c>
      <c r="O624" s="22" t="str">
        <f t="shared" si="49"/>
        <v>May-2024</v>
      </c>
      <c r="P624" s="22" t="s">
        <v>1826</v>
      </c>
      <c r="Q624" s="22" t="s">
        <v>1531</v>
      </c>
      <c r="R624" s="22" t="s">
        <v>144</v>
      </c>
      <c r="S624" s="22"/>
      <c r="T624" s="22"/>
      <c r="V624" s="26" t="s">
        <v>1931</v>
      </c>
      <c r="W624" s="6">
        <v>2</v>
      </c>
    </row>
    <row r="625" spans="1:23">
      <c r="A625" t="s">
        <v>2561</v>
      </c>
      <c r="B625" s="8">
        <v>45608</v>
      </c>
      <c r="C625" t="s">
        <v>261</v>
      </c>
      <c r="D625" t="s">
        <v>1630</v>
      </c>
      <c r="E625" t="s">
        <v>1906</v>
      </c>
      <c r="F625">
        <v>4</v>
      </c>
      <c r="G625" s="10">
        <v>757.71</v>
      </c>
      <c r="H625" s="13">
        <v>0.26</v>
      </c>
      <c r="I625" t="s">
        <v>1936</v>
      </c>
      <c r="J625" s="16">
        <v>2242.8216000000002</v>
      </c>
      <c r="K625" s="19">
        <f t="shared" si="45"/>
        <v>1467488.919999999</v>
      </c>
      <c r="L625" s="22">
        <f t="shared" si="46"/>
        <v>1065.7145388525773</v>
      </c>
      <c r="M625" s="22">
        <f t="shared" si="47"/>
        <v>480</v>
      </c>
      <c r="N625" s="22" t="str">
        <f t="shared" si="48"/>
        <v>High Value</v>
      </c>
      <c r="O625" s="22" t="str">
        <f t="shared" si="49"/>
        <v>Nov-2024</v>
      </c>
      <c r="P625" s="22" t="s">
        <v>1631</v>
      </c>
      <c r="Q625" s="22" t="s">
        <v>1560</v>
      </c>
      <c r="R625" s="22" t="s">
        <v>262</v>
      </c>
      <c r="S625" s="22"/>
      <c r="T625" s="22"/>
      <c r="V625" s="25" t="s">
        <v>1269</v>
      </c>
      <c r="W625" s="6">
        <v>7</v>
      </c>
    </row>
    <row r="626" spans="1:23">
      <c r="A626" t="s">
        <v>2562</v>
      </c>
      <c r="B626" s="8">
        <v>45644</v>
      </c>
      <c r="C626" t="s">
        <v>218</v>
      </c>
      <c r="D626" t="s">
        <v>1837</v>
      </c>
      <c r="E626" t="s">
        <v>1876</v>
      </c>
      <c r="F626">
        <v>1</v>
      </c>
      <c r="G626" s="10">
        <v>647.86</v>
      </c>
      <c r="H626" s="13">
        <v>0.05</v>
      </c>
      <c r="I626" t="s">
        <v>1936</v>
      </c>
      <c r="J626" s="16">
        <v>615.46699999999998</v>
      </c>
      <c r="K626" s="19">
        <f t="shared" si="45"/>
        <v>1465246.0983999986</v>
      </c>
      <c r="L626" s="22">
        <f t="shared" si="46"/>
        <v>1064.8590831395338</v>
      </c>
      <c r="M626" s="22">
        <f t="shared" si="47"/>
        <v>480</v>
      </c>
      <c r="N626" s="22" t="str">
        <f t="shared" si="48"/>
        <v>Low Value</v>
      </c>
      <c r="O626" s="22" t="str">
        <f t="shared" si="49"/>
        <v>Dec-2024</v>
      </c>
      <c r="P626" s="22" t="s">
        <v>1838</v>
      </c>
      <c r="Q626" s="22" t="s">
        <v>1555</v>
      </c>
      <c r="R626" s="22" t="s">
        <v>219</v>
      </c>
      <c r="S626" s="22"/>
      <c r="T626" s="22"/>
      <c r="V626" s="26" t="s">
        <v>1933</v>
      </c>
      <c r="W626" s="6">
        <v>7</v>
      </c>
    </row>
    <row r="627" spans="1:23">
      <c r="A627" t="s">
        <v>2563</v>
      </c>
      <c r="B627" s="8">
        <v>45517</v>
      </c>
      <c r="C627" t="s">
        <v>459</v>
      </c>
      <c r="D627" t="s">
        <v>1579</v>
      </c>
      <c r="E627" t="s">
        <v>1883</v>
      </c>
      <c r="F627">
        <v>2</v>
      </c>
      <c r="G627" s="10">
        <v>179.64</v>
      </c>
      <c r="H627" s="13">
        <v>0.1</v>
      </c>
      <c r="I627" t="s">
        <v>1933</v>
      </c>
      <c r="J627" s="16">
        <v>323.35199999999998</v>
      </c>
      <c r="K627" s="19">
        <f t="shared" si="45"/>
        <v>1464630.6313999989</v>
      </c>
      <c r="L627" s="22">
        <f t="shared" si="46"/>
        <v>1065.1859137454537</v>
      </c>
      <c r="M627" s="22">
        <f t="shared" si="47"/>
        <v>480</v>
      </c>
      <c r="N627" s="22" t="str">
        <f t="shared" si="48"/>
        <v>Low Value</v>
      </c>
      <c r="O627" s="22" t="str">
        <f t="shared" si="49"/>
        <v>Aug-2024</v>
      </c>
      <c r="P627" s="22" t="s">
        <v>1580</v>
      </c>
      <c r="Q627" s="22" t="s">
        <v>1555</v>
      </c>
      <c r="R627" s="22" t="s">
        <v>460</v>
      </c>
      <c r="S627" s="22"/>
      <c r="T627" s="22"/>
      <c r="V627" s="25" t="s">
        <v>413</v>
      </c>
      <c r="W627" s="6">
        <v>9</v>
      </c>
    </row>
    <row r="628" spans="1:23">
      <c r="A628" t="s">
        <v>2564</v>
      </c>
      <c r="B628" s="8">
        <v>45545</v>
      </c>
      <c r="C628" t="s">
        <v>1229</v>
      </c>
      <c r="D628" t="s">
        <v>1740</v>
      </c>
      <c r="E628" t="s">
        <v>1876</v>
      </c>
      <c r="F628">
        <v>3</v>
      </c>
      <c r="G628" s="10">
        <v>392.65</v>
      </c>
      <c r="H628" s="13">
        <v>0.17</v>
      </c>
      <c r="I628" t="s">
        <v>1933</v>
      </c>
      <c r="J628" s="16">
        <v>977.69849999999985</v>
      </c>
      <c r="K628" s="19">
        <f t="shared" si="45"/>
        <v>1464307.279399999</v>
      </c>
      <c r="L628" s="22">
        <f t="shared" si="46"/>
        <v>1065.7258219796208</v>
      </c>
      <c r="M628" s="22">
        <f t="shared" si="47"/>
        <v>479</v>
      </c>
      <c r="N628" s="22" t="str">
        <f t="shared" si="48"/>
        <v>Low Value</v>
      </c>
      <c r="O628" s="22" t="str">
        <f t="shared" si="49"/>
        <v>Sep-2024</v>
      </c>
      <c r="P628" s="22" t="s">
        <v>1741</v>
      </c>
      <c r="Q628" s="22" t="s">
        <v>1531</v>
      </c>
      <c r="R628" s="22" t="s">
        <v>1230</v>
      </c>
      <c r="S628" s="22"/>
      <c r="T628" s="22"/>
      <c r="V628" s="26" t="s">
        <v>1936</v>
      </c>
      <c r="W628" s="6">
        <v>2</v>
      </c>
    </row>
    <row r="629" spans="1:23">
      <c r="A629" t="s">
        <v>2565</v>
      </c>
      <c r="B629" s="8">
        <v>45547</v>
      </c>
      <c r="C629" t="s">
        <v>580</v>
      </c>
      <c r="D629" t="s">
        <v>1828</v>
      </c>
      <c r="E629" t="s">
        <v>1911</v>
      </c>
      <c r="F629">
        <v>4</v>
      </c>
      <c r="G629" s="10">
        <v>969.55</v>
      </c>
      <c r="H629" s="13">
        <v>0.09</v>
      </c>
      <c r="I629" t="s">
        <v>1936</v>
      </c>
      <c r="J629" s="16">
        <v>3529.1619999999998</v>
      </c>
      <c r="K629" s="19">
        <f t="shared" si="45"/>
        <v>1463329.580899999</v>
      </c>
      <c r="L629" s="22">
        <f t="shared" si="46"/>
        <v>1065.7899351056074</v>
      </c>
      <c r="M629" s="22">
        <f t="shared" si="47"/>
        <v>478</v>
      </c>
      <c r="N629" s="22" t="str">
        <f t="shared" si="48"/>
        <v>High Value</v>
      </c>
      <c r="O629" s="22" t="str">
        <f t="shared" si="49"/>
        <v>Sep-2024</v>
      </c>
      <c r="P629" s="22" t="s">
        <v>1829</v>
      </c>
      <c r="Q629" s="22" t="s">
        <v>1536</v>
      </c>
      <c r="R629" s="22" t="s">
        <v>581</v>
      </c>
      <c r="S629" s="22"/>
      <c r="T629" s="22"/>
      <c r="V629" s="26" t="s">
        <v>1933</v>
      </c>
      <c r="W629" s="6">
        <v>7</v>
      </c>
    </row>
    <row r="630" spans="1:23">
      <c r="A630" t="s">
        <v>2566</v>
      </c>
      <c r="B630" s="8">
        <v>45433</v>
      </c>
      <c r="C630" t="s">
        <v>1416</v>
      </c>
      <c r="D630" t="s">
        <v>1777</v>
      </c>
      <c r="E630" t="s">
        <v>1901</v>
      </c>
      <c r="F630">
        <v>3</v>
      </c>
      <c r="G630" s="10">
        <v>322.94</v>
      </c>
      <c r="H630" s="13">
        <v>0.01</v>
      </c>
      <c r="I630" t="s">
        <v>1931</v>
      </c>
      <c r="J630" s="16">
        <v>959.13179999999988</v>
      </c>
      <c r="K630" s="19">
        <f t="shared" si="45"/>
        <v>1459800.4188999988</v>
      </c>
      <c r="L630" s="22">
        <f t="shared" si="46"/>
        <v>1063.9944744169088</v>
      </c>
      <c r="M630" s="22">
        <f t="shared" si="47"/>
        <v>478</v>
      </c>
      <c r="N630" s="22" t="str">
        <f t="shared" si="48"/>
        <v>Low Value</v>
      </c>
      <c r="O630" s="22" t="str">
        <f t="shared" si="49"/>
        <v>May-2024</v>
      </c>
      <c r="P630" s="22" t="s">
        <v>1778</v>
      </c>
      <c r="Q630" s="22" t="s">
        <v>1531</v>
      </c>
      <c r="R630" s="22" t="s">
        <v>1417</v>
      </c>
      <c r="S630" s="22"/>
      <c r="T630" s="22"/>
      <c r="V630" s="25" t="s">
        <v>630</v>
      </c>
      <c r="W630" s="6">
        <v>8</v>
      </c>
    </row>
    <row r="631" spans="1:23">
      <c r="A631" t="s">
        <v>2567</v>
      </c>
      <c r="B631" s="8">
        <v>45792</v>
      </c>
      <c r="C631" t="s">
        <v>1128</v>
      </c>
      <c r="D631" t="s">
        <v>1804</v>
      </c>
      <c r="E631" t="s">
        <v>1859</v>
      </c>
      <c r="F631">
        <v>1</v>
      </c>
      <c r="G631" s="10">
        <v>92.83</v>
      </c>
      <c r="H631" s="13">
        <v>0.26</v>
      </c>
      <c r="I631" t="s">
        <v>1933</v>
      </c>
      <c r="J631" s="16">
        <v>68.694199999999995</v>
      </c>
      <c r="K631" s="19">
        <f t="shared" si="45"/>
        <v>1458841.2870999987</v>
      </c>
      <c r="L631" s="22">
        <f t="shared" si="46"/>
        <v>1064.0709606856299</v>
      </c>
      <c r="M631" s="22">
        <f t="shared" si="47"/>
        <v>478</v>
      </c>
      <c r="N631" s="22" t="str">
        <f t="shared" si="48"/>
        <v>Low Value</v>
      </c>
      <c r="O631" s="22" t="str">
        <f t="shared" si="49"/>
        <v>May-2025</v>
      </c>
      <c r="P631" s="22" t="s">
        <v>1805</v>
      </c>
      <c r="Q631" s="22" t="s">
        <v>1555</v>
      </c>
      <c r="R631" s="22" t="s">
        <v>3956</v>
      </c>
      <c r="S631" s="22"/>
      <c r="T631" s="22"/>
      <c r="V631" s="26" t="s">
        <v>1931</v>
      </c>
      <c r="W631" s="6">
        <v>4</v>
      </c>
    </row>
    <row r="632" spans="1:23">
      <c r="A632" t="s">
        <v>2568</v>
      </c>
      <c r="B632" s="8">
        <v>45804</v>
      </c>
      <c r="C632" t="s">
        <v>1297</v>
      </c>
      <c r="D632" t="s">
        <v>1563</v>
      </c>
      <c r="E632" t="s">
        <v>1873</v>
      </c>
      <c r="F632">
        <v>4</v>
      </c>
      <c r="G632" s="10">
        <v>432.29</v>
      </c>
      <c r="H632" s="13">
        <v>0.16</v>
      </c>
      <c r="I632" t="s">
        <v>1936</v>
      </c>
      <c r="J632" s="16">
        <v>1452.4944</v>
      </c>
      <c r="K632" s="19">
        <f t="shared" si="45"/>
        <v>1458772.5928999986</v>
      </c>
      <c r="L632" s="22">
        <f t="shared" si="46"/>
        <v>1064.7975130656926</v>
      </c>
      <c r="M632" s="22">
        <f t="shared" si="47"/>
        <v>477</v>
      </c>
      <c r="N632" s="22" t="str">
        <f t="shared" si="48"/>
        <v>High Value</v>
      </c>
      <c r="O632" s="22" t="str">
        <f t="shared" si="49"/>
        <v>May-2025</v>
      </c>
      <c r="P632" s="22" t="s">
        <v>1564</v>
      </c>
      <c r="Q632" s="22" t="s">
        <v>1531</v>
      </c>
      <c r="R632" s="22" t="s">
        <v>3958</v>
      </c>
      <c r="S632" s="22"/>
      <c r="T632" s="22"/>
      <c r="V632" s="26" t="s">
        <v>1933</v>
      </c>
      <c r="W632" s="6">
        <v>4</v>
      </c>
    </row>
    <row r="633" spans="1:23">
      <c r="A633" t="s">
        <v>2569</v>
      </c>
      <c r="B633" s="8">
        <v>45311</v>
      </c>
      <c r="C633" t="s">
        <v>289</v>
      </c>
      <c r="D633" t="s">
        <v>1668</v>
      </c>
      <c r="E633" t="s">
        <v>1904</v>
      </c>
      <c r="F633">
        <v>2</v>
      </c>
      <c r="G633" s="10">
        <v>925.78</v>
      </c>
      <c r="H633" s="13">
        <v>0.14000000000000001</v>
      </c>
      <c r="I633" t="s">
        <v>1936</v>
      </c>
      <c r="J633" s="16">
        <v>1592.3416</v>
      </c>
      <c r="K633" s="19">
        <f t="shared" si="45"/>
        <v>1457320.0984999987</v>
      </c>
      <c r="L633" s="22">
        <f t="shared" si="46"/>
        <v>1064.5143159240313</v>
      </c>
      <c r="M633" s="22">
        <f t="shared" si="47"/>
        <v>477</v>
      </c>
      <c r="N633" s="22" t="str">
        <f t="shared" si="48"/>
        <v>High Value</v>
      </c>
      <c r="O633" s="22" t="str">
        <f t="shared" si="49"/>
        <v>Jan-2024</v>
      </c>
      <c r="P633" s="22" t="s">
        <v>1669</v>
      </c>
      <c r="Q633" s="22" t="s">
        <v>1531</v>
      </c>
      <c r="R633" s="22" t="s">
        <v>290</v>
      </c>
      <c r="S633" s="22"/>
      <c r="T633" s="22"/>
      <c r="V633" s="25" t="s">
        <v>1158</v>
      </c>
      <c r="W633" s="6">
        <v>10</v>
      </c>
    </row>
    <row r="634" spans="1:23">
      <c r="A634" t="s">
        <v>2570</v>
      </c>
      <c r="B634" s="8">
        <v>45605</v>
      </c>
      <c r="C634" t="s">
        <v>1459</v>
      </c>
      <c r="D634" t="s">
        <v>1624</v>
      </c>
      <c r="E634" t="s">
        <v>1899</v>
      </c>
      <c r="F634">
        <v>2</v>
      </c>
      <c r="G634" s="10">
        <v>151.47</v>
      </c>
      <c r="H634" s="13">
        <v>0.21</v>
      </c>
      <c r="I634" t="s">
        <v>1933</v>
      </c>
      <c r="J634" s="16">
        <v>239.32259999999999</v>
      </c>
      <c r="K634" s="19">
        <f t="shared" si="45"/>
        <v>1455727.7568999985</v>
      </c>
      <c r="L634" s="22">
        <f t="shared" si="46"/>
        <v>1064.1284772660808</v>
      </c>
      <c r="M634" s="22">
        <f t="shared" si="47"/>
        <v>477</v>
      </c>
      <c r="N634" s="22" t="str">
        <f t="shared" si="48"/>
        <v>Low Value</v>
      </c>
      <c r="O634" s="22" t="str">
        <f t="shared" si="49"/>
        <v>Nov-2024</v>
      </c>
      <c r="P634" s="22" t="s">
        <v>1625</v>
      </c>
      <c r="Q634" s="22" t="s">
        <v>1536</v>
      </c>
      <c r="R634" s="22" t="s">
        <v>1460</v>
      </c>
      <c r="S634" s="22"/>
      <c r="T634" s="22"/>
      <c r="V634" s="26" t="s">
        <v>1936</v>
      </c>
      <c r="W634" s="6">
        <v>3</v>
      </c>
    </row>
    <row r="635" spans="1:23">
      <c r="A635" t="s">
        <v>2571</v>
      </c>
      <c r="B635" s="8">
        <v>45338</v>
      </c>
      <c r="C635" t="s">
        <v>1380</v>
      </c>
      <c r="D635" t="s">
        <v>1804</v>
      </c>
      <c r="E635" t="s">
        <v>1896</v>
      </c>
      <c r="F635">
        <v>1</v>
      </c>
      <c r="G635" s="10">
        <v>343.05</v>
      </c>
      <c r="H635" s="13">
        <v>0.28000000000000003</v>
      </c>
      <c r="I635" t="s">
        <v>1933</v>
      </c>
      <c r="J635" s="16">
        <v>246.99600000000001</v>
      </c>
      <c r="K635" s="19">
        <f t="shared" si="45"/>
        <v>1455488.4342999985</v>
      </c>
      <c r="L635" s="22">
        <f t="shared" si="46"/>
        <v>1064.7318465983894</v>
      </c>
      <c r="M635" s="22">
        <f t="shared" si="47"/>
        <v>476</v>
      </c>
      <c r="N635" s="22" t="str">
        <f t="shared" si="48"/>
        <v>Low Value</v>
      </c>
      <c r="O635" s="22" t="str">
        <f t="shared" si="49"/>
        <v>Feb-2024</v>
      </c>
      <c r="P635" s="22" t="s">
        <v>1805</v>
      </c>
      <c r="Q635" s="22" t="s">
        <v>1555</v>
      </c>
      <c r="R635" s="22" t="s">
        <v>1381</v>
      </c>
      <c r="S635" s="22"/>
      <c r="T635" s="22"/>
      <c r="V635" s="26" t="s">
        <v>1931</v>
      </c>
      <c r="W635" s="6">
        <v>6</v>
      </c>
    </row>
    <row r="636" spans="1:23">
      <c r="A636" t="s">
        <v>2572</v>
      </c>
      <c r="B636" s="8">
        <v>45642</v>
      </c>
      <c r="C636" t="s">
        <v>241</v>
      </c>
      <c r="D636" t="s">
        <v>1597</v>
      </c>
      <c r="E636" t="s">
        <v>1876</v>
      </c>
      <c r="F636">
        <v>1</v>
      </c>
      <c r="G636" s="10">
        <v>373.06</v>
      </c>
      <c r="H636" s="13">
        <v>0.11</v>
      </c>
      <c r="I636" t="s">
        <v>1933</v>
      </c>
      <c r="J636" s="16">
        <v>332.02339999999998</v>
      </c>
      <c r="K636" s="19">
        <f t="shared" si="45"/>
        <v>1455241.4382999984</v>
      </c>
      <c r="L636" s="22">
        <f t="shared" si="46"/>
        <v>1065.3304819180075</v>
      </c>
      <c r="M636" s="22">
        <f t="shared" si="47"/>
        <v>475</v>
      </c>
      <c r="N636" s="22" t="str">
        <f t="shared" si="48"/>
        <v>Low Value</v>
      </c>
      <c r="O636" s="22" t="str">
        <f t="shared" si="49"/>
        <v>Dec-2024</v>
      </c>
      <c r="P636" s="22" t="s">
        <v>1598</v>
      </c>
      <c r="Q636" s="22" t="s">
        <v>1569</v>
      </c>
      <c r="R636" s="22" t="s">
        <v>242</v>
      </c>
      <c r="S636" s="22"/>
      <c r="T636" s="22"/>
      <c r="V636" s="26" t="s">
        <v>1933</v>
      </c>
      <c r="W636" s="6">
        <v>1</v>
      </c>
    </row>
    <row r="637" spans="1:23">
      <c r="A637" t="s">
        <v>2573</v>
      </c>
      <c r="B637" s="8">
        <v>45693</v>
      </c>
      <c r="C637" t="s">
        <v>1271</v>
      </c>
      <c r="D637" t="s">
        <v>1600</v>
      </c>
      <c r="E637" t="s">
        <v>1908</v>
      </c>
      <c r="F637">
        <v>1</v>
      </c>
      <c r="G637" s="10">
        <v>124.98</v>
      </c>
      <c r="H637" s="13">
        <v>7.0000000000000007E-2</v>
      </c>
      <c r="I637" t="s">
        <v>1936</v>
      </c>
      <c r="J637" s="16">
        <v>116.23139999999999</v>
      </c>
      <c r="K637" s="19">
        <f t="shared" si="45"/>
        <v>1454909.4148999986</v>
      </c>
      <c r="L637" s="22">
        <f t="shared" si="46"/>
        <v>1065.8677032234423</v>
      </c>
      <c r="M637" s="22">
        <f t="shared" si="47"/>
        <v>474</v>
      </c>
      <c r="N637" s="22" t="str">
        <f t="shared" si="48"/>
        <v>Low Value</v>
      </c>
      <c r="O637" s="22" t="str">
        <f t="shared" si="49"/>
        <v>Feb-2025</v>
      </c>
      <c r="P637" s="22" t="s">
        <v>1601</v>
      </c>
      <c r="Q637" s="22" t="s">
        <v>1536</v>
      </c>
      <c r="R637" s="22" t="s">
        <v>1272</v>
      </c>
      <c r="S637" s="22"/>
      <c r="T637" s="22"/>
      <c r="V637" s="25" t="s">
        <v>674</v>
      </c>
      <c r="W637" s="6">
        <v>4</v>
      </c>
    </row>
    <row r="638" spans="1:23">
      <c r="A638" t="s">
        <v>2574</v>
      </c>
      <c r="B638" s="8">
        <v>45763</v>
      </c>
      <c r="C638" t="s">
        <v>865</v>
      </c>
      <c r="D638" t="s">
        <v>1774</v>
      </c>
      <c r="E638" t="s">
        <v>1920</v>
      </c>
      <c r="F638">
        <v>4</v>
      </c>
      <c r="G638" s="10">
        <v>221.49</v>
      </c>
      <c r="H638" s="13">
        <v>0.26</v>
      </c>
      <c r="I638" t="s">
        <v>1933</v>
      </c>
      <c r="J638" s="16">
        <v>655.61040000000003</v>
      </c>
      <c r="K638" s="19">
        <f t="shared" si="45"/>
        <v>1454793.1834999984</v>
      </c>
      <c r="L638" s="22">
        <f t="shared" si="46"/>
        <v>1066.5639175219931</v>
      </c>
      <c r="M638" s="22">
        <f t="shared" si="47"/>
        <v>474</v>
      </c>
      <c r="N638" s="22" t="str">
        <f t="shared" si="48"/>
        <v>Low Value</v>
      </c>
      <c r="O638" s="22" t="str">
        <f t="shared" si="49"/>
        <v>Apr-2025</v>
      </c>
      <c r="P638" s="22" t="s">
        <v>1775</v>
      </c>
      <c r="Q638" s="22" t="s">
        <v>1569</v>
      </c>
      <c r="R638" s="22" t="s">
        <v>866</v>
      </c>
      <c r="S638" s="22"/>
      <c r="T638" s="22"/>
      <c r="V638" s="26" t="s">
        <v>1936</v>
      </c>
      <c r="W638" s="6">
        <v>2</v>
      </c>
    </row>
    <row r="639" spans="1:23">
      <c r="A639" t="s">
        <v>2575</v>
      </c>
      <c r="B639" s="8">
        <v>45572</v>
      </c>
      <c r="C639" t="s">
        <v>563</v>
      </c>
      <c r="D639" t="s">
        <v>1617</v>
      </c>
      <c r="E639" t="s">
        <v>1908</v>
      </c>
      <c r="F639">
        <v>1</v>
      </c>
      <c r="G639" s="10">
        <v>563.32000000000005</v>
      </c>
      <c r="H639" s="13">
        <v>0.01</v>
      </c>
      <c r="I639" t="s">
        <v>1933</v>
      </c>
      <c r="J639" s="16">
        <v>557.68680000000006</v>
      </c>
      <c r="K639" s="19">
        <f t="shared" si="45"/>
        <v>1454137.5730999983</v>
      </c>
      <c r="L639" s="22">
        <f t="shared" si="46"/>
        <v>1066.8654241379297</v>
      </c>
      <c r="M639" s="22">
        <f t="shared" si="47"/>
        <v>473</v>
      </c>
      <c r="N639" s="22" t="str">
        <f t="shared" si="48"/>
        <v>Low Value</v>
      </c>
      <c r="O639" s="22" t="str">
        <f t="shared" si="49"/>
        <v>Oct-2024</v>
      </c>
      <c r="P639" s="22" t="s">
        <v>1618</v>
      </c>
      <c r="Q639" s="22" t="s">
        <v>1536</v>
      </c>
      <c r="R639" s="22" t="s">
        <v>3948</v>
      </c>
      <c r="S639" s="22"/>
      <c r="T639" s="22"/>
      <c r="V639" s="26" t="s">
        <v>1931</v>
      </c>
      <c r="W639" s="6">
        <v>2</v>
      </c>
    </row>
    <row r="640" spans="1:23">
      <c r="A640" t="s">
        <v>2576</v>
      </c>
      <c r="B640" s="8">
        <v>45338</v>
      </c>
      <c r="C640" t="s">
        <v>1211</v>
      </c>
      <c r="D640" t="s">
        <v>1576</v>
      </c>
      <c r="E640" t="s">
        <v>1859</v>
      </c>
      <c r="F640">
        <v>1</v>
      </c>
      <c r="G640" s="10">
        <v>362.93</v>
      </c>
      <c r="H640" s="13">
        <v>0.27</v>
      </c>
      <c r="I640" t="s">
        <v>1931</v>
      </c>
      <c r="J640" s="16">
        <v>264.93889999999999</v>
      </c>
      <c r="K640" s="19">
        <f t="shared" si="45"/>
        <v>1453579.8862999983</v>
      </c>
      <c r="L640" s="22">
        <f t="shared" si="46"/>
        <v>1067.2392704111587</v>
      </c>
      <c r="M640" s="22">
        <f t="shared" si="47"/>
        <v>472</v>
      </c>
      <c r="N640" s="22" t="str">
        <f t="shared" si="48"/>
        <v>Low Value</v>
      </c>
      <c r="O640" s="22" t="str">
        <f t="shared" si="49"/>
        <v>Feb-2024</v>
      </c>
      <c r="P640" s="22" t="s">
        <v>1577</v>
      </c>
      <c r="Q640" s="22" t="s">
        <v>1531</v>
      </c>
      <c r="R640" s="22" t="s">
        <v>1212</v>
      </c>
      <c r="S640" s="22"/>
      <c r="T640" s="22"/>
      <c r="V640" s="25" t="s">
        <v>1218</v>
      </c>
      <c r="W640" s="6">
        <v>5</v>
      </c>
    </row>
    <row r="641" spans="1:23">
      <c r="A641" t="s">
        <v>2577</v>
      </c>
      <c r="B641" s="8">
        <v>45373</v>
      </c>
      <c r="C641" t="s">
        <v>1052</v>
      </c>
      <c r="D641" t="s">
        <v>1576</v>
      </c>
      <c r="E641" t="s">
        <v>1908</v>
      </c>
      <c r="F641">
        <v>4</v>
      </c>
      <c r="G641" s="10">
        <v>369.22</v>
      </c>
      <c r="H641" s="13">
        <v>0.18</v>
      </c>
      <c r="I641" t="s">
        <v>1936</v>
      </c>
      <c r="J641" s="16">
        <v>1211.0416</v>
      </c>
      <c r="K641" s="19">
        <f t="shared" si="45"/>
        <v>1453314.9473999983</v>
      </c>
      <c r="L641" s="22">
        <f t="shared" si="46"/>
        <v>1067.8287637031583</v>
      </c>
      <c r="M641" s="22">
        <f t="shared" si="47"/>
        <v>472</v>
      </c>
      <c r="N641" s="22" t="str">
        <f t="shared" si="48"/>
        <v>High Value</v>
      </c>
      <c r="O641" s="22" t="str">
        <f t="shared" si="49"/>
        <v>Mar-2024</v>
      </c>
      <c r="P641" s="22" t="s">
        <v>1577</v>
      </c>
      <c r="Q641" s="22" t="s">
        <v>1531</v>
      </c>
      <c r="R641" s="22" t="s">
        <v>1053</v>
      </c>
      <c r="S641" s="22"/>
      <c r="T641" s="22"/>
      <c r="V641" s="26" t="s">
        <v>1936</v>
      </c>
      <c r="W641" s="6">
        <v>2</v>
      </c>
    </row>
    <row r="642" spans="1:23">
      <c r="A642" t="s">
        <v>2578</v>
      </c>
      <c r="B642" s="8">
        <v>45590</v>
      </c>
      <c r="C642" t="s">
        <v>1268</v>
      </c>
      <c r="D642" t="s">
        <v>1843</v>
      </c>
      <c r="E642" t="s">
        <v>1906</v>
      </c>
      <c r="F642">
        <v>3</v>
      </c>
      <c r="G642" s="10">
        <v>950.83</v>
      </c>
      <c r="H642" s="13">
        <v>0.06</v>
      </c>
      <c r="I642" t="s">
        <v>1933</v>
      </c>
      <c r="J642" s="16">
        <v>2681.3406</v>
      </c>
      <c r="K642" s="19">
        <f t="shared" ref="K642:K705" si="50">SUM(J642:J2641)</f>
        <v>1452103.9057999982</v>
      </c>
      <c r="L642" s="22">
        <f t="shared" ref="L642:L705" si="51">AVERAGE(J642:J2641)</f>
        <v>1067.7234601470575</v>
      </c>
      <c r="M642" s="22">
        <f t="shared" ref="M642:M705" si="52">COUNTIF(I642:I2641,"PayPal")</f>
        <v>472</v>
      </c>
      <c r="N642" s="22" t="str">
        <f t="shared" ref="N642:N705" si="53">IF(J642&gt;=1000,"High Value","Low Value")</f>
        <v>High Value</v>
      </c>
      <c r="O642" s="22" t="str">
        <f t="shared" ref="O642:O705" si="54">TEXT(B642,"mmm-yyyy")</f>
        <v>Oct-2024</v>
      </c>
      <c r="P642" s="22" t="s">
        <v>1844</v>
      </c>
      <c r="Q642" s="22" t="s">
        <v>1536</v>
      </c>
      <c r="R642" s="22" t="s">
        <v>1269</v>
      </c>
      <c r="S642" s="22"/>
      <c r="T642" s="22"/>
      <c r="V642" s="26" t="s">
        <v>1931</v>
      </c>
      <c r="W642" s="6">
        <v>3</v>
      </c>
    </row>
    <row r="643" spans="1:23">
      <c r="A643" t="s">
        <v>2579</v>
      </c>
      <c r="B643" s="8">
        <v>45365</v>
      </c>
      <c r="C643" t="s">
        <v>482</v>
      </c>
      <c r="D643" t="s">
        <v>1661</v>
      </c>
      <c r="E643" t="s">
        <v>1904</v>
      </c>
      <c r="F643">
        <v>3</v>
      </c>
      <c r="G643" s="10">
        <v>338.79</v>
      </c>
      <c r="H643" s="13">
        <v>0.01</v>
      </c>
      <c r="I643" t="s">
        <v>1931</v>
      </c>
      <c r="J643" s="16">
        <v>1006.2063000000001</v>
      </c>
      <c r="K643" s="19">
        <f t="shared" si="50"/>
        <v>1449422.565199998</v>
      </c>
      <c r="L643" s="22">
        <f t="shared" si="51"/>
        <v>1066.5361038999249</v>
      </c>
      <c r="M643" s="22">
        <f t="shared" si="52"/>
        <v>471</v>
      </c>
      <c r="N643" s="22" t="str">
        <f t="shared" si="53"/>
        <v>High Value</v>
      </c>
      <c r="O643" s="22" t="str">
        <f t="shared" si="54"/>
        <v>Mar-2024</v>
      </c>
      <c r="P643" s="22" t="s">
        <v>1662</v>
      </c>
      <c r="Q643" s="22" t="s">
        <v>1536</v>
      </c>
      <c r="R643" s="22" t="s">
        <v>483</v>
      </c>
      <c r="S643" s="22"/>
      <c r="T643" s="22"/>
      <c r="V643" s="25" t="s">
        <v>228</v>
      </c>
      <c r="W643" s="6">
        <v>11</v>
      </c>
    </row>
    <row r="644" spans="1:23">
      <c r="A644" t="s">
        <v>2580</v>
      </c>
      <c r="B644" s="8">
        <v>45711</v>
      </c>
      <c r="C644" t="s">
        <v>491</v>
      </c>
      <c r="D644" t="s">
        <v>1825</v>
      </c>
      <c r="E644" t="s">
        <v>1864</v>
      </c>
      <c r="F644">
        <v>3</v>
      </c>
      <c r="G644" s="10">
        <v>853.32</v>
      </c>
      <c r="H644" s="13">
        <v>7.0000000000000007E-2</v>
      </c>
      <c r="I644" t="s">
        <v>1936</v>
      </c>
      <c r="J644" s="16">
        <v>2380.7628</v>
      </c>
      <c r="K644" s="19">
        <f t="shared" si="50"/>
        <v>1448416.3588999978</v>
      </c>
      <c r="L644" s="22">
        <f t="shared" si="51"/>
        <v>1066.5805293814417</v>
      </c>
      <c r="M644" s="22">
        <f t="shared" si="52"/>
        <v>471</v>
      </c>
      <c r="N644" s="22" t="str">
        <f t="shared" si="53"/>
        <v>High Value</v>
      </c>
      <c r="O644" s="22" t="str">
        <f t="shared" si="54"/>
        <v>Feb-2025</v>
      </c>
      <c r="P644" s="22" t="s">
        <v>1826</v>
      </c>
      <c r="Q644" s="22" t="s">
        <v>1531</v>
      </c>
      <c r="R644" s="22" t="s">
        <v>492</v>
      </c>
      <c r="S644" s="22"/>
      <c r="T644" s="22"/>
      <c r="V644" s="26" t="s">
        <v>1936</v>
      </c>
      <c r="W644" s="6">
        <v>2</v>
      </c>
    </row>
    <row r="645" spans="1:23">
      <c r="A645" t="s">
        <v>2581</v>
      </c>
      <c r="B645" s="8">
        <v>45586</v>
      </c>
      <c r="C645" t="s">
        <v>500</v>
      </c>
      <c r="D645" t="s">
        <v>1783</v>
      </c>
      <c r="E645" t="s">
        <v>1883</v>
      </c>
      <c r="F645">
        <v>3</v>
      </c>
      <c r="G645" s="10">
        <v>89.78</v>
      </c>
      <c r="H645" s="13">
        <v>0.2</v>
      </c>
      <c r="I645" t="s">
        <v>1936</v>
      </c>
      <c r="J645" s="16">
        <v>215.47200000000001</v>
      </c>
      <c r="K645" s="19">
        <f t="shared" si="50"/>
        <v>1446035.5960999976</v>
      </c>
      <c r="L645" s="22">
        <f t="shared" si="51"/>
        <v>1065.612082608694</v>
      </c>
      <c r="M645" s="22">
        <f t="shared" si="52"/>
        <v>471</v>
      </c>
      <c r="N645" s="22" t="str">
        <f t="shared" si="53"/>
        <v>Low Value</v>
      </c>
      <c r="O645" s="22" t="str">
        <f t="shared" si="54"/>
        <v>Oct-2024</v>
      </c>
      <c r="P645" s="22" t="s">
        <v>1784</v>
      </c>
      <c r="Q645" s="22" t="s">
        <v>1531</v>
      </c>
      <c r="R645" s="22" t="s">
        <v>501</v>
      </c>
      <c r="S645" s="22"/>
      <c r="T645" s="22"/>
      <c r="V645" s="26" t="s">
        <v>1931</v>
      </c>
      <c r="W645" s="6">
        <v>3</v>
      </c>
    </row>
    <row r="646" spans="1:23">
      <c r="A646" t="s">
        <v>2582</v>
      </c>
      <c r="B646" s="8">
        <v>45334</v>
      </c>
      <c r="C646" t="s">
        <v>626</v>
      </c>
      <c r="D646" t="s">
        <v>1719</v>
      </c>
      <c r="E646" t="s">
        <v>1864</v>
      </c>
      <c r="F646">
        <v>1</v>
      </c>
      <c r="G646" s="10">
        <v>172.04</v>
      </c>
      <c r="H646" s="13">
        <v>0.04</v>
      </c>
      <c r="I646" t="s">
        <v>1933</v>
      </c>
      <c r="J646" s="16">
        <v>165.1584</v>
      </c>
      <c r="K646" s="19">
        <f t="shared" si="50"/>
        <v>1445820.1240999976</v>
      </c>
      <c r="L646" s="22">
        <f t="shared" si="51"/>
        <v>1066.2390295722696</v>
      </c>
      <c r="M646" s="22">
        <f t="shared" si="52"/>
        <v>471</v>
      </c>
      <c r="N646" s="22" t="str">
        <f t="shared" si="53"/>
        <v>Low Value</v>
      </c>
      <c r="O646" s="22" t="str">
        <f t="shared" si="54"/>
        <v>Feb-2024</v>
      </c>
      <c r="P646" s="22" t="s">
        <v>1720</v>
      </c>
      <c r="Q646" s="22" t="s">
        <v>1560</v>
      </c>
      <c r="R646" s="22" t="s">
        <v>627</v>
      </c>
      <c r="S646" s="22"/>
      <c r="T646" s="22"/>
      <c r="V646" s="26" t="s">
        <v>1933</v>
      </c>
      <c r="W646" s="6">
        <v>6</v>
      </c>
    </row>
    <row r="647" spans="1:23">
      <c r="A647" t="s">
        <v>2583</v>
      </c>
      <c r="B647" s="8">
        <v>45333</v>
      </c>
      <c r="C647" t="s">
        <v>1430</v>
      </c>
      <c r="D647" t="s">
        <v>1716</v>
      </c>
      <c r="E647" t="s">
        <v>1864</v>
      </c>
      <c r="F647">
        <v>1</v>
      </c>
      <c r="G647" s="10">
        <v>389.2</v>
      </c>
      <c r="H647" s="13">
        <v>0.05</v>
      </c>
      <c r="I647" t="s">
        <v>1931</v>
      </c>
      <c r="J647" s="16">
        <v>369.74</v>
      </c>
      <c r="K647" s="19">
        <f t="shared" si="50"/>
        <v>1445654.9656999977</v>
      </c>
      <c r="L647" s="22">
        <f t="shared" si="51"/>
        <v>1066.9040337269355</v>
      </c>
      <c r="M647" s="22">
        <f t="shared" si="52"/>
        <v>470</v>
      </c>
      <c r="N647" s="22" t="str">
        <f t="shared" si="53"/>
        <v>Low Value</v>
      </c>
      <c r="O647" s="22" t="str">
        <f t="shared" si="54"/>
        <v>Feb-2024</v>
      </c>
      <c r="P647" s="22" t="s">
        <v>1717</v>
      </c>
      <c r="Q647" s="22" t="s">
        <v>1569</v>
      </c>
      <c r="R647" s="22" t="s">
        <v>1431</v>
      </c>
      <c r="S647" s="22"/>
      <c r="T647" s="22"/>
      <c r="V647" s="25" t="s">
        <v>1509</v>
      </c>
      <c r="W647" s="6">
        <v>9</v>
      </c>
    </row>
    <row r="648" spans="1:23">
      <c r="A648" t="s">
        <v>2584</v>
      </c>
      <c r="B648" s="8">
        <v>45778</v>
      </c>
      <c r="C648" t="s">
        <v>1413</v>
      </c>
      <c r="D648" t="s">
        <v>1786</v>
      </c>
      <c r="E648" t="s">
        <v>1904</v>
      </c>
      <c r="F648">
        <v>3</v>
      </c>
      <c r="G648" s="10">
        <v>865.96</v>
      </c>
      <c r="H648" s="13">
        <v>0.12</v>
      </c>
      <c r="I648" t="s">
        <v>1933</v>
      </c>
      <c r="J648" s="16">
        <v>2286.1343999999999</v>
      </c>
      <c r="K648" s="19">
        <f t="shared" si="50"/>
        <v>1445285.2256999977</v>
      </c>
      <c r="L648" s="22">
        <f t="shared" si="51"/>
        <v>1067.4189259231889</v>
      </c>
      <c r="M648" s="22">
        <f t="shared" si="52"/>
        <v>470</v>
      </c>
      <c r="N648" s="22" t="str">
        <f t="shared" si="53"/>
        <v>High Value</v>
      </c>
      <c r="O648" s="22" t="str">
        <f t="shared" si="54"/>
        <v>May-2025</v>
      </c>
      <c r="P648" s="22" t="s">
        <v>1787</v>
      </c>
      <c r="Q648" s="22" t="s">
        <v>1531</v>
      </c>
      <c r="R648" s="22" t="s">
        <v>1414</v>
      </c>
      <c r="S648" s="22"/>
      <c r="T648" s="22"/>
      <c r="V648" s="26" t="s">
        <v>1936</v>
      </c>
      <c r="W648" s="6">
        <v>1</v>
      </c>
    </row>
    <row r="649" spans="1:23">
      <c r="A649" t="s">
        <v>2585</v>
      </c>
      <c r="B649" s="8">
        <v>45592</v>
      </c>
      <c r="C649" t="s">
        <v>560</v>
      </c>
      <c r="D649" t="s">
        <v>1603</v>
      </c>
      <c r="E649" t="s">
        <v>1864</v>
      </c>
      <c r="F649">
        <v>3</v>
      </c>
      <c r="G649" s="10">
        <v>79.95</v>
      </c>
      <c r="H649" s="13">
        <v>0.2</v>
      </c>
      <c r="I649" t="s">
        <v>1936</v>
      </c>
      <c r="J649" s="16">
        <v>191.88</v>
      </c>
      <c r="K649" s="19">
        <f t="shared" si="50"/>
        <v>1442999.0912999976</v>
      </c>
      <c r="L649" s="22">
        <f t="shared" si="51"/>
        <v>1066.5181753880249</v>
      </c>
      <c r="M649" s="22">
        <f t="shared" si="52"/>
        <v>469</v>
      </c>
      <c r="N649" s="22" t="str">
        <f t="shared" si="53"/>
        <v>Low Value</v>
      </c>
      <c r="O649" s="22" t="str">
        <f t="shared" si="54"/>
        <v>Oct-2024</v>
      </c>
      <c r="P649" s="22" t="s">
        <v>1604</v>
      </c>
      <c r="Q649" s="22" t="s">
        <v>1569</v>
      </c>
      <c r="R649" s="22" t="s">
        <v>561</v>
      </c>
      <c r="S649" s="22"/>
      <c r="T649" s="22"/>
      <c r="V649" s="26" t="s">
        <v>1931</v>
      </c>
      <c r="W649" s="6">
        <v>4</v>
      </c>
    </row>
    <row r="650" spans="1:23">
      <c r="A650" t="s">
        <v>2586</v>
      </c>
      <c r="B650" s="8">
        <v>45259</v>
      </c>
      <c r="C650" t="s">
        <v>1184</v>
      </c>
      <c r="D650" t="s">
        <v>1627</v>
      </c>
      <c r="E650" t="s">
        <v>1886</v>
      </c>
      <c r="F650">
        <v>1</v>
      </c>
      <c r="G650" s="10">
        <v>566.5</v>
      </c>
      <c r="H650" s="13">
        <v>0.25</v>
      </c>
      <c r="I650" t="s">
        <v>1936</v>
      </c>
      <c r="J650" s="16">
        <v>424.875</v>
      </c>
      <c r="K650" s="19">
        <f t="shared" si="50"/>
        <v>1442807.2112999978</v>
      </c>
      <c r="L650" s="22">
        <f t="shared" si="51"/>
        <v>1067.1650971153829</v>
      </c>
      <c r="M650" s="22">
        <f t="shared" si="52"/>
        <v>469</v>
      </c>
      <c r="N650" s="22" t="str">
        <f t="shared" si="53"/>
        <v>Low Value</v>
      </c>
      <c r="O650" s="22" t="str">
        <f t="shared" si="54"/>
        <v>Nov-2023</v>
      </c>
      <c r="P650" s="22" t="s">
        <v>1628</v>
      </c>
      <c r="Q650" s="22" t="s">
        <v>1531</v>
      </c>
      <c r="R650" s="22" t="s">
        <v>1185</v>
      </c>
      <c r="S650" s="22"/>
      <c r="T650" s="22"/>
      <c r="V650" s="26" t="s">
        <v>1933</v>
      </c>
      <c r="W650" s="6">
        <v>4</v>
      </c>
    </row>
    <row r="651" spans="1:23">
      <c r="A651" t="s">
        <v>2587</v>
      </c>
      <c r="B651" s="8">
        <v>45801</v>
      </c>
      <c r="C651" t="s">
        <v>1245</v>
      </c>
      <c r="D651" t="s">
        <v>1610</v>
      </c>
      <c r="E651" t="s">
        <v>1859</v>
      </c>
      <c r="F651">
        <v>2</v>
      </c>
      <c r="G651" s="10">
        <v>347.95</v>
      </c>
      <c r="H651" s="13">
        <v>0.13</v>
      </c>
      <c r="I651" t="s">
        <v>1936</v>
      </c>
      <c r="J651" s="16">
        <v>605.43299999999999</v>
      </c>
      <c r="K651" s="19">
        <f t="shared" si="50"/>
        <v>1442382.3362999978</v>
      </c>
      <c r="L651" s="22">
        <f t="shared" si="51"/>
        <v>1067.6405153960013</v>
      </c>
      <c r="M651" s="22">
        <f t="shared" si="52"/>
        <v>469</v>
      </c>
      <c r="N651" s="22" t="str">
        <f t="shared" si="53"/>
        <v>Low Value</v>
      </c>
      <c r="O651" s="22" t="str">
        <f t="shared" si="54"/>
        <v>May-2025</v>
      </c>
      <c r="P651" s="22" t="s">
        <v>1611</v>
      </c>
      <c r="Q651" s="22" t="s">
        <v>1560</v>
      </c>
      <c r="R651" s="22" t="s">
        <v>1246</v>
      </c>
      <c r="S651" s="22"/>
      <c r="T651" s="22"/>
      <c r="V651" s="25" t="s">
        <v>1437</v>
      </c>
      <c r="W651" s="6">
        <v>15</v>
      </c>
    </row>
    <row r="652" spans="1:23">
      <c r="A652" t="s">
        <v>2588</v>
      </c>
      <c r="B652" s="8">
        <v>45347</v>
      </c>
      <c r="C652" t="s">
        <v>679</v>
      </c>
      <c r="D652" t="s">
        <v>1728</v>
      </c>
      <c r="E652" t="s">
        <v>1873</v>
      </c>
      <c r="F652">
        <v>2</v>
      </c>
      <c r="G652" s="10">
        <v>250.83</v>
      </c>
      <c r="H652" s="13">
        <v>0.15</v>
      </c>
      <c r="I652" t="s">
        <v>1933</v>
      </c>
      <c r="J652" s="16">
        <v>426.411</v>
      </c>
      <c r="K652" s="19">
        <f t="shared" si="50"/>
        <v>1441776.9032999978</v>
      </c>
      <c r="L652" s="22">
        <f t="shared" si="51"/>
        <v>1067.9828913333317</v>
      </c>
      <c r="M652" s="22">
        <f t="shared" si="52"/>
        <v>469</v>
      </c>
      <c r="N652" s="22" t="str">
        <f t="shared" si="53"/>
        <v>Low Value</v>
      </c>
      <c r="O652" s="22" t="str">
        <f t="shared" si="54"/>
        <v>Feb-2024</v>
      </c>
      <c r="P652" s="22" t="s">
        <v>1729</v>
      </c>
      <c r="Q652" s="22" t="s">
        <v>1536</v>
      </c>
      <c r="R652" s="22" t="s">
        <v>680</v>
      </c>
      <c r="S652" s="22"/>
      <c r="T652" s="22"/>
      <c r="V652" s="26" t="s">
        <v>1936</v>
      </c>
      <c r="W652" s="6">
        <v>7</v>
      </c>
    </row>
    <row r="653" spans="1:23">
      <c r="A653" t="s">
        <v>2589</v>
      </c>
      <c r="B653" s="8">
        <v>45721</v>
      </c>
      <c r="C653" t="s">
        <v>500</v>
      </c>
      <c r="D653" t="s">
        <v>1768</v>
      </c>
      <c r="E653" t="s">
        <v>1864</v>
      </c>
      <c r="F653">
        <v>1</v>
      </c>
      <c r="G653" s="10">
        <v>888.05</v>
      </c>
      <c r="H653" s="13">
        <v>0.2</v>
      </c>
      <c r="I653" t="s">
        <v>1933</v>
      </c>
      <c r="J653" s="16">
        <v>710.44</v>
      </c>
      <c r="K653" s="19">
        <f t="shared" si="50"/>
        <v>1441350.4922999977</v>
      </c>
      <c r="L653" s="22">
        <f t="shared" si="51"/>
        <v>1068.458482060784</v>
      </c>
      <c r="M653" s="22">
        <f t="shared" si="52"/>
        <v>468</v>
      </c>
      <c r="N653" s="22" t="str">
        <f t="shared" si="53"/>
        <v>Low Value</v>
      </c>
      <c r="O653" s="22" t="str">
        <f t="shared" si="54"/>
        <v>Mar-2025</v>
      </c>
      <c r="P653" s="22" t="s">
        <v>1769</v>
      </c>
      <c r="Q653" s="22" t="s">
        <v>1555</v>
      </c>
      <c r="R653" s="22" t="s">
        <v>501</v>
      </c>
      <c r="S653" s="22"/>
      <c r="T653" s="22"/>
      <c r="V653" s="26" t="s">
        <v>1931</v>
      </c>
      <c r="W653" s="6">
        <v>8</v>
      </c>
    </row>
    <row r="654" spans="1:23">
      <c r="A654" t="s">
        <v>2590</v>
      </c>
      <c r="B654" s="8">
        <v>45531</v>
      </c>
      <c r="C654" t="s">
        <v>35</v>
      </c>
      <c r="D654" t="s">
        <v>1668</v>
      </c>
      <c r="E654" t="s">
        <v>1917</v>
      </c>
      <c r="F654">
        <v>2</v>
      </c>
      <c r="G654" s="10">
        <v>673.02</v>
      </c>
      <c r="H654" s="13">
        <v>0.11</v>
      </c>
      <c r="I654" t="s">
        <v>1933</v>
      </c>
      <c r="J654" s="16">
        <v>1197.9756</v>
      </c>
      <c r="K654" s="19">
        <f t="shared" si="50"/>
        <v>1440640.0522999978</v>
      </c>
      <c r="L654" s="22">
        <f t="shared" si="51"/>
        <v>1068.7240744065266</v>
      </c>
      <c r="M654" s="22">
        <f t="shared" si="52"/>
        <v>467</v>
      </c>
      <c r="N654" s="22" t="str">
        <f t="shared" si="53"/>
        <v>High Value</v>
      </c>
      <c r="O654" s="22" t="str">
        <f t="shared" si="54"/>
        <v>Aug-2024</v>
      </c>
      <c r="P654" s="22" t="s">
        <v>1669</v>
      </c>
      <c r="Q654" s="22" t="s">
        <v>1531</v>
      </c>
      <c r="R654" s="22" t="s">
        <v>36</v>
      </c>
      <c r="S654" s="22"/>
      <c r="T654" s="22"/>
      <c r="V654" s="25" t="s">
        <v>160</v>
      </c>
      <c r="W654" s="6">
        <v>15</v>
      </c>
    </row>
    <row r="655" spans="1:23">
      <c r="A655" t="s">
        <v>2591</v>
      </c>
      <c r="B655" s="8">
        <v>45332</v>
      </c>
      <c r="C655" t="s">
        <v>1353</v>
      </c>
      <c r="D655" t="s">
        <v>1746</v>
      </c>
      <c r="E655" t="s">
        <v>1873</v>
      </c>
      <c r="F655">
        <v>2</v>
      </c>
      <c r="G655" s="10">
        <v>492.62</v>
      </c>
      <c r="H655" s="13">
        <v>0.26</v>
      </c>
      <c r="I655" t="s">
        <v>1936</v>
      </c>
      <c r="J655" s="16">
        <v>729.07759999999996</v>
      </c>
      <c r="K655" s="19">
        <f t="shared" si="50"/>
        <v>1439442.0766999978</v>
      </c>
      <c r="L655" s="22">
        <f t="shared" si="51"/>
        <v>1068.6281193021512</v>
      </c>
      <c r="M655" s="22">
        <f t="shared" si="52"/>
        <v>466</v>
      </c>
      <c r="N655" s="22" t="str">
        <f t="shared" si="53"/>
        <v>Low Value</v>
      </c>
      <c r="O655" s="22" t="str">
        <f t="shared" si="54"/>
        <v>Feb-2024</v>
      </c>
      <c r="P655" s="22" t="s">
        <v>1747</v>
      </c>
      <c r="Q655" s="22" t="s">
        <v>1555</v>
      </c>
      <c r="R655" s="22" t="s">
        <v>1354</v>
      </c>
      <c r="S655" s="22"/>
      <c r="T655" s="22"/>
      <c r="V655" s="26" t="s">
        <v>1936</v>
      </c>
      <c r="W655" s="6">
        <v>4</v>
      </c>
    </row>
    <row r="656" spans="1:23">
      <c r="A656" t="s">
        <v>2592</v>
      </c>
      <c r="B656" s="8">
        <v>45344</v>
      </c>
      <c r="C656" t="s">
        <v>1169</v>
      </c>
      <c r="D656" t="s">
        <v>1810</v>
      </c>
      <c r="E656" t="s">
        <v>1873</v>
      </c>
      <c r="F656">
        <v>4</v>
      </c>
      <c r="G656" s="10">
        <v>986.93</v>
      </c>
      <c r="H656" s="13">
        <v>0.01</v>
      </c>
      <c r="I656" t="s">
        <v>1931</v>
      </c>
      <c r="J656" s="16">
        <v>3908.2428</v>
      </c>
      <c r="K656" s="19">
        <f t="shared" si="50"/>
        <v>1438712.9990999978</v>
      </c>
      <c r="L656" s="22">
        <f t="shared" si="51"/>
        <v>1068.8803856612169</v>
      </c>
      <c r="M656" s="22">
        <f t="shared" si="52"/>
        <v>466</v>
      </c>
      <c r="N656" s="22" t="str">
        <f t="shared" si="53"/>
        <v>High Value</v>
      </c>
      <c r="O656" s="22" t="str">
        <f t="shared" si="54"/>
        <v>Feb-2024</v>
      </c>
      <c r="P656" s="22" t="s">
        <v>1811</v>
      </c>
      <c r="Q656" s="22" t="s">
        <v>1536</v>
      </c>
      <c r="R656" s="22" t="s">
        <v>1170</v>
      </c>
      <c r="S656" s="22"/>
      <c r="T656" s="22"/>
      <c r="V656" s="26" t="s">
        <v>1931</v>
      </c>
      <c r="W656" s="6">
        <v>5</v>
      </c>
    </row>
    <row r="657" spans="1:23">
      <c r="A657" t="s">
        <v>2593</v>
      </c>
      <c r="B657" s="8">
        <v>45388</v>
      </c>
      <c r="C657" t="s">
        <v>1464</v>
      </c>
      <c r="D657" t="s">
        <v>1614</v>
      </c>
      <c r="E657" t="s">
        <v>1901</v>
      </c>
      <c r="F657">
        <v>4</v>
      </c>
      <c r="G657" s="10">
        <v>411.68</v>
      </c>
      <c r="H657" s="13">
        <v>0.06</v>
      </c>
      <c r="I657" t="s">
        <v>1933</v>
      </c>
      <c r="J657" s="16">
        <v>1547.9168</v>
      </c>
      <c r="K657" s="19">
        <f t="shared" si="50"/>
        <v>1434804.7562999979</v>
      </c>
      <c r="L657" s="22">
        <f t="shared" si="51"/>
        <v>1066.769335539032</v>
      </c>
      <c r="M657" s="22">
        <f t="shared" si="52"/>
        <v>466</v>
      </c>
      <c r="N657" s="22" t="str">
        <f t="shared" si="53"/>
        <v>High Value</v>
      </c>
      <c r="O657" s="22" t="str">
        <f t="shared" si="54"/>
        <v>Apr-2024</v>
      </c>
      <c r="P657" s="22" t="s">
        <v>1615</v>
      </c>
      <c r="Q657" s="22" t="s">
        <v>1569</v>
      </c>
      <c r="R657" s="22" t="s">
        <v>1465</v>
      </c>
      <c r="S657" s="22"/>
      <c r="T657" s="22"/>
      <c r="V657" s="26" t="s">
        <v>1933</v>
      </c>
      <c r="W657" s="6">
        <v>6</v>
      </c>
    </row>
    <row r="658" spans="1:23">
      <c r="A658" t="s">
        <v>2594</v>
      </c>
      <c r="B658" s="8">
        <v>45397</v>
      </c>
      <c r="C658" t="s">
        <v>709</v>
      </c>
      <c r="D658" t="s">
        <v>1658</v>
      </c>
      <c r="E658" t="s">
        <v>1914</v>
      </c>
      <c r="F658">
        <v>2</v>
      </c>
      <c r="G658" s="10">
        <v>637.55999999999995</v>
      </c>
      <c r="H658" s="13">
        <v>0.05</v>
      </c>
      <c r="I658" t="s">
        <v>1936</v>
      </c>
      <c r="J658" s="16">
        <v>1211.364</v>
      </c>
      <c r="K658" s="19">
        <f t="shared" si="50"/>
        <v>1433256.8394999977</v>
      </c>
      <c r="L658" s="22">
        <f t="shared" si="51"/>
        <v>1066.4113389136887</v>
      </c>
      <c r="M658" s="22">
        <f t="shared" si="52"/>
        <v>465</v>
      </c>
      <c r="N658" s="22" t="str">
        <f t="shared" si="53"/>
        <v>High Value</v>
      </c>
      <c r="O658" s="22" t="str">
        <f t="shared" si="54"/>
        <v>Apr-2024</v>
      </c>
      <c r="P658" s="22" t="s">
        <v>1659</v>
      </c>
      <c r="Q658" s="22" t="s">
        <v>1536</v>
      </c>
      <c r="R658" s="22" t="s">
        <v>710</v>
      </c>
      <c r="S658" s="22"/>
      <c r="T658" s="22"/>
      <c r="V658" s="25" t="s">
        <v>1152</v>
      </c>
      <c r="W658" s="6">
        <v>14</v>
      </c>
    </row>
    <row r="659" spans="1:23">
      <c r="A659" t="s">
        <v>2595</v>
      </c>
      <c r="B659" s="8">
        <v>45633</v>
      </c>
      <c r="C659" t="s">
        <v>67</v>
      </c>
      <c r="D659" t="s">
        <v>1583</v>
      </c>
      <c r="E659" t="s">
        <v>1873</v>
      </c>
      <c r="F659">
        <v>3</v>
      </c>
      <c r="G659" s="10">
        <v>706.87</v>
      </c>
      <c r="H659" s="13">
        <v>0.27</v>
      </c>
      <c r="I659" t="s">
        <v>1931</v>
      </c>
      <c r="J659" s="16">
        <v>1548.0453</v>
      </c>
      <c r="K659" s="19">
        <f t="shared" si="50"/>
        <v>1432045.4754999978</v>
      </c>
      <c r="L659" s="22">
        <f t="shared" si="51"/>
        <v>1066.3034069247935</v>
      </c>
      <c r="M659" s="22">
        <f t="shared" si="52"/>
        <v>465</v>
      </c>
      <c r="N659" s="22" t="str">
        <f t="shared" si="53"/>
        <v>High Value</v>
      </c>
      <c r="O659" s="22" t="str">
        <f t="shared" si="54"/>
        <v>Dec-2024</v>
      </c>
      <c r="P659" s="22" t="s">
        <v>1584</v>
      </c>
      <c r="Q659" s="22" t="s">
        <v>1531</v>
      </c>
      <c r="R659" s="22" t="s">
        <v>68</v>
      </c>
      <c r="S659" s="22"/>
      <c r="T659" s="22"/>
      <c r="V659" s="26" t="s">
        <v>1936</v>
      </c>
      <c r="W659" s="6">
        <v>1</v>
      </c>
    </row>
    <row r="660" spans="1:23">
      <c r="A660" t="s">
        <v>2596</v>
      </c>
      <c r="B660" s="8">
        <v>45629</v>
      </c>
      <c r="C660" t="s">
        <v>205</v>
      </c>
      <c r="D660" t="s">
        <v>1590</v>
      </c>
      <c r="E660" t="s">
        <v>1883</v>
      </c>
      <c r="F660">
        <v>2</v>
      </c>
      <c r="G660" s="10">
        <v>884.48</v>
      </c>
      <c r="H660" s="13">
        <v>0</v>
      </c>
      <c r="I660" t="s">
        <v>1936</v>
      </c>
      <c r="J660" s="16">
        <v>1768.96</v>
      </c>
      <c r="K660" s="19">
        <f t="shared" si="50"/>
        <v>1430497.430199998</v>
      </c>
      <c r="L660" s="22">
        <f t="shared" si="51"/>
        <v>1065.9444338301028</v>
      </c>
      <c r="M660" s="22">
        <f t="shared" si="52"/>
        <v>465</v>
      </c>
      <c r="N660" s="22" t="str">
        <f t="shared" si="53"/>
        <v>High Value</v>
      </c>
      <c r="O660" s="22" t="str">
        <f t="shared" si="54"/>
        <v>Dec-2024</v>
      </c>
      <c r="P660" s="22" t="s">
        <v>1591</v>
      </c>
      <c r="Q660" s="22" t="s">
        <v>1531</v>
      </c>
      <c r="R660" s="22" t="s">
        <v>206</v>
      </c>
      <c r="S660" s="22"/>
      <c r="T660" s="22"/>
      <c r="V660" s="26" t="s">
        <v>1931</v>
      </c>
      <c r="W660" s="6">
        <v>7</v>
      </c>
    </row>
    <row r="661" spans="1:23">
      <c r="A661" t="s">
        <v>2597</v>
      </c>
      <c r="B661" s="8">
        <v>45291</v>
      </c>
      <c r="C661" t="s">
        <v>178</v>
      </c>
      <c r="D661" t="s">
        <v>1831</v>
      </c>
      <c r="E661" t="s">
        <v>1876</v>
      </c>
      <c r="F661">
        <v>3</v>
      </c>
      <c r="G661" s="10">
        <v>718.23</v>
      </c>
      <c r="H661" s="13">
        <v>0.19</v>
      </c>
      <c r="I661" t="s">
        <v>1933</v>
      </c>
      <c r="J661" s="16">
        <v>1745.2989</v>
      </c>
      <c r="K661" s="19">
        <f t="shared" si="50"/>
        <v>1428728.470199998</v>
      </c>
      <c r="L661" s="22">
        <f t="shared" si="51"/>
        <v>1065.4201865771797</v>
      </c>
      <c r="M661" s="22">
        <f t="shared" si="52"/>
        <v>465</v>
      </c>
      <c r="N661" s="22" t="str">
        <f t="shared" si="53"/>
        <v>High Value</v>
      </c>
      <c r="O661" s="22" t="str">
        <f t="shared" si="54"/>
        <v>Dec-2023</v>
      </c>
      <c r="P661" s="22" t="s">
        <v>1832</v>
      </c>
      <c r="Q661" s="22" t="s">
        <v>1560</v>
      </c>
      <c r="R661" s="22" t="s">
        <v>179</v>
      </c>
      <c r="S661" s="22"/>
      <c r="T661" s="22"/>
      <c r="V661" s="26" t="s">
        <v>1933</v>
      </c>
      <c r="W661" s="6">
        <v>6</v>
      </c>
    </row>
    <row r="662" spans="1:23">
      <c r="A662" t="s">
        <v>2598</v>
      </c>
      <c r="B662" s="8">
        <v>45914</v>
      </c>
      <c r="C662" t="s">
        <v>593</v>
      </c>
      <c r="D662" t="s">
        <v>1825</v>
      </c>
      <c r="E662" t="s">
        <v>1917</v>
      </c>
      <c r="F662">
        <v>3</v>
      </c>
      <c r="G662" s="10">
        <v>107.44</v>
      </c>
      <c r="H662" s="13">
        <v>0.27</v>
      </c>
      <c r="I662" t="s">
        <v>1933</v>
      </c>
      <c r="J662" s="16">
        <v>235.2936</v>
      </c>
      <c r="K662" s="19">
        <f t="shared" si="50"/>
        <v>1426983.1712999979</v>
      </c>
      <c r="L662" s="22">
        <f t="shared" si="51"/>
        <v>1064.9128144029835</v>
      </c>
      <c r="M662" s="22">
        <f t="shared" si="52"/>
        <v>464</v>
      </c>
      <c r="N662" s="22" t="str">
        <f t="shared" si="53"/>
        <v>Low Value</v>
      </c>
      <c r="O662" s="22" t="str">
        <f t="shared" si="54"/>
        <v>Sep-2025</v>
      </c>
      <c r="P662" s="22" t="s">
        <v>1826</v>
      </c>
      <c r="Q662" s="22" t="s">
        <v>1531</v>
      </c>
      <c r="R662" s="22" t="s">
        <v>594</v>
      </c>
      <c r="S662" s="22"/>
      <c r="T662" s="22"/>
      <c r="V662" s="25" t="s">
        <v>1161</v>
      </c>
      <c r="W662" s="6">
        <v>22</v>
      </c>
    </row>
    <row r="663" spans="1:23">
      <c r="A663" t="s">
        <v>2599</v>
      </c>
      <c r="B663" s="8">
        <v>45673</v>
      </c>
      <c r="C663" t="s">
        <v>208</v>
      </c>
      <c r="D663" t="s">
        <v>1690</v>
      </c>
      <c r="E663" t="s">
        <v>1873</v>
      </c>
      <c r="F663">
        <v>4</v>
      </c>
      <c r="G663" s="10">
        <v>608.97</v>
      </c>
      <c r="H663" s="13">
        <v>0.14000000000000001</v>
      </c>
      <c r="I663" t="s">
        <v>1936</v>
      </c>
      <c r="J663" s="16">
        <v>2094.8568</v>
      </c>
      <c r="K663" s="19">
        <f t="shared" si="50"/>
        <v>1426747.877699998</v>
      </c>
      <c r="L663" s="22">
        <f t="shared" si="51"/>
        <v>1065.5323955937251</v>
      </c>
      <c r="M663" s="22">
        <f t="shared" si="52"/>
        <v>463</v>
      </c>
      <c r="N663" s="22" t="str">
        <f t="shared" si="53"/>
        <v>High Value</v>
      </c>
      <c r="O663" s="22" t="str">
        <f t="shared" si="54"/>
        <v>Jan-2025</v>
      </c>
      <c r="P663" s="22" t="s">
        <v>1691</v>
      </c>
      <c r="Q663" s="22" t="s">
        <v>1536</v>
      </c>
      <c r="R663" s="22" t="s">
        <v>209</v>
      </c>
      <c r="S663" s="22"/>
      <c r="T663" s="22"/>
      <c r="V663" s="26" t="s">
        <v>1936</v>
      </c>
      <c r="W663" s="6">
        <v>12</v>
      </c>
    </row>
    <row r="664" spans="1:23">
      <c r="A664" t="s">
        <v>2600</v>
      </c>
      <c r="B664" s="8">
        <v>45689</v>
      </c>
      <c r="C664" t="s">
        <v>1104</v>
      </c>
      <c r="D664" t="s">
        <v>1737</v>
      </c>
      <c r="E664" t="s">
        <v>1883</v>
      </c>
      <c r="F664">
        <v>3</v>
      </c>
      <c r="G664" s="10">
        <v>260.45999999999998</v>
      </c>
      <c r="H664" s="13">
        <v>0.09</v>
      </c>
      <c r="I664" t="s">
        <v>1931</v>
      </c>
      <c r="J664" s="16">
        <v>711.05579999999986</v>
      </c>
      <c r="K664" s="19">
        <f t="shared" si="50"/>
        <v>1424653.020899998</v>
      </c>
      <c r="L664" s="22">
        <f t="shared" si="51"/>
        <v>1064.7630948430478</v>
      </c>
      <c r="M664" s="22">
        <f t="shared" si="52"/>
        <v>463</v>
      </c>
      <c r="N664" s="22" t="str">
        <f t="shared" si="53"/>
        <v>Low Value</v>
      </c>
      <c r="O664" s="22" t="str">
        <f t="shared" si="54"/>
        <v>Feb-2025</v>
      </c>
      <c r="P664" s="22" t="s">
        <v>1738</v>
      </c>
      <c r="Q664" s="22" t="s">
        <v>1569</v>
      </c>
      <c r="R664" s="22" t="s">
        <v>1105</v>
      </c>
      <c r="S664" s="22"/>
      <c r="T664" s="22"/>
      <c r="V664" s="26" t="s">
        <v>1931</v>
      </c>
      <c r="W664" s="6">
        <v>8</v>
      </c>
    </row>
    <row r="665" spans="1:23">
      <c r="A665" t="s">
        <v>2601</v>
      </c>
      <c r="B665" s="8">
        <v>45646</v>
      </c>
      <c r="C665" t="s">
        <v>421</v>
      </c>
      <c r="D665" t="s">
        <v>1614</v>
      </c>
      <c r="E665" t="s">
        <v>1883</v>
      </c>
      <c r="F665">
        <v>1</v>
      </c>
      <c r="G665" s="10">
        <v>747.03</v>
      </c>
      <c r="H665" s="13">
        <v>0.01</v>
      </c>
      <c r="I665" t="s">
        <v>1931</v>
      </c>
      <c r="J665" s="16">
        <v>739.55970000000002</v>
      </c>
      <c r="K665" s="19">
        <f t="shared" si="50"/>
        <v>1423941.9650999978</v>
      </c>
      <c r="L665" s="22">
        <f t="shared" si="51"/>
        <v>1065.0276477935661</v>
      </c>
      <c r="M665" s="22">
        <f t="shared" si="52"/>
        <v>463</v>
      </c>
      <c r="N665" s="22" t="str">
        <f t="shared" si="53"/>
        <v>Low Value</v>
      </c>
      <c r="O665" s="22" t="str">
        <f t="shared" si="54"/>
        <v>Dec-2024</v>
      </c>
      <c r="P665" s="22" t="s">
        <v>1615</v>
      </c>
      <c r="Q665" s="22" t="s">
        <v>1569</v>
      </c>
      <c r="R665" s="22" t="s">
        <v>422</v>
      </c>
      <c r="S665" s="22"/>
      <c r="T665" s="22"/>
      <c r="V665" s="26" t="s">
        <v>1933</v>
      </c>
      <c r="W665" s="6">
        <v>2</v>
      </c>
    </row>
    <row r="666" spans="1:23">
      <c r="A666" t="s">
        <v>2602</v>
      </c>
      <c r="B666" s="8">
        <v>45475</v>
      </c>
      <c r="C666" t="s">
        <v>1250</v>
      </c>
      <c r="D666" t="s">
        <v>1970</v>
      </c>
      <c r="E666" t="s">
        <v>1889</v>
      </c>
      <c r="F666">
        <v>4</v>
      </c>
      <c r="G666" s="10">
        <v>700.88</v>
      </c>
      <c r="H666" s="13">
        <v>0.23</v>
      </c>
      <c r="I666" t="s">
        <v>1933</v>
      </c>
      <c r="J666" s="16">
        <v>2158.7103999999999</v>
      </c>
      <c r="K666" s="19">
        <f t="shared" si="50"/>
        <v>1423202.405399998</v>
      </c>
      <c r="L666" s="22">
        <f t="shared" si="51"/>
        <v>1065.2712615269445</v>
      </c>
      <c r="M666" s="22">
        <f t="shared" si="52"/>
        <v>463</v>
      </c>
      <c r="N666" s="22" t="str">
        <f t="shared" si="53"/>
        <v>High Value</v>
      </c>
      <c r="O666" s="22" t="str">
        <f t="shared" si="54"/>
        <v>Jul-2024</v>
      </c>
      <c r="P666" s="22" t="s">
        <v>1594</v>
      </c>
      <c r="Q666" s="22" t="s">
        <v>1555</v>
      </c>
      <c r="R666" s="22" t="s">
        <v>1251</v>
      </c>
      <c r="S666" s="22"/>
      <c r="T666" s="22"/>
      <c r="V666" s="25" t="s">
        <v>922</v>
      </c>
      <c r="W666" s="6">
        <v>6</v>
      </c>
    </row>
    <row r="667" spans="1:23">
      <c r="A667" t="s">
        <v>2603</v>
      </c>
      <c r="B667" s="8">
        <v>45781</v>
      </c>
      <c r="C667" t="s">
        <v>182</v>
      </c>
      <c r="D667" t="s">
        <v>1840</v>
      </c>
      <c r="E667" t="s">
        <v>1906</v>
      </c>
      <c r="F667">
        <v>4</v>
      </c>
      <c r="G667" s="10">
        <v>20.09</v>
      </c>
      <c r="H667" s="13">
        <v>0.16</v>
      </c>
      <c r="I667" t="s">
        <v>1933</v>
      </c>
      <c r="J667" s="16">
        <v>67.502399999999994</v>
      </c>
      <c r="K667" s="19">
        <f t="shared" si="50"/>
        <v>1421043.6949999982</v>
      </c>
      <c r="L667" s="22">
        <f t="shared" si="51"/>
        <v>1064.452205992508</v>
      </c>
      <c r="M667" s="22">
        <f t="shared" si="52"/>
        <v>462</v>
      </c>
      <c r="N667" s="22" t="str">
        <f t="shared" si="53"/>
        <v>Low Value</v>
      </c>
      <c r="O667" s="22" t="str">
        <f t="shared" si="54"/>
        <v>May-2025</v>
      </c>
      <c r="P667" s="22" t="s">
        <v>1841</v>
      </c>
      <c r="Q667" s="22" t="s">
        <v>1569</v>
      </c>
      <c r="R667" s="22" t="s">
        <v>183</v>
      </c>
      <c r="S667" s="22"/>
      <c r="T667" s="22"/>
      <c r="V667" s="26" t="s">
        <v>1936</v>
      </c>
      <c r="W667" s="6">
        <v>2</v>
      </c>
    </row>
    <row r="668" spans="1:23">
      <c r="A668" t="s">
        <v>2604</v>
      </c>
      <c r="B668" s="8">
        <v>45654</v>
      </c>
      <c r="C668" t="s">
        <v>227</v>
      </c>
      <c r="D668" t="s">
        <v>1661</v>
      </c>
      <c r="E668" t="s">
        <v>1899</v>
      </c>
      <c r="F668">
        <v>3</v>
      </c>
      <c r="G668" s="10">
        <v>917.64</v>
      </c>
      <c r="H668" s="13">
        <v>0.24</v>
      </c>
      <c r="I668" t="s">
        <v>1933</v>
      </c>
      <c r="J668" s="16">
        <v>2092.2192</v>
      </c>
      <c r="K668" s="19">
        <f t="shared" si="50"/>
        <v>1420976.1925999981</v>
      </c>
      <c r="L668" s="22">
        <f t="shared" si="51"/>
        <v>1065.1995446776598</v>
      </c>
      <c r="M668" s="22">
        <f t="shared" si="52"/>
        <v>461</v>
      </c>
      <c r="N668" s="22" t="str">
        <f t="shared" si="53"/>
        <v>High Value</v>
      </c>
      <c r="O668" s="22" t="str">
        <f t="shared" si="54"/>
        <v>Dec-2024</v>
      </c>
      <c r="P668" s="22" t="s">
        <v>1662</v>
      </c>
      <c r="Q668" s="22" t="s">
        <v>1536</v>
      </c>
      <c r="R668" s="22" t="s">
        <v>228</v>
      </c>
      <c r="S668" s="22"/>
      <c r="T668" s="22"/>
      <c r="V668" s="26" t="s">
        <v>1931</v>
      </c>
      <c r="W668" s="6">
        <v>4</v>
      </c>
    </row>
    <row r="669" spans="1:23">
      <c r="A669" t="s">
        <v>2605</v>
      </c>
      <c r="B669" s="8">
        <v>45594</v>
      </c>
      <c r="C669" t="s">
        <v>192</v>
      </c>
      <c r="D669" t="s">
        <v>1610</v>
      </c>
      <c r="E669" t="s">
        <v>1859</v>
      </c>
      <c r="F669">
        <v>1</v>
      </c>
      <c r="G669" s="10">
        <v>242.08</v>
      </c>
      <c r="H669" s="13">
        <v>0.18</v>
      </c>
      <c r="I669" t="s">
        <v>1933</v>
      </c>
      <c r="J669" s="16">
        <v>198.50559999999999</v>
      </c>
      <c r="K669" s="19">
        <f t="shared" si="50"/>
        <v>1418883.9733999984</v>
      </c>
      <c r="L669" s="22">
        <f t="shared" si="51"/>
        <v>1064.4290873218292</v>
      </c>
      <c r="M669" s="22">
        <f t="shared" si="52"/>
        <v>460</v>
      </c>
      <c r="N669" s="22" t="str">
        <f t="shared" si="53"/>
        <v>Low Value</v>
      </c>
      <c r="O669" s="22" t="str">
        <f t="shared" si="54"/>
        <v>Oct-2024</v>
      </c>
      <c r="P669" s="22" t="s">
        <v>1611</v>
      </c>
      <c r="Q669" s="22" t="s">
        <v>1560</v>
      </c>
      <c r="R669" s="22" t="s">
        <v>193</v>
      </c>
      <c r="S669" s="22"/>
      <c r="T669" s="22"/>
      <c r="V669" s="25" t="s">
        <v>432</v>
      </c>
      <c r="W669" s="6">
        <v>12</v>
      </c>
    </row>
    <row r="670" spans="1:23">
      <c r="A670" t="s">
        <v>2606</v>
      </c>
      <c r="B670" s="8">
        <v>45581</v>
      </c>
      <c r="C670" t="s">
        <v>211</v>
      </c>
      <c r="D670" t="s">
        <v>1743</v>
      </c>
      <c r="E670" t="s">
        <v>1886</v>
      </c>
      <c r="F670">
        <v>1</v>
      </c>
      <c r="G670" s="10">
        <v>536.67999999999995</v>
      </c>
      <c r="H670" s="13">
        <v>0.27</v>
      </c>
      <c r="I670" t="s">
        <v>1931</v>
      </c>
      <c r="J670" s="16">
        <v>391.77640000000002</v>
      </c>
      <c r="K670" s="19">
        <f t="shared" si="50"/>
        <v>1418685.4677999984</v>
      </c>
      <c r="L670" s="22">
        <f t="shared" si="51"/>
        <v>1065.0791800300287</v>
      </c>
      <c r="M670" s="22">
        <f t="shared" si="52"/>
        <v>459</v>
      </c>
      <c r="N670" s="22" t="str">
        <f t="shared" si="53"/>
        <v>Low Value</v>
      </c>
      <c r="O670" s="22" t="str">
        <f t="shared" si="54"/>
        <v>Oct-2024</v>
      </c>
      <c r="P670" s="22" t="s">
        <v>1744</v>
      </c>
      <c r="Q670" s="22" t="s">
        <v>1555</v>
      </c>
      <c r="R670" s="22" t="s">
        <v>212</v>
      </c>
      <c r="S670" s="22"/>
      <c r="T670" s="22"/>
      <c r="V670" s="26" t="s">
        <v>1936</v>
      </c>
      <c r="W670" s="6">
        <v>8</v>
      </c>
    </row>
    <row r="671" spans="1:23">
      <c r="A671" t="s">
        <v>2607</v>
      </c>
      <c r="B671" s="8">
        <v>45748</v>
      </c>
      <c r="C671" t="s">
        <v>333</v>
      </c>
      <c r="D671" t="s">
        <v>1636</v>
      </c>
      <c r="E671" t="s">
        <v>1876</v>
      </c>
      <c r="F671">
        <v>2</v>
      </c>
      <c r="G671" s="10">
        <v>145.18</v>
      </c>
      <c r="H671" s="13">
        <v>0.26</v>
      </c>
      <c r="I671" t="s">
        <v>1933</v>
      </c>
      <c r="J671" s="16">
        <v>214.8664</v>
      </c>
      <c r="K671" s="19">
        <f t="shared" si="50"/>
        <v>1418293.6913999983</v>
      </c>
      <c r="L671" s="22">
        <f t="shared" si="51"/>
        <v>1065.5850423741535</v>
      </c>
      <c r="M671" s="22">
        <f t="shared" si="52"/>
        <v>459</v>
      </c>
      <c r="N671" s="22" t="str">
        <f t="shared" si="53"/>
        <v>Low Value</v>
      </c>
      <c r="O671" s="22" t="str">
        <f t="shared" si="54"/>
        <v>Apr-2025</v>
      </c>
      <c r="P671" s="22" t="s">
        <v>1637</v>
      </c>
      <c r="Q671" s="22" t="s">
        <v>1560</v>
      </c>
      <c r="R671" s="22" t="s">
        <v>334</v>
      </c>
      <c r="S671" s="22"/>
      <c r="T671" s="22"/>
      <c r="V671" s="26" t="s">
        <v>1931</v>
      </c>
      <c r="W671" s="6">
        <v>4</v>
      </c>
    </row>
    <row r="672" spans="1:23">
      <c r="A672" t="s">
        <v>2608</v>
      </c>
      <c r="B672" s="8">
        <v>45369</v>
      </c>
      <c r="C672" t="s">
        <v>716</v>
      </c>
      <c r="D672" t="s">
        <v>1755</v>
      </c>
      <c r="E672" t="s">
        <v>1876</v>
      </c>
      <c r="F672">
        <v>2</v>
      </c>
      <c r="G672" s="10">
        <v>132.77000000000001</v>
      </c>
      <c r="H672" s="13">
        <v>0.13</v>
      </c>
      <c r="I672" t="s">
        <v>1936</v>
      </c>
      <c r="J672" s="16">
        <v>231.0198</v>
      </c>
      <c r="K672" s="19">
        <f t="shared" si="50"/>
        <v>1418078.8249999983</v>
      </c>
      <c r="L672" s="22">
        <f t="shared" si="51"/>
        <v>1066.2246804511265</v>
      </c>
      <c r="M672" s="22">
        <f t="shared" si="52"/>
        <v>458</v>
      </c>
      <c r="N672" s="22" t="str">
        <f t="shared" si="53"/>
        <v>Low Value</v>
      </c>
      <c r="O672" s="22" t="str">
        <f t="shared" si="54"/>
        <v>Mar-2024</v>
      </c>
      <c r="P672" s="22" t="s">
        <v>1756</v>
      </c>
      <c r="Q672" s="22" t="s">
        <v>1531</v>
      </c>
      <c r="R672" s="22" t="s">
        <v>717</v>
      </c>
      <c r="S672" s="22"/>
      <c r="T672" s="22"/>
      <c r="V672" s="25" t="s">
        <v>444</v>
      </c>
      <c r="W672" s="6">
        <v>6</v>
      </c>
    </row>
    <row r="673" spans="1:23">
      <c r="A673" t="s">
        <v>2609</v>
      </c>
      <c r="B673" s="8">
        <v>45701</v>
      </c>
      <c r="C673" t="s">
        <v>63</v>
      </c>
      <c r="D673" t="s">
        <v>1675</v>
      </c>
      <c r="E673" t="s">
        <v>1893</v>
      </c>
      <c r="F673">
        <v>4</v>
      </c>
      <c r="G673" s="10">
        <v>682.11</v>
      </c>
      <c r="H673" s="13">
        <v>0.14000000000000001</v>
      </c>
      <c r="I673" t="s">
        <v>1931</v>
      </c>
      <c r="J673" s="16">
        <v>2346.4584</v>
      </c>
      <c r="K673" s="19">
        <f t="shared" si="50"/>
        <v>1417847.8051999982</v>
      </c>
      <c r="L673" s="22">
        <f t="shared" si="51"/>
        <v>1066.8531265613231</v>
      </c>
      <c r="M673" s="22">
        <f t="shared" si="52"/>
        <v>458</v>
      </c>
      <c r="N673" s="22" t="str">
        <f t="shared" si="53"/>
        <v>High Value</v>
      </c>
      <c r="O673" s="22" t="str">
        <f t="shared" si="54"/>
        <v>Feb-2025</v>
      </c>
      <c r="P673" s="22" t="s">
        <v>1676</v>
      </c>
      <c r="Q673" s="22" t="s">
        <v>1569</v>
      </c>
      <c r="R673" s="22" t="s">
        <v>64</v>
      </c>
      <c r="S673" s="22"/>
      <c r="T673" s="22"/>
      <c r="V673" s="26" t="s">
        <v>1936</v>
      </c>
      <c r="W673" s="6">
        <v>3</v>
      </c>
    </row>
    <row r="674" spans="1:23">
      <c r="A674" t="s">
        <v>2610</v>
      </c>
      <c r="B674" s="8">
        <v>45510</v>
      </c>
      <c r="C674" t="s">
        <v>2611</v>
      </c>
      <c r="D674" t="s">
        <v>1672</v>
      </c>
      <c r="E674" t="s">
        <v>1914</v>
      </c>
      <c r="F674">
        <v>4</v>
      </c>
      <c r="G674" s="10">
        <v>502.95</v>
      </c>
      <c r="H674" s="13">
        <v>0.14000000000000001</v>
      </c>
      <c r="I674" t="s">
        <v>1936</v>
      </c>
      <c r="J674" s="16">
        <v>1730.1479999999999</v>
      </c>
      <c r="K674" s="19">
        <f t="shared" si="50"/>
        <v>1415501.3467999983</v>
      </c>
      <c r="L674" s="22">
        <f t="shared" si="51"/>
        <v>1065.8895683734927</v>
      </c>
      <c r="M674" s="22">
        <f t="shared" si="52"/>
        <v>458</v>
      </c>
      <c r="N674" s="22" t="str">
        <f t="shared" si="53"/>
        <v>High Value</v>
      </c>
      <c r="O674" s="22" t="str">
        <f t="shared" si="54"/>
        <v>Aug-2024</v>
      </c>
      <c r="P674" s="22" t="s">
        <v>1673</v>
      </c>
      <c r="Q674" s="22" t="s">
        <v>1531</v>
      </c>
      <c r="R674" s="22" t="s">
        <v>1484</v>
      </c>
      <c r="S674" s="22"/>
      <c r="T674" s="22"/>
      <c r="V674" s="26" t="s">
        <v>1931</v>
      </c>
      <c r="W674" s="6">
        <v>3</v>
      </c>
    </row>
    <row r="675" spans="1:23">
      <c r="A675" t="s">
        <v>2612</v>
      </c>
      <c r="B675" s="8">
        <v>45538</v>
      </c>
      <c r="C675" t="s">
        <v>753</v>
      </c>
      <c r="D675" t="s">
        <v>1661</v>
      </c>
      <c r="E675" t="s">
        <v>1911</v>
      </c>
      <c r="F675">
        <v>2</v>
      </c>
      <c r="G675" s="10">
        <v>472.08</v>
      </c>
      <c r="H675" s="13">
        <v>7.0000000000000007E-2</v>
      </c>
      <c r="I675" t="s">
        <v>1931</v>
      </c>
      <c r="J675" s="16">
        <v>878.0687999999999</v>
      </c>
      <c r="K675" s="19">
        <f t="shared" si="50"/>
        <v>1413771.1987999985</v>
      </c>
      <c r="L675" s="22">
        <f t="shared" si="51"/>
        <v>1065.3889968349649</v>
      </c>
      <c r="M675" s="22">
        <f t="shared" si="52"/>
        <v>458</v>
      </c>
      <c r="N675" s="22" t="str">
        <f t="shared" si="53"/>
        <v>Low Value</v>
      </c>
      <c r="O675" s="22" t="str">
        <f t="shared" si="54"/>
        <v>Sep-2024</v>
      </c>
      <c r="P675" s="22" t="s">
        <v>1662</v>
      </c>
      <c r="Q675" s="22" t="s">
        <v>1536</v>
      </c>
      <c r="R675" s="22" t="s">
        <v>754</v>
      </c>
      <c r="S675" s="22"/>
      <c r="T675" s="22"/>
      <c r="V675" s="25" t="s">
        <v>317</v>
      </c>
      <c r="W675" s="6">
        <v>13</v>
      </c>
    </row>
    <row r="676" spans="1:23">
      <c r="A676" t="s">
        <v>2613</v>
      </c>
      <c r="B676" s="8">
        <v>45665</v>
      </c>
      <c r="C676" t="s">
        <v>1448</v>
      </c>
      <c r="D676" t="s">
        <v>1725</v>
      </c>
      <c r="E676" t="s">
        <v>1914</v>
      </c>
      <c r="F676">
        <v>2</v>
      </c>
      <c r="G676" s="10">
        <v>218.11</v>
      </c>
      <c r="H676" s="13">
        <v>0.02</v>
      </c>
      <c r="I676" t="s">
        <v>1936</v>
      </c>
      <c r="J676" s="16">
        <v>427.49560000000002</v>
      </c>
      <c r="K676" s="19">
        <f t="shared" si="50"/>
        <v>1412893.1299999985</v>
      </c>
      <c r="L676" s="22">
        <f t="shared" si="51"/>
        <v>1065.5302639517333</v>
      </c>
      <c r="M676" s="22">
        <f t="shared" si="52"/>
        <v>458</v>
      </c>
      <c r="N676" s="22" t="str">
        <f t="shared" si="53"/>
        <v>Low Value</v>
      </c>
      <c r="O676" s="22" t="str">
        <f t="shared" si="54"/>
        <v>Jan-2025</v>
      </c>
      <c r="P676" s="22" t="s">
        <v>1726</v>
      </c>
      <c r="Q676" s="22" t="s">
        <v>1569</v>
      </c>
      <c r="R676" s="22" t="s">
        <v>1449</v>
      </c>
      <c r="S676" s="22"/>
      <c r="T676" s="22"/>
      <c r="V676" s="26" t="s">
        <v>1931</v>
      </c>
      <c r="W676" s="6">
        <v>4</v>
      </c>
    </row>
    <row r="677" spans="1:23">
      <c r="A677" t="s">
        <v>2614</v>
      </c>
      <c r="B677" s="8">
        <v>45859</v>
      </c>
      <c r="C677" t="s">
        <v>211</v>
      </c>
      <c r="D677" t="s">
        <v>1534</v>
      </c>
      <c r="E677" t="s">
        <v>1883</v>
      </c>
      <c r="F677">
        <v>4</v>
      </c>
      <c r="G677" s="10">
        <v>845.58</v>
      </c>
      <c r="H677" s="13">
        <v>0.06</v>
      </c>
      <c r="I677" t="s">
        <v>1933</v>
      </c>
      <c r="J677" s="16">
        <v>3179.3807999999999</v>
      </c>
      <c r="K677" s="19">
        <f t="shared" si="50"/>
        <v>1412465.6343999985</v>
      </c>
      <c r="L677" s="22">
        <f t="shared" si="51"/>
        <v>1066.0117995471687</v>
      </c>
      <c r="M677" s="22">
        <f t="shared" si="52"/>
        <v>458</v>
      </c>
      <c r="N677" s="22" t="str">
        <f t="shared" si="53"/>
        <v>High Value</v>
      </c>
      <c r="O677" s="22" t="str">
        <f t="shared" si="54"/>
        <v>Jul-2025</v>
      </c>
      <c r="P677" s="22" t="s">
        <v>1535</v>
      </c>
      <c r="Q677" s="22" t="s">
        <v>1536</v>
      </c>
      <c r="R677" s="22" t="s">
        <v>212</v>
      </c>
      <c r="S677" s="22"/>
      <c r="T677" s="22"/>
      <c r="V677" s="26" t="s">
        <v>1933</v>
      </c>
      <c r="W677" s="6">
        <v>9</v>
      </c>
    </row>
    <row r="678" spans="1:23">
      <c r="A678" t="s">
        <v>2615</v>
      </c>
      <c r="B678" s="8">
        <v>45255</v>
      </c>
      <c r="C678" t="s">
        <v>437</v>
      </c>
      <c r="D678" t="s">
        <v>1795</v>
      </c>
      <c r="E678" t="s">
        <v>1868</v>
      </c>
      <c r="F678">
        <v>2</v>
      </c>
      <c r="G678" s="10">
        <v>111.28</v>
      </c>
      <c r="H678" s="13">
        <v>0.14000000000000001</v>
      </c>
      <c r="I678" t="s">
        <v>1931</v>
      </c>
      <c r="J678" s="16">
        <v>191.4016</v>
      </c>
      <c r="K678" s="19">
        <f t="shared" si="50"/>
        <v>1409286.2535999983</v>
      </c>
      <c r="L678" s="22">
        <f t="shared" si="51"/>
        <v>1064.415599395769</v>
      </c>
      <c r="M678" s="22">
        <f t="shared" si="52"/>
        <v>457</v>
      </c>
      <c r="N678" s="22" t="str">
        <f t="shared" si="53"/>
        <v>Low Value</v>
      </c>
      <c r="O678" s="22" t="str">
        <f t="shared" si="54"/>
        <v>Nov-2023</v>
      </c>
      <c r="P678" s="22" t="s">
        <v>1796</v>
      </c>
      <c r="Q678" s="22" t="s">
        <v>1560</v>
      </c>
      <c r="R678" s="22" t="s">
        <v>438</v>
      </c>
      <c r="S678" s="22"/>
      <c r="T678" s="22"/>
      <c r="V678" s="25" t="s">
        <v>936</v>
      </c>
      <c r="W678" s="6">
        <v>9</v>
      </c>
    </row>
    <row r="679" spans="1:23">
      <c r="A679" t="s">
        <v>2616</v>
      </c>
      <c r="B679" s="8">
        <v>45842</v>
      </c>
      <c r="C679" t="s">
        <v>583</v>
      </c>
      <c r="D679" t="s">
        <v>1731</v>
      </c>
      <c r="E679" t="s">
        <v>1906</v>
      </c>
      <c r="F679">
        <v>2</v>
      </c>
      <c r="G679" s="10">
        <v>37.21</v>
      </c>
      <c r="H679" s="13">
        <v>0.19</v>
      </c>
      <c r="I679" t="s">
        <v>1931</v>
      </c>
      <c r="J679" s="16">
        <v>60.280200000000008</v>
      </c>
      <c r="K679" s="19">
        <f t="shared" si="50"/>
        <v>1409094.8519999983</v>
      </c>
      <c r="L679" s="22">
        <f t="shared" si="51"/>
        <v>1065.0754739229012</v>
      </c>
      <c r="M679" s="22">
        <f t="shared" si="52"/>
        <v>457</v>
      </c>
      <c r="N679" s="22" t="str">
        <f t="shared" si="53"/>
        <v>Low Value</v>
      </c>
      <c r="O679" s="22" t="str">
        <f t="shared" si="54"/>
        <v>Jul-2025</v>
      </c>
      <c r="P679" s="22" t="s">
        <v>1732</v>
      </c>
      <c r="Q679" s="22" t="s">
        <v>1555</v>
      </c>
      <c r="R679" s="22" t="s">
        <v>584</v>
      </c>
      <c r="S679" s="22"/>
      <c r="T679" s="22"/>
      <c r="V679" s="26" t="s">
        <v>1936</v>
      </c>
      <c r="W679" s="6">
        <v>8</v>
      </c>
    </row>
    <row r="680" spans="1:23">
      <c r="A680" t="s">
        <v>2617</v>
      </c>
      <c r="B680" s="8">
        <v>45220</v>
      </c>
      <c r="C680" t="s">
        <v>1288</v>
      </c>
      <c r="D680" t="s">
        <v>1740</v>
      </c>
      <c r="E680" t="s">
        <v>1904</v>
      </c>
      <c r="F680">
        <v>1</v>
      </c>
      <c r="G680" s="10">
        <v>331.73</v>
      </c>
      <c r="H680" s="13">
        <v>0.04</v>
      </c>
      <c r="I680" t="s">
        <v>1931</v>
      </c>
      <c r="J680" s="16">
        <v>318.46080000000001</v>
      </c>
      <c r="K680" s="19">
        <f t="shared" si="50"/>
        <v>1409034.5717999982</v>
      </c>
      <c r="L680" s="22">
        <f t="shared" si="51"/>
        <v>1065.8355308623284</v>
      </c>
      <c r="M680" s="22">
        <f t="shared" si="52"/>
        <v>457</v>
      </c>
      <c r="N680" s="22" t="str">
        <f t="shared" si="53"/>
        <v>Low Value</v>
      </c>
      <c r="O680" s="22" t="str">
        <f t="shared" si="54"/>
        <v>Oct-2023</v>
      </c>
      <c r="P680" s="22" t="s">
        <v>1741</v>
      </c>
      <c r="Q680" s="22" t="s">
        <v>1531</v>
      </c>
      <c r="R680" s="22" t="s">
        <v>1289</v>
      </c>
      <c r="S680" s="22"/>
      <c r="T680" s="22"/>
      <c r="V680" s="26" t="s">
        <v>1931</v>
      </c>
      <c r="W680" s="6">
        <v>1</v>
      </c>
    </row>
    <row r="681" spans="1:23">
      <c r="A681" t="s">
        <v>2618</v>
      </c>
      <c r="B681" s="8">
        <v>45273</v>
      </c>
      <c r="C681" t="s">
        <v>1133</v>
      </c>
      <c r="D681" t="s">
        <v>1765</v>
      </c>
      <c r="E681" t="s">
        <v>1901</v>
      </c>
      <c r="F681">
        <v>3</v>
      </c>
      <c r="G681" s="10">
        <v>306.70999999999998</v>
      </c>
      <c r="H681" s="13">
        <v>0.09</v>
      </c>
      <c r="I681" t="s">
        <v>1933</v>
      </c>
      <c r="J681" s="16">
        <v>837.31829999999991</v>
      </c>
      <c r="K681" s="19">
        <f t="shared" si="50"/>
        <v>1408716.1109999982</v>
      </c>
      <c r="L681" s="22">
        <f t="shared" si="51"/>
        <v>1066.4012952308842</v>
      </c>
      <c r="M681" s="22">
        <f t="shared" si="52"/>
        <v>457</v>
      </c>
      <c r="N681" s="22" t="str">
        <f t="shared" si="53"/>
        <v>Low Value</v>
      </c>
      <c r="O681" s="22" t="str">
        <f t="shared" si="54"/>
        <v>Dec-2023</v>
      </c>
      <c r="P681" s="22" t="s">
        <v>1766</v>
      </c>
      <c r="Q681" s="22" t="s">
        <v>1560</v>
      </c>
      <c r="R681" s="22" t="s">
        <v>1134</v>
      </c>
      <c r="S681" s="22"/>
      <c r="T681" s="22"/>
      <c r="V681" s="25" t="s">
        <v>1059</v>
      </c>
      <c r="W681" s="6">
        <v>11</v>
      </c>
    </row>
    <row r="682" spans="1:23">
      <c r="A682" t="s">
        <v>2619</v>
      </c>
      <c r="B682" s="8">
        <v>45456</v>
      </c>
      <c r="C682" t="s">
        <v>860</v>
      </c>
      <c r="D682" t="s">
        <v>1624</v>
      </c>
      <c r="E682" t="s">
        <v>1883</v>
      </c>
      <c r="F682">
        <v>4</v>
      </c>
      <c r="G682" s="10">
        <v>484.92</v>
      </c>
      <c r="H682" s="13">
        <v>0.28000000000000003</v>
      </c>
      <c r="I682" t="s">
        <v>1933</v>
      </c>
      <c r="J682" s="16">
        <v>1396.5696</v>
      </c>
      <c r="K682" s="19">
        <f t="shared" si="50"/>
        <v>1407878.7926999982</v>
      </c>
      <c r="L682" s="22">
        <f t="shared" si="51"/>
        <v>1066.5748429545442</v>
      </c>
      <c r="M682" s="22">
        <f t="shared" si="52"/>
        <v>456</v>
      </c>
      <c r="N682" s="22" t="str">
        <f t="shared" si="53"/>
        <v>High Value</v>
      </c>
      <c r="O682" s="22" t="str">
        <f t="shared" si="54"/>
        <v>Jun-2024</v>
      </c>
      <c r="P682" s="22" t="s">
        <v>1625</v>
      </c>
      <c r="Q682" s="22" t="s">
        <v>1536</v>
      </c>
      <c r="R682" s="22" t="s">
        <v>861</v>
      </c>
      <c r="S682" s="22"/>
      <c r="T682" s="22"/>
      <c r="V682" s="26" t="s">
        <v>1931</v>
      </c>
      <c r="W682" s="6">
        <v>3</v>
      </c>
    </row>
    <row r="683" spans="1:23">
      <c r="A683" t="s">
        <v>2620</v>
      </c>
      <c r="B683" s="8">
        <v>45292</v>
      </c>
      <c r="C683" t="s">
        <v>167</v>
      </c>
      <c r="D683" t="s">
        <v>1704</v>
      </c>
      <c r="E683" t="s">
        <v>1880</v>
      </c>
      <c r="F683">
        <v>2</v>
      </c>
      <c r="G683" s="10">
        <v>42.04</v>
      </c>
      <c r="H683" s="13">
        <v>7.0000000000000007E-2</v>
      </c>
      <c r="I683" t="s">
        <v>1931</v>
      </c>
      <c r="J683" s="16">
        <v>78.194399999999987</v>
      </c>
      <c r="K683" s="19">
        <f t="shared" si="50"/>
        <v>1406482.2230999982</v>
      </c>
      <c r="L683" s="22">
        <f t="shared" si="51"/>
        <v>1066.3246573919623</v>
      </c>
      <c r="M683" s="22">
        <f t="shared" si="52"/>
        <v>455</v>
      </c>
      <c r="N683" s="22" t="str">
        <f t="shared" si="53"/>
        <v>Low Value</v>
      </c>
      <c r="O683" s="22" t="str">
        <f t="shared" si="54"/>
        <v>Jan-2024</v>
      </c>
      <c r="P683" s="22" t="s">
        <v>1705</v>
      </c>
      <c r="Q683" s="22" t="s">
        <v>1569</v>
      </c>
      <c r="R683" s="22" t="s">
        <v>168</v>
      </c>
      <c r="S683" s="22"/>
      <c r="T683" s="22"/>
      <c r="V683" s="26" t="s">
        <v>1933</v>
      </c>
      <c r="W683" s="6">
        <v>8</v>
      </c>
    </row>
    <row r="684" spans="1:23">
      <c r="A684" t="s">
        <v>2621</v>
      </c>
      <c r="B684" s="8">
        <v>45278</v>
      </c>
      <c r="C684" t="s">
        <v>892</v>
      </c>
      <c r="D684" t="s">
        <v>1719</v>
      </c>
      <c r="E684" t="s">
        <v>1883</v>
      </c>
      <c r="F684">
        <v>3</v>
      </c>
      <c r="G684" s="10">
        <v>599.48</v>
      </c>
      <c r="H684" s="13">
        <v>0.22</v>
      </c>
      <c r="I684" t="s">
        <v>1933</v>
      </c>
      <c r="J684" s="16">
        <v>1402.7832000000001</v>
      </c>
      <c r="K684" s="19">
        <f t="shared" si="50"/>
        <v>1406404.0286999983</v>
      </c>
      <c r="L684" s="22">
        <f t="shared" si="51"/>
        <v>1067.0743768588757</v>
      </c>
      <c r="M684" s="22">
        <f t="shared" si="52"/>
        <v>455</v>
      </c>
      <c r="N684" s="22" t="str">
        <f t="shared" si="53"/>
        <v>High Value</v>
      </c>
      <c r="O684" s="22" t="str">
        <f t="shared" si="54"/>
        <v>Dec-2023</v>
      </c>
      <c r="P684" s="22" t="s">
        <v>1720</v>
      </c>
      <c r="Q684" s="22" t="s">
        <v>1560</v>
      </c>
      <c r="R684" s="22" t="s">
        <v>893</v>
      </c>
      <c r="S684" s="22"/>
      <c r="T684" s="22"/>
      <c r="V684" s="25" t="s">
        <v>982</v>
      </c>
      <c r="W684" s="6">
        <v>14</v>
      </c>
    </row>
    <row r="685" spans="1:23">
      <c r="A685" t="s">
        <v>2622</v>
      </c>
      <c r="B685" s="8">
        <v>45232</v>
      </c>
      <c r="C685" t="s">
        <v>1113</v>
      </c>
      <c r="D685" t="s">
        <v>1597</v>
      </c>
      <c r="E685" t="s">
        <v>1864</v>
      </c>
      <c r="F685">
        <v>3</v>
      </c>
      <c r="G685" s="10">
        <v>401.42</v>
      </c>
      <c r="H685" s="13">
        <v>0.01</v>
      </c>
      <c r="I685" t="s">
        <v>1936</v>
      </c>
      <c r="J685" s="16">
        <v>1192.2174</v>
      </c>
      <c r="K685" s="19">
        <f t="shared" si="50"/>
        <v>1405001.2454999983</v>
      </c>
      <c r="L685" s="22">
        <f t="shared" si="51"/>
        <v>1066.8194726651468</v>
      </c>
      <c r="M685" s="22">
        <f t="shared" si="52"/>
        <v>454</v>
      </c>
      <c r="N685" s="22" t="str">
        <f t="shared" si="53"/>
        <v>High Value</v>
      </c>
      <c r="O685" s="22" t="str">
        <f t="shared" si="54"/>
        <v>Nov-2023</v>
      </c>
      <c r="P685" s="22" t="s">
        <v>1598</v>
      </c>
      <c r="Q685" s="22" t="s">
        <v>1569</v>
      </c>
      <c r="R685" s="22" t="s">
        <v>1114</v>
      </c>
      <c r="S685" s="22"/>
      <c r="T685" s="22"/>
      <c r="V685" s="26" t="s">
        <v>1936</v>
      </c>
      <c r="W685" s="6">
        <v>1</v>
      </c>
    </row>
    <row r="686" spans="1:23">
      <c r="A686" t="s">
        <v>2623</v>
      </c>
      <c r="B686" s="8">
        <v>45907</v>
      </c>
      <c r="C686" t="s">
        <v>629</v>
      </c>
      <c r="D686" t="s">
        <v>1690</v>
      </c>
      <c r="E686" t="s">
        <v>1889</v>
      </c>
      <c r="F686">
        <v>4</v>
      </c>
      <c r="G686" s="10">
        <v>442.54</v>
      </c>
      <c r="H686" s="13">
        <v>0.06</v>
      </c>
      <c r="I686" t="s">
        <v>1931</v>
      </c>
      <c r="J686" s="16">
        <v>1663.9503999999999</v>
      </c>
      <c r="K686" s="19">
        <f t="shared" si="50"/>
        <v>1403809.0280999984</v>
      </c>
      <c r="L686" s="22">
        <f t="shared" si="51"/>
        <v>1066.7241854863209</v>
      </c>
      <c r="M686" s="22">
        <f t="shared" si="52"/>
        <v>454</v>
      </c>
      <c r="N686" s="22" t="str">
        <f t="shared" si="53"/>
        <v>High Value</v>
      </c>
      <c r="O686" s="22" t="str">
        <f t="shared" si="54"/>
        <v>Sep-2025</v>
      </c>
      <c r="P686" s="22" t="s">
        <v>1691</v>
      </c>
      <c r="Q686" s="22" t="s">
        <v>1536</v>
      </c>
      <c r="R686" s="22" t="s">
        <v>630</v>
      </c>
      <c r="S686" s="22"/>
      <c r="T686" s="22"/>
      <c r="V686" s="26" t="s">
        <v>1931</v>
      </c>
      <c r="W686" s="6">
        <v>8</v>
      </c>
    </row>
    <row r="687" spans="1:23">
      <c r="A687" t="s">
        <v>2624</v>
      </c>
      <c r="B687" s="8">
        <v>45270</v>
      </c>
      <c r="C687" t="s">
        <v>1399</v>
      </c>
      <c r="D687" t="s">
        <v>1819</v>
      </c>
      <c r="E687" t="s">
        <v>1904</v>
      </c>
      <c r="F687">
        <v>4</v>
      </c>
      <c r="G687" s="10">
        <v>451.41</v>
      </c>
      <c r="H687" s="13">
        <v>0.06</v>
      </c>
      <c r="I687" t="s">
        <v>1933</v>
      </c>
      <c r="J687" s="16">
        <v>1697.3016</v>
      </c>
      <c r="K687" s="19">
        <f t="shared" si="50"/>
        <v>1402145.0776999984</v>
      </c>
      <c r="L687" s="22">
        <f t="shared" si="51"/>
        <v>1066.2700210646376</v>
      </c>
      <c r="M687" s="22">
        <f t="shared" si="52"/>
        <v>454</v>
      </c>
      <c r="N687" s="22" t="str">
        <f t="shared" si="53"/>
        <v>High Value</v>
      </c>
      <c r="O687" s="22" t="str">
        <f t="shared" si="54"/>
        <v>Dec-2023</v>
      </c>
      <c r="P687" s="22" t="s">
        <v>1820</v>
      </c>
      <c r="Q687" s="22" t="s">
        <v>1569</v>
      </c>
      <c r="R687" s="22" t="s">
        <v>1400</v>
      </c>
      <c r="S687" s="22"/>
      <c r="T687" s="22"/>
      <c r="V687" s="26" t="s">
        <v>1933</v>
      </c>
      <c r="W687" s="6">
        <v>5</v>
      </c>
    </row>
    <row r="688" spans="1:23">
      <c r="A688" t="s">
        <v>2625</v>
      </c>
      <c r="B688" s="8">
        <v>45942</v>
      </c>
      <c r="C688" t="s">
        <v>846</v>
      </c>
      <c r="D688" t="s">
        <v>1828</v>
      </c>
      <c r="E688" t="s">
        <v>1893</v>
      </c>
      <c r="F688">
        <v>4</v>
      </c>
      <c r="G688" s="10">
        <v>547.21</v>
      </c>
      <c r="H688" s="13">
        <v>0.25</v>
      </c>
      <c r="I688" t="s">
        <v>1931</v>
      </c>
      <c r="J688" s="16">
        <v>1641.63</v>
      </c>
      <c r="K688" s="19">
        <f t="shared" si="50"/>
        <v>1400447.7760999985</v>
      </c>
      <c r="L688" s="22">
        <f t="shared" si="51"/>
        <v>1065.7897839421603</v>
      </c>
      <c r="M688" s="22">
        <f t="shared" si="52"/>
        <v>453</v>
      </c>
      <c r="N688" s="22" t="str">
        <f t="shared" si="53"/>
        <v>High Value</v>
      </c>
      <c r="O688" s="22" t="str">
        <f t="shared" si="54"/>
        <v>Oct-2025</v>
      </c>
      <c r="P688" s="22" t="s">
        <v>1829</v>
      </c>
      <c r="Q688" s="22" t="s">
        <v>1536</v>
      </c>
      <c r="R688" s="22" t="s">
        <v>847</v>
      </c>
      <c r="S688" s="22"/>
      <c r="T688" s="22"/>
      <c r="V688" s="25" t="s">
        <v>549</v>
      </c>
      <c r="W688" s="6">
        <v>18</v>
      </c>
    </row>
    <row r="689" spans="1:23">
      <c r="A689" t="s">
        <v>2626</v>
      </c>
      <c r="B689" s="8">
        <v>45750</v>
      </c>
      <c r="C689" t="s">
        <v>661</v>
      </c>
      <c r="D689" t="s">
        <v>1816</v>
      </c>
      <c r="E689" t="s">
        <v>1876</v>
      </c>
      <c r="F689">
        <v>1</v>
      </c>
      <c r="G689" s="10">
        <v>979.28</v>
      </c>
      <c r="H689" s="13">
        <v>0.2</v>
      </c>
      <c r="I689" t="s">
        <v>1933</v>
      </c>
      <c r="J689" s="16">
        <v>783.42399999999998</v>
      </c>
      <c r="K689" s="19">
        <f t="shared" si="50"/>
        <v>1398806.1460999984</v>
      </c>
      <c r="L689" s="22">
        <f t="shared" si="51"/>
        <v>1065.3512156130985</v>
      </c>
      <c r="M689" s="22">
        <f t="shared" si="52"/>
        <v>453</v>
      </c>
      <c r="N689" s="22" t="str">
        <f t="shared" si="53"/>
        <v>Low Value</v>
      </c>
      <c r="O689" s="22" t="str">
        <f t="shared" si="54"/>
        <v>Apr-2025</v>
      </c>
      <c r="P689" s="22" t="s">
        <v>1817</v>
      </c>
      <c r="Q689" s="22" t="s">
        <v>1560</v>
      </c>
      <c r="R689" s="22" t="s">
        <v>662</v>
      </c>
      <c r="S689" s="22"/>
      <c r="T689" s="22"/>
      <c r="V689" s="26" t="s">
        <v>1931</v>
      </c>
      <c r="W689" s="6">
        <v>11</v>
      </c>
    </row>
    <row r="690" spans="1:23">
      <c r="A690" t="s">
        <v>2627</v>
      </c>
      <c r="B690" s="8">
        <v>45300</v>
      </c>
      <c r="C690" t="s">
        <v>1943</v>
      </c>
      <c r="D690" t="s">
        <v>1722</v>
      </c>
      <c r="E690" t="s">
        <v>1886</v>
      </c>
      <c r="F690">
        <v>4</v>
      </c>
      <c r="G690" s="10">
        <v>263.58999999999997</v>
      </c>
      <c r="H690" s="13">
        <v>0.04</v>
      </c>
      <c r="I690" t="s">
        <v>1931</v>
      </c>
      <c r="J690" s="16">
        <v>1012.1856</v>
      </c>
      <c r="K690" s="19">
        <f t="shared" si="50"/>
        <v>1398022.7220999983</v>
      </c>
      <c r="L690" s="22">
        <f t="shared" si="51"/>
        <v>1065.5660991615841</v>
      </c>
      <c r="M690" s="22">
        <f t="shared" si="52"/>
        <v>452</v>
      </c>
      <c r="N690" s="22" t="str">
        <f t="shared" si="53"/>
        <v>High Value</v>
      </c>
      <c r="O690" s="22" t="str">
        <f t="shared" si="54"/>
        <v>Jan-2024</v>
      </c>
      <c r="P690" s="22" t="s">
        <v>1723</v>
      </c>
      <c r="Q690" s="22" t="s">
        <v>1560</v>
      </c>
      <c r="R690" s="22" t="s">
        <v>1422</v>
      </c>
      <c r="S690" s="22"/>
      <c r="T690" s="22"/>
      <c r="V690" s="26" t="s">
        <v>1933</v>
      </c>
      <c r="W690" s="6">
        <v>7</v>
      </c>
    </row>
    <row r="691" spans="1:23">
      <c r="A691" t="s">
        <v>2628</v>
      </c>
      <c r="B691" s="8">
        <v>45876</v>
      </c>
      <c r="C691" t="s">
        <v>19</v>
      </c>
      <c r="D691" t="s">
        <v>1716</v>
      </c>
      <c r="E691" t="s">
        <v>1880</v>
      </c>
      <c r="F691">
        <v>1</v>
      </c>
      <c r="G691" s="10">
        <v>692.75</v>
      </c>
      <c r="H691" s="13">
        <v>0.11</v>
      </c>
      <c r="I691" t="s">
        <v>1936</v>
      </c>
      <c r="J691" s="16">
        <v>616.54750000000001</v>
      </c>
      <c r="K691" s="19">
        <f t="shared" si="50"/>
        <v>1397010.5364999983</v>
      </c>
      <c r="L691" s="22">
        <f t="shared" si="51"/>
        <v>1065.6068165522488</v>
      </c>
      <c r="M691" s="22">
        <f t="shared" si="52"/>
        <v>452</v>
      </c>
      <c r="N691" s="22" t="str">
        <f t="shared" si="53"/>
        <v>Low Value</v>
      </c>
      <c r="O691" s="22" t="str">
        <f t="shared" si="54"/>
        <v>Aug-2025</v>
      </c>
      <c r="P691" s="22" t="s">
        <v>1717</v>
      </c>
      <c r="Q691" s="22" t="s">
        <v>1569</v>
      </c>
      <c r="R691" s="22" t="s">
        <v>3940</v>
      </c>
      <c r="S691" s="22"/>
      <c r="T691" s="22"/>
      <c r="V691" s="25" t="s">
        <v>212</v>
      </c>
      <c r="W691" s="6">
        <v>24</v>
      </c>
    </row>
    <row r="692" spans="1:23">
      <c r="A692" t="s">
        <v>2629</v>
      </c>
      <c r="B692" s="8">
        <v>45301</v>
      </c>
      <c r="C692" t="s">
        <v>542</v>
      </c>
      <c r="D692" t="s">
        <v>1743</v>
      </c>
      <c r="E692" t="s">
        <v>1873</v>
      </c>
      <c r="F692">
        <v>3</v>
      </c>
      <c r="G692" s="10">
        <v>142.83000000000001</v>
      </c>
      <c r="H692" s="13">
        <v>0.01</v>
      </c>
      <c r="I692" t="s">
        <v>1931</v>
      </c>
      <c r="J692" s="16">
        <v>424.20510000000002</v>
      </c>
      <c r="K692" s="19">
        <f t="shared" si="50"/>
        <v>1396393.9889999984</v>
      </c>
      <c r="L692" s="22">
        <f t="shared" si="51"/>
        <v>1065.9496099236628</v>
      </c>
      <c r="M692" s="22">
        <f t="shared" si="52"/>
        <v>452</v>
      </c>
      <c r="N692" s="22" t="str">
        <f t="shared" si="53"/>
        <v>Low Value</v>
      </c>
      <c r="O692" s="22" t="str">
        <f t="shared" si="54"/>
        <v>Jan-2024</v>
      </c>
      <c r="P692" s="22" t="s">
        <v>1744</v>
      </c>
      <c r="Q692" s="22" t="s">
        <v>1555</v>
      </c>
      <c r="R692" s="22" t="s">
        <v>543</v>
      </c>
      <c r="S692" s="22"/>
      <c r="T692" s="22"/>
      <c r="V692" s="26" t="s">
        <v>1936</v>
      </c>
      <c r="W692" s="6">
        <v>3</v>
      </c>
    </row>
    <row r="693" spans="1:23">
      <c r="A693" t="s">
        <v>2630</v>
      </c>
      <c r="B693" s="8">
        <v>45857</v>
      </c>
      <c r="C693" t="s">
        <v>424</v>
      </c>
      <c r="D693" t="s">
        <v>1614</v>
      </c>
      <c r="E693" t="s">
        <v>1868</v>
      </c>
      <c r="F693">
        <v>2</v>
      </c>
      <c r="G693" s="10">
        <v>419.25</v>
      </c>
      <c r="H693" s="13">
        <v>0.17</v>
      </c>
      <c r="I693" t="s">
        <v>1933</v>
      </c>
      <c r="J693" s="16">
        <v>695.95499999999993</v>
      </c>
      <c r="K693" s="19">
        <f t="shared" si="50"/>
        <v>1395969.7838999983</v>
      </c>
      <c r="L693" s="22">
        <f t="shared" si="51"/>
        <v>1066.439865469823</v>
      </c>
      <c r="M693" s="22">
        <f t="shared" si="52"/>
        <v>452</v>
      </c>
      <c r="N693" s="22" t="str">
        <f t="shared" si="53"/>
        <v>Low Value</v>
      </c>
      <c r="O693" s="22" t="str">
        <f t="shared" si="54"/>
        <v>Jul-2025</v>
      </c>
      <c r="P693" s="22" t="s">
        <v>1615</v>
      </c>
      <c r="Q693" s="22" t="s">
        <v>1569</v>
      </c>
      <c r="R693" s="22" t="s">
        <v>425</v>
      </c>
      <c r="S693" s="22"/>
      <c r="T693" s="22"/>
      <c r="V693" s="26" t="s">
        <v>1931</v>
      </c>
      <c r="W693" s="6">
        <v>8</v>
      </c>
    </row>
    <row r="694" spans="1:23">
      <c r="A694" t="s">
        <v>2631</v>
      </c>
      <c r="B694" s="8">
        <v>45650</v>
      </c>
      <c r="C694" t="s">
        <v>771</v>
      </c>
      <c r="D694" t="s">
        <v>1627</v>
      </c>
      <c r="E694" t="s">
        <v>1920</v>
      </c>
      <c r="F694">
        <v>2</v>
      </c>
      <c r="G694" s="10">
        <v>800.84</v>
      </c>
      <c r="H694" s="13">
        <v>0.27</v>
      </c>
      <c r="I694" t="s">
        <v>1936</v>
      </c>
      <c r="J694" s="16">
        <v>1169.2264</v>
      </c>
      <c r="K694" s="19">
        <f t="shared" si="50"/>
        <v>1395273.8288999985</v>
      </c>
      <c r="L694" s="22">
        <f t="shared" si="51"/>
        <v>1066.7231107798154</v>
      </c>
      <c r="M694" s="22">
        <f t="shared" si="52"/>
        <v>451</v>
      </c>
      <c r="N694" s="22" t="str">
        <f t="shared" si="53"/>
        <v>High Value</v>
      </c>
      <c r="O694" s="22" t="str">
        <f t="shared" si="54"/>
        <v>Dec-2024</v>
      </c>
      <c r="P694" s="22" t="s">
        <v>1628</v>
      </c>
      <c r="Q694" s="22" t="s">
        <v>1531</v>
      </c>
      <c r="R694" s="22" t="s">
        <v>772</v>
      </c>
      <c r="S694" s="22"/>
      <c r="T694" s="22"/>
      <c r="V694" s="26" t="s">
        <v>1933</v>
      </c>
      <c r="W694" s="6">
        <v>13</v>
      </c>
    </row>
    <row r="695" spans="1:23">
      <c r="A695" t="s">
        <v>2632</v>
      </c>
      <c r="B695" s="8">
        <v>45520</v>
      </c>
      <c r="C695" t="s">
        <v>13</v>
      </c>
      <c r="D695" t="s">
        <v>1697</v>
      </c>
      <c r="E695" t="s">
        <v>1868</v>
      </c>
      <c r="F695">
        <v>1</v>
      </c>
      <c r="G695" s="10">
        <v>301.24</v>
      </c>
      <c r="H695" s="13">
        <v>0.11</v>
      </c>
      <c r="I695" t="s">
        <v>1933</v>
      </c>
      <c r="J695" s="16">
        <v>268.10359999999997</v>
      </c>
      <c r="K695" s="19">
        <f t="shared" si="50"/>
        <v>1394104.6024999984</v>
      </c>
      <c r="L695" s="22">
        <f t="shared" si="51"/>
        <v>1066.6446843917356</v>
      </c>
      <c r="M695" s="22">
        <f t="shared" si="52"/>
        <v>451</v>
      </c>
      <c r="N695" s="22" t="str">
        <f t="shared" si="53"/>
        <v>Low Value</v>
      </c>
      <c r="O695" s="22" t="str">
        <f t="shared" si="54"/>
        <v>Aug-2024</v>
      </c>
      <c r="P695" s="22" t="s">
        <v>1698</v>
      </c>
      <c r="Q695" s="22" t="s">
        <v>1531</v>
      </c>
      <c r="R695" s="22" t="s">
        <v>14</v>
      </c>
      <c r="S695" s="22"/>
      <c r="T695" s="22"/>
      <c r="V695" s="25" t="s">
        <v>1314</v>
      </c>
      <c r="W695" s="6">
        <v>4</v>
      </c>
    </row>
    <row r="696" spans="1:23">
      <c r="A696" t="s">
        <v>2633</v>
      </c>
      <c r="B696" s="8">
        <v>45497</v>
      </c>
      <c r="C696" t="s">
        <v>913</v>
      </c>
      <c r="D696" t="s">
        <v>1810</v>
      </c>
      <c r="E696" t="s">
        <v>1880</v>
      </c>
      <c r="F696">
        <v>2</v>
      </c>
      <c r="G696" s="10">
        <v>701.49</v>
      </c>
      <c r="H696" s="13">
        <v>0.09</v>
      </c>
      <c r="I696" t="s">
        <v>1933</v>
      </c>
      <c r="J696" s="16">
        <v>1276.7118</v>
      </c>
      <c r="K696" s="19">
        <f t="shared" si="50"/>
        <v>1393836.4988999984</v>
      </c>
      <c r="L696" s="22">
        <f t="shared" si="51"/>
        <v>1067.256124732005</v>
      </c>
      <c r="M696" s="22">
        <f t="shared" si="52"/>
        <v>450</v>
      </c>
      <c r="N696" s="22" t="str">
        <f t="shared" si="53"/>
        <v>High Value</v>
      </c>
      <c r="O696" s="22" t="str">
        <f t="shared" si="54"/>
        <v>Jul-2024</v>
      </c>
      <c r="P696" s="22" t="s">
        <v>1811</v>
      </c>
      <c r="Q696" s="22" t="s">
        <v>1536</v>
      </c>
      <c r="R696" s="22" t="s">
        <v>914</v>
      </c>
      <c r="S696" s="22"/>
      <c r="T696" s="22"/>
      <c r="V696" s="26" t="s">
        <v>1931</v>
      </c>
      <c r="W696" s="6">
        <v>3</v>
      </c>
    </row>
    <row r="697" spans="1:23">
      <c r="A697" t="s">
        <v>2634</v>
      </c>
      <c r="B697" s="8">
        <v>45615</v>
      </c>
      <c r="C697" t="s">
        <v>1096</v>
      </c>
      <c r="D697" t="s">
        <v>1627</v>
      </c>
      <c r="E697" t="s">
        <v>1896</v>
      </c>
      <c r="F697">
        <v>4</v>
      </c>
      <c r="G697" s="10">
        <v>413.48</v>
      </c>
      <c r="H697" s="13">
        <v>0.02</v>
      </c>
      <c r="I697" t="s">
        <v>1933</v>
      </c>
      <c r="J697" s="16">
        <v>1620.8416</v>
      </c>
      <c r="K697" s="19">
        <f t="shared" si="50"/>
        <v>1392559.7870999984</v>
      </c>
      <c r="L697" s="22">
        <f t="shared" si="51"/>
        <v>1067.0956222988493</v>
      </c>
      <c r="M697" s="22">
        <f t="shared" si="52"/>
        <v>449</v>
      </c>
      <c r="N697" s="22" t="str">
        <f t="shared" si="53"/>
        <v>High Value</v>
      </c>
      <c r="O697" s="22" t="str">
        <f t="shared" si="54"/>
        <v>Nov-2024</v>
      </c>
      <c r="P697" s="22" t="s">
        <v>1628</v>
      </c>
      <c r="Q697" s="22" t="s">
        <v>1531</v>
      </c>
      <c r="R697" s="22" t="s">
        <v>1097</v>
      </c>
      <c r="S697" s="22"/>
      <c r="T697" s="22"/>
      <c r="V697" s="26" t="s">
        <v>1933</v>
      </c>
      <c r="W697" s="6">
        <v>1</v>
      </c>
    </row>
    <row r="698" spans="1:23">
      <c r="A698" t="s">
        <v>2635</v>
      </c>
      <c r="B698" s="8">
        <v>45365</v>
      </c>
      <c r="C698" t="s">
        <v>644</v>
      </c>
      <c r="D698" t="s">
        <v>1563</v>
      </c>
      <c r="E698" t="s">
        <v>1864</v>
      </c>
      <c r="F698">
        <v>4</v>
      </c>
      <c r="G698" s="10">
        <v>167.83</v>
      </c>
      <c r="H698" s="13">
        <v>0.15</v>
      </c>
      <c r="I698" t="s">
        <v>1931</v>
      </c>
      <c r="J698" s="16">
        <v>570.62200000000007</v>
      </c>
      <c r="K698" s="19">
        <f t="shared" si="50"/>
        <v>1390938.9454999985</v>
      </c>
      <c r="L698" s="22">
        <f t="shared" si="51"/>
        <v>1066.6709704754589</v>
      </c>
      <c r="M698" s="22">
        <f t="shared" si="52"/>
        <v>448</v>
      </c>
      <c r="N698" s="22" t="str">
        <f t="shared" si="53"/>
        <v>Low Value</v>
      </c>
      <c r="O698" s="22" t="str">
        <f t="shared" si="54"/>
        <v>Mar-2024</v>
      </c>
      <c r="P698" s="22" t="s">
        <v>1564</v>
      </c>
      <c r="Q698" s="22" t="s">
        <v>1531</v>
      </c>
      <c r="R698" s="22" t="s">
        <v>645</v>
      </c>
      <c r="S698" s="22"/>
      <c r="T698" s="22"/>
      <c r="V698" s="25" t="s">
        <v>94</v>
      </c>
      <c r="W698" s="6">
        <v>7</v>
      </c>
    </row>
    <row r="699" spans="1:23">
      <c r="A699" t="s">
        <v>2636</v>
      </c>
      <c r="B699" s="8">
        <v>45832</v>
      </c>
      <c r="C699" t="s">
        <v>470</v>
      </c>
      <c r="D699" t="s">
        <v>1590</v>
      </c>
      <c r="E699" t="s">
        <v>1917</v>
      </c>
      <c r="F699">
        <v>2</v>
      </c>
      <c r="G699" s="10">
        <v>669.12</v>
      </c>
      <c r="H699" s="13">
        <v>0.22</v>
      </c>
      <c r="I699" t="s">
        <v>1931</v>
      </c>
      <c r="J699" s="16">
        <v>1043.8271999999999</v>
      </c>
      <c r="K699" s="19">
        <f t="shared" si="50"/>
        <v>1390368.3234999985</v>
      </c>
      <c r="L699" s="22">
        <f t="shared" si="51"/>
        <v>1067.051668073675</v>
      </c>
      <c r="M699" s="22">
        <f t="shared" si="52"/>
        <v>448</v>
      </c>
      <c r="N699" s="22" t="str">
        <f t="shared" si="53"/>
        <v>High Value</v>
      </c>
      <c r="O699" s="22" t="str">
        <f t="shared" si="54"/>
        <v>Jun-2025</v>
      </c>
      <c r="P699" s="22" t="s">
        <v>1591</v>
      </c>
      <c r="Q699" s="22" t="s">
        <v>1531</v>
      </c>
      <c r="R699" s="22" t="s">
        <v>471</v>
      </c>
      <c r="S699" s="22"/>
      <c r="T699" s="22"/>
      <c r="V699" s="26" t="s">
        <v>1936</v>
      </c>
      <c r="W699" s="6">
        <v>7</v>
      </c>
    </row>
    <row r="700" spans="1:23">
      <c r="A700" t="s">
        <v>2637</v>
      </c>
      <c r="B700" s="8">
        <v>45530</v>
      </c>
      <c r="C700" t="s">
        <v>152</v>
      </c>
      <c r="D700" t="s">
        <v>1661</v>
      </c>
      <c r="E700" t="s">
        <v>1886</v>
      </c>
      <c r="F700">
        <v>3</v>
      </c>
      <c r="G700" s="10">
        <v>346.77</v>
      </c>
      <c r="H700" s="13">
        <v>0.18</v>
      </c>
      <c r="I700" t="s">
        <v>1933</v>
      </c>
      <c r="J700" s="16">
        <v>853.05420000000004</v>
      </c>
      <c r="K700" s="19">
        <f t="shared" si="50"/>
        <v>1389324.4962999986</v>
      </c>
      <c r="L700" s="22">
        <f t="shared" si="51"/>
        <v>1067.0695056067577</v>
      </c>
      <c r="M700" s="22">
        <f t="shared" si="52"/>
        <v>448</v>
      </c>
      <c r="N700" s="22" t="str">
        <f t="shared" si="53"/>
        <v>Low Value</v>
      </c>
      <c r="O700" s="22" t="str">
        <f t="shared" si="54"/>
        <v>Aug-2024</v>
      </c>
      <c r="P700" s="22" t="s">
        <v>1662</v>
      </c>
      <c r="Q700" s="22" t="s">
        <v>1536</v>
      </c>
      <c r="R700" s="22" t="s">
        <v>153</v>
      </c>
      <c r="S700" s="22"/>
      <c r="T700" s="22"/>
      <c r="V700" s="25" t="s">
        <v>1389</v>
      </c>
      <c r="W700" s="6">
        <v>8</v>
      </c>
    </row>
    <row r="701" spans="1:23">
      <c r="A701" t="s">
        <v>2638</v>
      </c>
      <c r="B701" s="8">
        <v>45939</v>
      </c>
      <c r="C701" t="s">
        <v>218</v>
      </c>
      <c r="D701" t="s">
        <v>1617</v>
      </c>
      <c r="E701" t="s">
        <v>1920</v>
      </c>
      <c r="F701">
        <v>3</v>
      </c>
      <c r="G701" s="10">
        <v>648.33000000000004</v>
      </c>
      <c r="H701" s="13">
        <v>0.2</v>
      </c>
      <c r="I701" t="s">
        <v>1936</v>
      </c>
      <c r="J701" s="16">
        <v>1555.992</v>
      </c>
      <c r="K701" s="19">
        <f t="shared" si="50"/>
        <v>1388471.4420999987</v>
      </c>
      <c r="L701" s="22">
        <f t="shared" si="51"/>
        <v>1067.2340062259791</v>
      </c>
      <c r="M701" s="22">
        <f t="shared" si="52"/>
        <v>447</v>
      </c>
      <c r="N701" s="22" t="str">
        <f t="shared" si="53"/>
        <v>High Value</v>
      </c>
      <c r="O701" s="22" t="str">
        <f t="shared" si="54"/>
        <v>Oct-2025</v>
      </c>
      <c r="P701" s="22" t="s">
        <v>1618</v>
      </c>
      <c r="Q701" s="22" t="s">
        <v>1536</v>
      </c>
      <c r="R701" s="22" t="s">
        <v>219</v>
      </c>
      <c r="S701" s="22"/>
      <c r="T701" s="22"/>
      <c r="V701" s="26" t="s">
        <v>1936</v>
      </c>
      <c r="W701" s="6">
        <v>1</v>
      </c>
    </row>
    <row r="702" spans="1:23">
      <c r="A702" t="s">
        <v>2639</v>
      </c>
      <c r="B702" s="8">
        <v>45401</v>
      </c>
      <c r="C702" t="s">
        <v>904</v>
      </c>
      <c r="D702" t="s">
        <v>1553</v>
      </c>
      <c r="E702" t="s">
        <v>1868</v>
      </c>
      <c r="F702">
        <v>4</v>
      </c>
      <c r="G702" s="10">
        <v>254.94</v>
      </c>
      <c r="H702" s="13">
        <v>0.06</v>
      </c>
      <c r="I702" t="s">
        <v>1933</v>
      </c>
      <c r="J702" s="16">
        <v>958.57439999999997</v>
      </c>
      <c r="K702" s="19">
        <f t="shared" si="50"/>
        <v>1386915.4500999989</v>
      </c>
      <c r="L702" s="22">
        <f t="shared" si="51"/>
        <v>1066.8580385384607</v>
      </c>
      <c r="M702" s="22">
        <f t="shared" si="52"/>
        <v>447</v>
      </c>
      <c r="N702" s="22" t="str">
        <f t="shared" si="53"/>
        <v>Low Value</v>
      </c>
      <c r="O702" s="22" t="str">
        <f t="shared" si="54"/>
        <v>Apr-2024</v>
      </c>
      <c r="P702" s="22" t="s">
        <v>1554</v>
      </c>
      <c r="Q702" s="22" t="s">
        <v>1555</v>
      </c>
      <c r="R702" s="22" t="s">
        <v>905</v>
      </c>
      <c r="S702" s="22"/>
      <c r="T702" s="22"/>
      <c r="V702" s="26" t="s">
        <v>1931</v>
      </c>
      <c r="W702" s="6">
        <v>3</v>
      </c>
    </row>
    <row r="703" spans="1:23">
      <c r="A703" t="s">
        <v>2640</v>
      </c>
      <c r="B703" s="8">
        <v>45420</v>
      </c>
      <c r="C703" t="s">
        <v>1058</v>
      </c>
      <c r="D703" t="s">
        <v>1798</v>
      </c>
      <c r="E703" t="s">
        <v>1876</v>
      </c>
      <c r="F703">
        <v>1</v>
      </c>
      <c r="G703" s="10">
        <v>445.5</v>
      </c>
      <c r="H703" s="13">
        <v>0.28000000000000003</v>
      </c>
      <c r="I703" t="s">
        <v>1931</v>
      </c>
      <c r="J703" s="16">
        <v>320.76</v>
      </c>
      <c r="K703" s="19">
        <f t="shared" si="50"/>
        <v>1385956.8756999988</v>
      </c>
      <c r="L703" s="22">
        <f t="shared" si="51"/>
        <v>1066.9413977675126</v>
      </c>
      <c r="M703" s="22">
        <f t="shared" si="52"/>
        <v>446</v>
      </c>
      <c r="N703" s="22" t="str">
        <f t="shared" si="53"/>
        <v>Low Value</v>
      </c>
      <c r="O703" s="22" t="str">
        <f t="shared" si="54"/>
        <v>May-2024</v>
      </c>
      <c r="P703" s="22" t="s">
        <v>1799</v>
      </c>
      <c r="Q703" s="22" t="s">
        <v>1569</v>
      </c>
      <c r="R703" s="22" t="s">
        <v>1059</v>
      </c>
      <c r="S703" s="22"/>
      <c r="T703" s="22"/>
      <c r="V703" s="26" t="s">
        <v>1933</v>
      </c>
      <c r="W703" s="6">
        <v>4</v>
      </c>
    </row>
    <row r="704" spans="1:23">
      <c r="A704" t="s">
        <v>2641</v>
      </c>
      <c r="B704" s="8">
        <v>45459</v>
      </c>
      <c r="C704" t="s">
        <v>716</v>
      </c>
      <c r="D704" t="s">
        <v>1825</v>
      </c>
      <c r="E704" t="s">
        <v>1876</v>
      </c>
      <c r="F704">
        <v>1</v>
      </c>
      <c r="G704" s="10">
        <v>900.94</v>
      </c>
      <c r="H704" s="13">
        <v>0.1</v>
      </c>
      <c r="I704" t="s">
        <v>1931</v>
      </c>
      <c r="J704" s="16">
        <v>810.84600000000012</v>
      </c>
      <c r="K704" s="19">
        <f t="shared" si="50"/>
        <v>1385636.1156999988</v>
      </c>
      <c r="L704" s="22">
        <f t="shared" si="51"/>
        <v>1067.5162678736508</v>
      </c>
      <c r="M704" s="22">
        <f t="shared" si="52"/>
        <v>446</v>
      </c>
      <c r="N704" s="22" t="str">
        <f t="shared" si="53"/>
        <v>Low Value</v>
      </c>
      <c r="O704" s="22" t="str">
        <f t="shared" si="54"/>
        <v>Jun-2024</v>
      </c>
      <c r="P704" s="22" t="s">
        <v>1826</v>
      </c>
      <c r="Q704" s="22" t="s">
        <v>1531</v>
      </c>
      <c r="R704" s="22" t="s">
        <v>717</v>
      </c>
      <c r="S704" s="22"/>
      <c r="T704" s="22"/>
      <c r="V704" s="25" t="s">
        <v>881</v>
      </c>
      <c r="W704" s="6">
        <v>17</v>
      </c>
    </row>
    <row r="705" spans="1:23">
      <c r="A705" t="s">
        <v>2642</v>
      </c>
      <c r="B705" s="8">
        <v>45429</v>
      </c>
      <c r="C705" t="s">
        <v>641</v>
      </c>
      <c r="D705" t="s">
        <v>1590</v>
      </c>
      <c r="E705" t="s">
        <v>1911</v>
      </c>
      <c r="F705">
        <v>3</v>
      </c>
      <c r="G705" s="10">
        <v>262.69</v>
      </c>
      <c r="H705" s="13">
        <v>0.04</v>
      </c>
      <c r="I705" t="s">
        <v>1933</v>
      </c>
      <c r="J705" s="16">
        <v>756.54719999999986</v>
      </c>
      <c r="K705" s="19">
        <f t="shared" si="50"/>
        <v>1384825.2696999989</v>
      </c>
      <c r="L705" s="22">
        <f t="shared" si="51"/>
        <v>1067.7141632228211</v>
      </c>
      <c r="M705" s="22">
        <f t="shared" si="52"/>
        <v>446</v>
      </c>
      <c r="N705" s="22" t="str">
        <f t="shared" si="53"/>
        <v>Low Value</v>
      </c>
      <c r="O705" s="22" t="str">
        <f t="shared" si="54"/>
        <v>May-2024</v>
      </c>
      <c r="P705" s="22" t="s">
        <v>1591</v>
      </c>
      <c r="Q705" s="22" t="s">
        <v>1531</v>
      </c>
      <c r="R705" s="22" t="s">
        <v>642</v>
      </c>
      <c r="S705" s="22"/>
      <c r="T705" s="22"/>
      <c r="V705" s="26" t="s">
        <v>1936</v>
      </c>
      <c r="W705" s="6">
        <v>9</v>
      </c>
    </row>
    <row r="706" spans="1:23">
      <c r="A706" t="s">
        <v>2643</v>
      </c>
      <c r="B706" s="8">
        <v>45386</v>
      </c>
      <c r="C706" t="s">
        <v>1473</v>
      </c>
      <c r="D706" t="s">
        <v>1758</v>
      </c>
      <c r="E706" t="s">
        <v>1868</v>
      </c>
      <c r="F706">
        <v>3</v>
      </c>
      <c r="G706" s="10">
        <v>212.72</v>
      </c>
      <c r="H706" s="13">
        <v>0.22</v>
      </c>
      <c r="I706" t="s">
        <v>1933</v>
      </c>
      <c r="J706" s="16">
        <v>497.76479999999998</v>
      </c>
      <c r="K706" s="19">
        <f t="shared" ref="K706:K769" si="55">SUM(J706:J2705)</f>
        <v>1384068.722499999</v>
      </c>
      <c r="L706" s="22">
        <f t="shared" ref="L706:L769" si="56">AVERAGE(J706:J2705)</f>
        <v>1067.9542611882707</v>
      </c>
      <c r="M706" s="22">
        <f t="shared" ref="M706:M769" si="57">COUNTIF(I706:I2705,"PayPal")</f>
        <v>445</v>
      </c>
      <c r="N706" s="22" t="str">
        <f t="shared" ref="N706:N769" si="58">IF(J706&gt;=1000,"High Value","Low Value")</f>
        <v>Low Value</v>
      </c>
      <c r="O706" s="22" t="str">
        <f t="shared" ref="O706:O769" si="59">TEXT(B706,"mmm-yyyy")</f>
        <v>Apr-2024</v>
      </c>
      <c r="P706" s="22" t="s">
        <v>1759</v>
      </c>
      <c r="Q706" s="22" t="s">
        <v>1560</v>
      </c>
      <c r="R706" s="22" t="s">
        <v>1474</v>
      </c>
      <c r="S706" s="22"/>
      <c r="T706" s="22"/>
      <c r="V706" s="26" t="s">
        <v>1931</v>
      </c>
      <c r="W706" s="6">
        <v>8</v>
      </c>
    </row>
    <row r="707" spans="1:23">
      <c r="A707" t="s">
        <v>2644</v>
      </c>
      <c r="B707" s="8">
        <v>45803</v>
      </c>
      <c r="C707" t="s">
        <v>506</v>
      </c>
      <c r="D707" t="s">
        <v>1620</v>
      </c>
      <c r="E707" t="s">
        <v>1917</v>
      </c>
      <c r="F707">
        <v>4</v>
      </c>
      <c r="G707" s="10">
        <v>757.9</v>
      </c>
      <c r="H707" s="13">
        <v>0.22</v>
      </c>
      <c r="I707" t="s">
        <v>1933</v>
      </c>
      <c r="J707" s="16">
        <v>2364.6480000000001</v>
      </c>
      <c r="K707" s="19">
        <f t="shared" si="55"/>
        <v>1383570.9576999987</v>
      </c>
      <c r="L707" s="22">
        <f t="shared" si="56"/>
        <v>1068.3945619305009</v>
      </c>
      <c r="M707" s="22">
        <f t="shared" si="57"/>
        <v>444</v>
      </c>
      <c r="N707" s="22" t="str">
        <f t="shared" si="58"/>
        <v>High Value</v>
      </c>
      <c r="O707" s="22" t="str">
        <f t="shared" si="59"/>
        <v>May-2025</v>
      </c>
      <c r="P707" s="22" t="s">
        <v>1621</v>
      </c>
      <c r="Q707" s="22" t="s">
        <v>1569</v>
      </c>
      <c r="R707" s="22" t="s">
        <v>507</v>
      </c>
      <c r="S707" s="22"/>
      <c r="T707" s="22"/>
      <c r="V707" s="25" t="s">
        <v>1097</v>
      </c>
      <c r="W707" s="6">
        <v>14</v>
      </c>
    </row>
    <row r="708" spans="1:23">
      <c r="A708" t="s">
        <v>2645</v>
      </c>
      <c r="B708" s="8">
        <v>45346</v>
      </c>
      <c r="C708" t="s">
        <v>78</v>
      </c>
      <c r="D708" t="s">
        <v>1795</v>
      </c>
      <c r="E708" t="s">
        <v>1914</v>
      </c>
      <c r="F708">
        <v>1</v>
      </c>
      <c r="G708" s="10">
        <v>846.04</v>
      </c>
      <c r="H708" s="13">
        <v>0.08</v>
      </c>
      <c r="I708" t="s">
        <v>1933</v>
      </c>
      <c r="J708" s="16">
        <v>778.35680000000002</v>
      </c>
      <c r="K708" s="19">
        <f t="shared" si="55"/>
        <v>1381206.3096999987</v>
      </c>
      <c r="L708" s="22">
        <f t="shared" si="56"/>
        <v>1067.3928204791334</v>
      </c>
      <c r="M708" s="22">
        <f t="shared" si="57"/>
        <v>443</v>
      </c>
      <c r="N708" s="22" t="str">
        <f t="shared" si="58"/>
        <v>Low Value</v>
      </c>
      <c r="O708" s="22" t="str">
        <f t="shared" si="59"/>
        <v>Feb-2024</v>
      </c>
      <c r="P708" s="22" t="s">
        <v>1796</v>
      </c>
      <c r="Q708" s="22" t="s">
        <v>1560</v>
      </c>
      <c r="R708" s="22" t="s">
        <v>79</v>
      </c>
      <c r="S708" s="22"/>
      <c r="T708" s="22"/>
      <c r="V708" s="26" t="s">
        <v>1936</v>
      </c>
      <c r="W708" s="6">
        <v>2</v>
      </c>
    </row>
    <row r="709" spans="1:23">
      <c r="A709" t="s">
        <v>2646</v>
      </c>
      <c r="B709" s="8">
        <v>45267</v>
      </c>
      <c r="C709" t="s">
        <v>530</v>
      </c>
      <c r="D709" t="s">
        <v>1665</v>
      </c>
      <c r="E709" t="s">
        <v>1886</v>
      </c>
      <c r="F709">
        <v>3</v>
      </c>
      <c r="G709" s="10">
        <v>179.7</v>
      </c>
      <c r="H709" s="13">
        <v>0.17</v>
      </c>
      <c r="I709" t="s">
        <v>1936</v>
      </c>
      <c r="J709" s="16">
        <v>447.45299999999992</v>
      </c>
      <c r="K709" s="19">
        <f t="shared" si="55"/>
        <v>1380427.9528999988</v>
      </c>
      <c r="L709" s="22">
        <f t="shared" si="56"/>
        <v>1067.6163595514299</v>
      </c>
      <c r="M709" s="22">
        <f t="shared" si="57"/>
        <v>442</v>
      </c>
      <c r="N709" s="22" t="str">
        <f t="shared" si="58"/>
        <v>Low Value</v>
      </c>
      <c r="O709" s="22" t="str">
        <f t="shared" si="59"/>
        <v>Dec-2023</v>
      </c>
      <c r="P709" s="22" t="s">
        <v>1666</v>
      </c>
      <c r="Q709" s="22" t="s">
        <v>1569</v>
      </c>
      <c r="R709" s="22" t="s">
        <v>531</v>
      </c>
      <c r="S709" s="22"/>
      <c r="T709" s="22"/>
      <c r="V709" s="26" t="s">
        <v>1931</v>
      </c>
      <c r="W709" s="6">
        <v>8</v>
      </c>
    </row>
    <row r="710" spans="1:23">
      <c r="A710" t="s">
        <v>2647</v>
      </c>
      <c r="B710" s="8">
        <v>45572</v>
      </c>
      <c r="C710" t="s">
        <v>1371</v>
      </c>
      <c r="D710" t="s">
        <v>1642</v>
      </c>
      <c r="E710" t="s">
        <v>1876</v>
      </c>
      <c r="F710">
        <v>4</v>
      </c>
      <c r="G710" s="10">
        <v>681.08</v>
      </c>
      <c r="H710" s="13">
        <v>0</v>
      </c>
      <c r="I710" t="s">
        <v>1933</v>
      </c>
      <c r="J710" s="16">
        <v>2724.32</v>
      </c>
      <c r="K710" s="19">
        <f t="shared" si="55"/>
        <v>1379980.4998999988</v>
      </c>
      <c r="L710" s="22">
        <f t="shared" si="56"/>
        <v>1068.0963621517019</v>
      </c>
      <c r="M710" s="22">
        <f t="shared" si="57"/>
        <v>442</v>
      </c>
      <c r="N710" s="22" t="str">
        <f t="shared" si="58"/>
        <v>High Value</v>
      </c>
      <c r="O710" s="22" t="str">
        <f t="shared" si="59"/>
        <v>Oct-2024</v>
      </c>
      <c r="P710" s="22" t="s">
        <v>1643</v>
      </c>
      <c r="Q710" s="22" t="s">
        <v>1569</v>
      </c>
      <c r="R710" s="22" t="s">
        <v>1372</v>
      </c>
      <c r="S710" s="22"/>
      <c r="T710" s="22"/>
      <c r="V710" s="26" t="s">
        <v>1933</v>
      </c>
      <c r="W710" s="6">
        <v>4</v>
      </c>
    </row>
    <row r="711" spans="1:23">
      <c r="A711" t="s">
        <v>2648</v>
      </c>
      <c r="B711" s="8">
        <v>45252</v>
      </c>
      <c r="C711" t="s">
        <v>1247</v>
      </c>
      <c r="D711" t="s">
        <v>1545</v>
      </c>
      <c r="E711" t="s">
        <v>1886</v>
      </c>
      <c r="F711">
        <v>4</v>
      </c>
      <c r="G711" s="10">
        <v>723.44</v>
      </c>
      <c r="H711" s="13">
        <v>0.14000000000000001</v>
      </c>
      <c r="I711" t="s">
        <v>1933</v>
      </c>
      <c r="J711" s="16">
        <v>2488.6336000000001</v>
      </c>
      <c r="K711" s="19">
        <f t="shared" si="55"/>
        <v>1377256.1798999989</v>
      </c>
      <c r="L711" s="22">
        <f t="shared" si="56"/>
        <v>1066.813462354763</v>
      </c>
      <c r="M711" s="22">
        <f t="shared" si="57"/>
        <v>441</v>
      </c>
      <c r="N711" s="22" t="str">
        <f t="shared" si="58"/>
        <v>High Value</v>
      </c>
      <c r="O711" s="22" t="str">
        <f t="shared" si="59"/>
        <v>Nov-2023</v>
      </c>
      <c r="P711" s="22" t="s">
        <v>1546</v>
      </c>
      <c r="Q711" s="22" t="s">
        <v>1536</v>
      </c>
      <c r="R711" s="22" t="s">
        <v>1248</v>
      </c>
      <c r="S711" s="22"/>
      <c r="T711" s="22"/>
      <c r="V711" s="25" t="s">
        <v>938</v>
      </c>
      <c r="W711" s="6">
        <v>1</v>
      </c>
    </row>
    <row r="712" spans="1:23">
      <c r="A712" t="s">
        <v>2649</v>
      </c>
      <c r="B712" s="8">
        <v>45939</v>
      </c>
      <c r="C712" t="s">
        <v>431</v>
      </c>
      <c r="D712" t="s">
        <v>1642</v>
      </c>
      <c r="E712" t="s">
        <v>1906</v>
      </c>
      <c r="F712">
        <v>4</v>
      </c>
      <c r="G712" s="10">
        <v>471.89</v>
      </c>
      <c r="H712" s="13">
        <v>0.12</v>
      </c>
      <c r="I712" t="s">
        <v>1936</v>
      </c>
      <c r="J712" s="16">
        <v>1661.0527999999999</v>
      </c>
      <c r="K712" s="19">
        <f t="shared" si="55"/>
        <v>1374767.5462999991</v>
      </c>
      <c r="L712" s="22">
        <f t="shared" si="56"/>
        <v>1065.7112762015497</v>
      </c>
      <c r="M712" s="22">
        <f t="shared" si="57"/>
        <v>440</v>
      </c>
      <c r="N712" s="22" t="str">
        <f t="shared" si="58"/>
        <v>High Value</v>
      </c>
      <c r="O712" s="22" t="str">
        <f t="shared" si="59"/>
        <v>Oct-2025</v>
      </c>
      <c r="P712" s="22" t="s">
        <v>1643</v>
      </c>
      <c r="Q712" s="22" t="s">
        <v>1569</v>
      </c>
      <c r="R712" s="22" t="s">
        <v>432</v>
      </c>
      <c r="S712" s="22"/>
      <c r="T712" s="22"/>
      <c r="V712" s="26" t="s">
        <v>1931</v>
      </c>
      <c r="W712" s="6">
        <v>1</v>
      </c>
    </row>
    <row r="713" spans="1:23">
      <c r="A713" t="s">
        <v>2650</v>
      </c>
      <c r="B713" s="8">
        <v>45559</v>
      </c>
      <c r="C713" t="s">
        <v>1139</v>
      </c>
      <c r="D713" t="s">
        <v>1768</v>
      </c>
      <c r="E713" t="s">
        <v>1914</v>
      </c>
      <c r="F713">
        <v>1</v>
      </c>
      <c r="G713" s="10">
        <v>613.17999999999995</v>
      </c>
      <c r="H713" s="13">
        <v>0.14000000000000001</v>
      </c>
      <c r="I713" t="s">
        <v>1936</v>
      </c>
      <c r="J713" s="16">
        <v>527.33479999999997</v>
      </c>
      <c r="K713" s="19">
        <f t="shared" si="55"/>
        <v>1373106.4934999992</v>
      </c>
      <c r="L713" s="22">
        <f t="shared" si="56"/>
        <v>1065.2494131109381</v>
      </c>
      <c r="M713" s="22">
        <f t="shared" si="57"/>
        <v>440</v>
      </c>
      <c r="N713" s="22" t="str">
        <f t="shared" si="58"/>
        <v>Low Value</v>
      </c>
      <c r="O713" s="22" t="str">
        <f t="shared" si="59"/>
        <v>Sep-2024</v>
      </c>
      <c r="P713" s="22" t="s">
        <v>1769</v>
      </c>
      <c r="Q713" s="22" t="s">
        <v>1555</v>
      </c>
      <c r="R713" s="22" t="s">
        <v>1140</v>
      </c>
      <c r="S713" s="22"/>
      <c r="T713" s="22"/>
      <c r="V713" s="25" t="s">
        <v>917</v>
      </c>
      <c r="W713" s="6">
        <v>2</v>
      </c>
    </row>
    <row r="714" spans="1:23">
      <c r="A714" t="s">
        <v>2651</v>
      </c>
      <c r="B714" s="8">
        <v>45229</v>
      </c>
      <c r="C714" t="s">
        <v>192</v>
      </c>
      <c r="D714" t="s">
        <v>1681</v>
      </c>
      <c r="E714" t="s">
        <v>1876</v>
      </c>
      <c r="F714">
        <v>1</v>
      </c>
      <c r="G714" s="10">
        <v>651.30999999999995</v>
      </c>
      <c r="H714" s="13">
        <v>0.24</v>
      </c>
      <c r="I714" t="s">
        <v>1933</v>
      </c>
      <c r="J714" s="16">
        <v>494.99560000000002</v>
      </c>
      <c r="K714" s="19">
        <f t="shared" si="55"/>
        <v>1372579.1586999991</v>
      </c>
      <c r="L714" s="22">
        <f t="shared" si="56"/>
        <v>1065.6670486801236</v>
      </c>
      <c r="M714" s="22">
        <f t="shared" si="57"/>
        <v>440</v>
      </c>
      <c r="N714" s="22" t="str">
        <f t="shared" si="58"/>
        <v>Low Value</v>
      </c>
      <c r="O714" s="22" t="str">
        <f t="shared" si="59"/>
        <v>Oct-2023</v>
      </c>
      <c r="P714" s="22" t="s">
        <v>1682</v>
      </c>
      <c r="Q714" s="22" t="s">
        <v>1531</v>
      </c>
      <c r="R714" s="22" t="s">
        <v>193</v>
      </c>
      <c r="S714" s="22"/>
      <c r="T714" s="22"/>
      <c r="V714" s="26" t="s">
        <v>1931</v>
      </c>
      <c r="W714" s="6">
        <v>2</v>
      </c>
    </row>
    <row r="715" spans="1:23">
      <c r="A715" t="s">
        <v>2652</v>
      </c>
      <c r="B715" s="8">
        <v>45333</v>
      </c>
      <c r="C715" t="s">
        <v>103</v>
      </c>
      <c r="D715" t="s">
        <v>2033</v>
      </c>
      <c r="E715" t="s">
        <v>1883</v>
      </c>
      <c r="F715">
        <v>2</v>
      </c>
      <c r="G715" s="10">
        <v>635.14</v>
      </c>
      <c r="H715" s="13">
        <v>0.1</v>
      </c>
      <c r="I715" t="s">
        <v>1936</v>
      </c>
      <c r="J715" s="16">
        <v>1143.252</v>
      </c>
      <c r="K715" s="19">
        <f t="shared" si="55"/>
        <v>1372084.1630999991</v>
      </c>
      <c r="L715" s="22">
        <f t="shared" si="56"/>
        <v>1066.1104608391602</v>
      </c>
      <c r="M715" s="22">
        <f t="shared" si="57"/>
        <v>439</v>
      </c>
      <c r="N715" s="22" t="str">
        <f t="shared" si="58"/>
        <v>High Value</v>
      </c>
      <c r="O715" s="22" t="str">
        <f t="shared" si="59"/>
        <v>Feb-2024</v>
      </c>
      <c r="P715" s="22" t="s">
        <v>1543</v>
      </c>
      <c r="Q715" s="22" t="s">
        <v>1536</v>
      </c>
      <c r="R715" s="22" t="s">
        <v>104</v>
      </c>
      <c r="S715" s="22"/>
      <c r="T715" s="22"/>
      <c r="V715" s="25" t="s">
        <v>290</v>
      </c>
      <c r="W715" s="6">
        <v>7</v>
      </c>
    </row>
    <row r="716" spans="1:23">
      <c r="A716" t="s">
        <v>2653</v>
      </c>
      <c r="B716" s="8">
        <v>45752</v>
      </c>
      <c r="C716" t="s">
        <v>1181</v>
      </c>
      <c r="D716" t="s">
        <v>1849</v>
      </c>
      <c r="E716" t="s">
        <v>1906</v>
      </c>
      <c r="F716">
        <v>4</v>
      </c>
      <c r="G716" s="10">
        <v>912.61</v>
      </c>
      <c r="H716" s="13">
        <v>0.14000000000000001</v>
      </c>
      <c r="I716" t="s">
        <v>1931</v>
      </c>
      <c r="J716" s="16">
        <v>3139.3784000000001</v>
      </c>
      <c r="K716" s="19">
        <f t="shared" si="55"/>
        <v>1370940.911099999</v>
      </c>
      <c r="L716" s="22">
        <f t="shared" si="56"/>
        <v>1066.0504751944004</v>
      </c>
      <c r="M716" s="22">
        <f t="shared" si="57"/>
        <v>439</v>
      </c>
      <c r="N716" s="22" t="str">
        <f t="shared" si="58"/>
        <v>High Value</v>
      </c>
      <c r="O716" s="22" t="str">
        <f t="shared" si="59"/>
        <v>Apr-2025</v>
      </c>
      <c r="P716" s="22" t="s">
        <v>1850</v>
      </c>
      <c r="Q716" s="22" t="s">
        <v>1531</v>
      </c>
      <c r="R716" s="22" t="s">
        <v>1182</v>
      </c>
      <c r="S716" s="22"/>
      <c r="T716" s="22"/>
      <c r="V716" s="26" t="s">
        <v>1936</v>
      </c>
      <c r="W716" s="6">
        <v>2</v>
      </c>
    </row>
    <row r="717" spans="1:23">
      <c r="A717" t="s">
        <v>2654</v>
      </c>
      <c r="B717" s="8">
        <v>45795</v>
      </c>
      <c r="C717" t="s">
        <v>871</v>
      </c>
      <c r="D717" t="s">
        <v>1693</v>
      </c>
      <c r="E717" t="s">
        <v>1886</v>
      </c>
      <c r="F717">
        <v>3</v>
      </c>
      <c r="G717" s="10">
        <v>79.77</v>
      </c>
      <c r="H717" s="13">
        <v>0.09</v>
      </c>
      <c r="I717" t="s">
        <v>1931</v>
      </c>
      <c r="J717" s="16">
        <v>217.77209999999999</v>
      </c>
      <c r="K717" s="19">
        <f t="shared" si="55"/>
        <v>1367801.5326999992</v>
      </c>
      <c r="L717" s="22">
        <f t="shared" si="56"/>
        <v>1064.436990428015</v>
      </c>
      <c r="M717" s="22">
        <f t="shared" si="57"/>
        <v>439</v>
      </c>
      <c r="N717" s="22" t="str">
        <f t="shared" si="58"/>
        <v>Low Value</v>
      </c>
      <c r="O717" s="22" t="str">
        <f t="shared" si="59"/>
        <v>May-2025</v>
      </c>
      <c r="P717" s="22" t="s">
        <v>1694</v>
      </c>
      <c r="Q717" s="22" t="s">
        <v>1555</v>
      </c>
      <c r="R717" s="22" t="s">
        <v>872</v>
      </c>
      <c r="S717" s="22"/>
      <c r="T717" s="22"/>
      <c r="V717" s="26" t="s">
        <v>1933</v>
      </c>
      <c r="W717" s="6">
        <v>5</v>
      </c>
    </row>
    <row r="718" spans="1:23">
      <c r="A718" t="s">
        <v>2655</v>
      </c>
      <c r="B718" s="8">
        <v>45755</v>
      </c>
      <c r="C718" t="s">
        <v>880</v>
      </c>
      <c r="D718" t="s">
        <v>1837</v>
      </c>
      <c r="E718" t="s">
        <v>1908</v>
      </c>
      <c r="F718">
        <v>4</v>
      </c>
      <c r="G718" s="10">
        <v>603.52</v>
      </c>
      <c r="H718" s="13">
        <v>0.25</v>
      </c>
      <c r="I718" t="s">
        <v>1931</v>
      </c>
      <c r="J718" s="16">
        <v>1810.56</v>
      </c>
      <c r="K718" s="19">
        <f t="shared" si="55"/>
        <v>1367583.7605999992</v>
      </c>
      <c r="L718" s="22">
        <f t="shared" si="56"/>
        <v>1065.096386760124</v>
      </c>
      <c r="M718" s="22">
        <f t="shared" si="57"/>
        <v>439</v>
      </c>
      <c r="N718" s="22" t="str">
        <f t="shared" si="58"/>
        <v>High Value</v>
      </c>
      <c r="O718" s="22" t="str">
        <f t="shared" si="59"/>
        <v>Apr-2025</v>
      </c>
      <c r="P718" s="22" t="s">
        <v>1838</v>
      </c>
      <c r="Q718" s="22" t="s">
        <v>1555</v>
      </c>
      <c r="R718" s="22" t="s">
        <v>881</v>
      </c>
      <c r="S718" s="22"/>
      <c r="T718" s="22"/>
      <c r="V718" s="25" t="s">
        <v>1234</v>
      </c>
      <c r="W718" s="6">
        <v>7</v>
      </c>
    </row>
    <row r="719" spans="1:23">
      <c r="A719" t="s">
        <v>2656</v>
      </c>
      <c r="B719" s="8">
        <v>45625</v>
      </c>
      <c r="C719" t="s">
        <v>278</v>
      </c>
      <c r="D719" t="s">
        <v>1786</v>
      </c>
      <c r="E719" t="s">
        <v>1901</v>
      </c>
      <c r="F719">
        <v>4</v>
      </c>
      <c r="G719" s="10">
        <v>453.12</v>
      </c>
      <c r="H719" s="13">
        <v>0.23</v>
      </c>
      <c r="I719" t="s">
        <v>1936</v>
      </c>
      <c r="J719" s="16">
        <v>1395.6096</v>
      </c>
      <c r="K719" s="19">
        <f t="shared" si="55"/>
        <v>1365773.2005999994</v>
      </c>
      <c r="L719" s="22">
        <f t="shared" si="56"/>
        <v>1064.5153551052217</v>
      </c>
      <c r="M719" s="22">
        <f t="shared" si="57"/>
        <v>439</v>
      </c>
      <c r="N719" s="22" t="str">
        <f t="shared" si="58"/>
        <v>High Value</v>
      </c>
      <c r="O719" s="22" t="str">
        <f t="shared" si="59"/>
        <v>Nov-2024</v>
      </c>
      <c r="P719" s="22" t="s">
        <v>1787</v>
      </c>
      <c r="Q719" s="22" t="s">
        <v>1531</v>
      </c>
      <c r="R719" s="22" t="s">
        <v>279</v>
      </c>
      <c r="S719" s="22"/>
      <c r="T719" s="22"/>
      <c r="V719" s="26" t="s">
        <v>1931</v>
      </c>
      <c r="W719" s="6">
        <v>7</v>
      </c>
    </row>
    <row r="720" spans="1:23">
      <c r="A720" t="s">
        <v>2657</v>
      </c>
      <c r="B720" s="8">
        <v>45656</v>
      </c>
      <c r="C720" t="s">
        <v>1514</v>
      </c>
      <c r="D720" t="s">
        <v>1649</v>
      </c>
      <c r="E720" t="s">
        <v>1893</v>
      </c>
      <c r="F720">
        <v>2</v>
      </c>
      <c r="G720" s="10">
        <v>974.35</v>
      </c>
      <c r="H720" s="13">
        <v>0.15</v>
      </c>
      <c r="I720" t="s">
        <v>1931</v>
      </c>
      <c r="J720" s="16">
        <v>1656.395</v>
      </c>
      <c r="K720" s="19">
        <f t="shared" si="55"/>
        <v>1364377.5909999993</v>
      </c>
      <c r="L720" s="22">
        <f t="shared" si="56"/>
        <v>1064.25709126365</v>
      </c>
      <c r="M720" s="22">
        <f t="shared" si="57"/>
        <v>439</v>
      </c>
      <c r="N720" s="22" t="str">
        <f t="shared" si="58"/>
        <v>High Value</v>
      </c>
      <c r="O720" s="22" t="str">
        <f t="shared" si="59"/>
        <v>Dec-2024</v>
      </c>
      <c r="P720" s="22" t="s">
        <v>1650</v>
      </c>
      <c r="Q720" s="22" t="s">
        <v>1560</v>
      </c>
      <c r="R720" s="22" t="s">
        <v>1515</v>
      </c>
      <c r="S720" s="22"/>
      <c r="T720" s="22"/>
      <c r="V720" s="25" t="s">
        <v>1286</v>
      </c>
      <c r="W720" s="6">
        <v>14</v>
      </c>
    </row>
    <row r="721" spans="1:23">
      <c r="A721" t="s">
        <v>2658</v>
      </c>
      <c r="B721" s="8">
        <v>45824</v>
      </c>
      <c r="C721" t="s">
        <v>1456</v>
      </c>
      <c r="D721" t="s">
        <v>1840</v>
      </c>
      <c r="E721" t="s">
        <v>1914</v>
      </c>
      <c r="F721">
        <v>4</v>
      </c>
      <c r="G721" s="10">
        <v>52.35</v>
      </c>
      <c r="H721" s="13">
        <v>0.23</v>
      </c>
      <c r="I721" t="s">
        <v>1936</v>
      </c>
      <c r="J721" s="16">
        <v>161.238</v>
      </c>
      <c r="K721" s="19">
        <f t="shared" si="55"/>
        <v>1362721.1959999993</v>
      </c>
      <c r="L721" s="22">
        <f t="shared" si="56"/>
        <v>1063.7948446526145</v>
      </c>
      <c r="M721" s="22">
        <f t="shared" si="57"/>
        <v>439</v>
      </c>
      <c r="N721" s="22" t="str">
        <f t="shared" si="58"/>
        <v>Low Value</v>
      </c>
      <c r="O721" s="22" t="str">
        <f t="shared" si="59"/>
        <v>Jun-2025</v>
      </c>
      <c r="P721" s="22" t="s">
        <v>1841</v>
      </c>
      <c r="Q721" s="22" t="s">
        <v>1569</v>
      </c>
      <c r="R721" s="22" t="s">
        <v>1457</v>
      </c>
      <c r="S721" s="22"/>
      <c r="T721" s="22"/>
      <c r="V721" s="26" t="s">
        <v>1936</v>
      </c>
      <c r="W721" s="6">
        <v>10</v>
      </c>
    </row>
    <row r="722" spans="1:23">
      <c r="A722" t="s">
        <v>2659</v>
      </c>
      <c r="B722" s="8">
        <v>45824</v>
      </c>
      <c r="C722" t="s">
        <v>1151</v>
      </c>
      <c r="D722" t="s">
        <v>1749</v>
      </c>
      <c r="E722" t="s">
        <v>1914</v>
      </c>
      <c r="F722">
        <v>3</v>
      </c>
      <c r="G722" s="10">
        <v>681.58</v>
      </c>
      <c r="H722" s="13">
        <v>0.23</v>
      </c>
      <c r="I722" t="s">
        <v>1931</v>
      </c>
      <c r="J722" s="16">
        <v>1574.4498000000001</v>
      </c>
      <c r="K722" s="19">
        <f t="shared" si="55"/>
        <v>1362559.9579999994</v>
      </c>
      <c r="L722" s="22">
        <f t="shared" si="56"/>
        <v>1064.4999671874996</v>
      </c>
      <c r="M722" s="22">
        <f t="shared" si="57"/>
        <v>439</v>
      </c>
      <c r="N722" s="22" t="str">
        <f t="shared" si="58"/>
        <v>High Value</v>
      </c>
      <c r="O722" s="22" t="str">
        <f t="shared" si="59"/>
        <v>Jun-2025</v>
      </c>
      <c r="P722" s="22" t="s">
        <v>1750</v>
      </c>
      <c r="Q722" s="22" t="s">
        <v>1569</v>
      </c>
      <c r="R722" s="22" t="s">
        <v>1152</v>
      </c>
      <c r="S722" s="22"/>
      <c r="T722" s="22"/>
      <c r="V722" s="26" t="s">
        <v>1933</v>
      </c>
      <c r="W722" s="6">
        <v>4</v>
      </c>
    </row>
    <row r="723" spans="1:23">
      <c r="A723" t="s">
        <v>2660</v>
      </c>
      <c r="B723" s="8">
        <v>45384</v>
      </c>
      <c r="C723" t="s">
        <v>583</v>
      </c>
      <c r="D723" t="s">
        <v>1804</v>
      </c>
      <c r="E723" t="s">
        <v>1908</v>
      </c>
      <c r="F723">
        <v>3</v>
      </c>
      <c r="G723" s="10">
        <v>71.23</v>
      </c>
      <c r="H723" s="13">
        <v>0.03</v>
      </c>
      <c r="I723" t="s">
        <v>1931</v>
      </c>
      <c r="J723" s="16">
        <v>207.27930000000001</v>
      </c>
      <c r="K723" s="19">
        <f t="shared" si="55"/>
        <v>1360985.5081999993</v>
      </c>
      <c r="L723" s="22">
        <f t="shared" si="56"/>
        <v>1064.1012573885844</v>
      </c>
      <c r="M723" s="22">
        <f t="shared" si="57"/>
        <v>439</v>
      </c>
      <c r="N723" s="22" t="str">
        <f t="shared" si="58"/>
        <v>Low Value</v>
      </c>
      <c r="O723" s="22" t="str">
        <f t="shared" si="59"/>
        <v>Apr-2024</v>
      </c>
      <c r="P723" s="22" t="s">
        <v>1805</v>
      </c>
      <c r="Q723" s="22" t="s">
        <v>1555</v>
      </c>
      <c r="R723" s="22" t="s">
        <v>584</v>
      </c>
      <c r="S723" s="22"/>
      <c r="T723" s="22"/>
      <c r="V723" s="25" t="s">
        <v>612</v>
      </c>
      <c r="W723" s="6">
        <v>6</v>
      </c>
    </row>
    <row r="724" spans="1:23">
      <c r="A724" t="s">
        <v>2661</v>
      </c>
      <c r="B724" s="8">
        <v>45379</v>
      </c>
      <c r="C724" t="s">
        <v>774</v>
      </c>
      <c r="D724" t="s">
        <v>1590</v>
      </c>
      <c r="E724" t="s">
        <v>1906</v>
      </c>
      <c r="F724">
        <v>1</v>
      </c>
      <c r="G724" s="10">
        <v>31.36</v>
      </c>
      <c r="H724" s="13">
        <v>0.21</v>
      </c>
      <c r="I724" t="s">
        <v>1936</v>
      </c>
      <c r="J724" s="16">
        <v>24.7744</v>
      </c>
      <c r="K724" s="19">
        <f t="shared" si="55"/>
        <v>1360778.2288999993</v>
      </c>
      <c r="L724" s="22">
        <f t="shared" si="56"/>
        <v>1064.7716971048508</v>
      </c>
      <c r="M724" s="22">
        <f t="shared" si="57"/>
        <v>439</v>
      </c>
      <c r="N724" s="22" t="str">
        <f t="shared" si="58"/>
        <v>Low Value</v>
      </c>
      <c r="O724" s="22" t="str">
        <f t="shared" si="59"/>
        <v>Mar-2024</v>
      </c>
      <c r="P724" s="22" t="s">
        <v>1591</v>
      </c>
      <c r="Q724" s="22" t="s">
        <v>1531</v>
      </c>
      <c r="R724" s="22" t="s">
        <v>775</v>
      </c>
      <c r="S724" s="22"/>
      <c r="T724" s="22"/>
      <c r="V724" s="26" t="s">
        <v>1931</v>
      </c>
      <c r="W724" s="6">
        <v>6</v>
      </c>
    </row>
    <row r="725" spans="1:23">
      <c r="A725" t="s">
        <v>2662</v>
      </c>
      <c r="B725" s="8">
        <v>45674</v>
      </c>
      <c r="C725" t="s">
        <v>1067</v>
      </c>
      <c r="D725" t="s">
        <v>1675</v>
      </c>
      <c r="E725" t="s">
        <v>1904</v>
      </c>
      <c r="F725">
        <v>2</v>
      </c>
      <c r="G725" s="10">
        <v>555.54999999999995</v>
      </c>
      <c r="H725" s="13">
        <v>0.14000000000000001</v>
      </c>
      <c r="I725" t="s">
        <v>1931</v>
      </c>
      <c r="J725" s="16">
        <v>955.54599999999994</v>
      </c>
      <c r="K725" s="19">
        <f t="shared" si="55"/>
        <v>1360753.4544999993</v>
      </c>
      <c r="L725" s="22">
        <f t="shared" si="56"/>
        <v>1065.5861037588093</v>
      </c>
      <c r="M725" s="22">
        <f t="shared" si="57"/>
        <v>439</v>
      </c>
      <c r="N725" s="22" t="str">
        <f t="shared" si="58"/>
        <v>Low Value</v>
      </c>
      <c r="O725" s="22" t="str">
        <f t="shared" si="59"/>
        <v>Jan-2025</v>
      </c>
      <c r="P725" s="22" t="s">
        <v>1676</v>
      </c>
      <c r="Q725" s="22" t="s">
        <v>1569</v>
      </c>
      <c r="R725" s="22" t="s">
        <v>1068</v>
      </c>
      <c r="S725" s="22"/>
      <c r="T725" s="22"/>
      <c r="V725" s="25" t="s">
        <v>1050</v>
      </c>
      <c r="W725" s="6">
        <v>8</v>
      </c>
    </row>
    <row r="726" spans="1:23">
      <c r="A726" t="s">
        <v>2663</v>
      </c>
      <c r="B726" s="8">
        <v>45760</v>
      </c>
      <c r="C726" t="s">
        <v>804</v>
      </c>
      <c r="D726" t="s">
        <v>1752</v>
      </c>
      <c r="E726" t="s">
        <v>1911</v>
      </c>
      <c r="F726">
        <v>4</v>
      </c>
      <c r="G726" s="10">
        <v>805.99</v>
      </c>
      <c r="H726" s="13">
        <v>0.06</v>
      </c>
      <c r="I726" t="s">
        <v>1931</v>
      </c>
      <c r="J726" s="16">
        <v>3030.5223999999998</v>
      </c>
      <c r="K726" s="19">
        <f t="shared" si="55"/>
        <v>1359797.9084999994</v>
      </c>
      <c r="L726" s="22">
        <f t="shared" si="56"/>
        <v>1065.672342084639</v>
      </c>
      <c r="M726" s="22">
        <f t="shared" si="57"/>
        <v>439</v>
      </c>
      <c r="N726" s="22" t="str">
        <f t="shared" si="58"/>
        <v>High Value</v>
      </c>
      <c r="O726" s="22" t="str">
        <f t="shared" si="59"/>
        <v>Apr-2025</v>
      </c>
      <c r="P726" s="22" t="s">
        <v>1753</v>
      </c>
      <c r="Q726" s="22" t="s">
        <v>1555</v>
      </c>
      <c r="R726" s="22" t="s">
        <v>805</v>
      </c>
      <c r="S726" s="22"/>
      <c r="T726" s="22"/>
      <c r="V726" s="26" t="s">
        <v>1936</v>
      </c>
      <c r="W726" s="6">
        <v>1</v>
      </c>
    </row>
    <row r="727" spans="1:23">
      <c r="A727" t="s">
        <v>2664</v>
      </c>
      <c r="B727" s="8">
        <v>45474</v>
      </c>
      <c r="C727" t="s">
        <v>1205</v>
      </c>
      <c r="D727" t="s">
        <v>1768</v>
      </c>
      <c r="E727" t="s">
        <v>1864</v>
      </c>
      <c r="F727">
        <v>1</v>
      </c>
      <c r="G727" s="10">
        <v>506.55</v>
      </c>
      <c r="H727" s="13">
        <v>0.28000000000000003</v>
      </c>
      <c r="I727" t="s">
        <v>1931</v>
      </c>
      <c r="J727" s="16">
        <v>364.71600000000001</v>
      </c>
      <c r="K727" s="19">
        <f t="shared" si="55"/>
        <v>1356767.3860999993</v>
      </c>
      <c r="L727" s="22">
        <f t="shared" si="56"/>
        <v>1064.1312832156857</v>
      </c>
      <c r="M727" s="22">
        <f t="shared" si="57"/>
        <v>439</v>
      </c>
      <c r="N727" s="22" t="str">
        <f t="shared" si="58"/>
        <v>Low Value</v>
      </c>
      <c r="O727" s="22" t="str">
        <f t="shared" si="59"/>
        <v>Jul-2024</v>
      </c>
      <c r="P727" s="22" t="s">
        <v>1769</v>
      </c>
      <c r="Q727" s="22" t="s">
        <v>1555</v>
      </c>
      <c r="R727" s="22" t="s">
        <v>1206</v>
      </c>
      <c r="S727" s="22"/>
      <c r="T727" s="22"/>
      <c r="V727" s="26" t="s">
        <v>1933</v>
      </c>
      <c r="W727" s="6">
        <v>7</v>
      </c>
    </row>
    <row r="728" spans="1:23">
      <c r="A728" t="s">
        <v>2665</v>
      </c>
      <c r="B728" s="8">
        <v>45640</v>
      </c>
      <c r="C728" t="s">
        <v>443</v>
      </c>
      <c r="D728" t="s">
        <v>1675</v>
      </c>
      <c r="E728" t="s">
        <v>1899</v>
      </c>
      <c r="F728">
        <v>3</v>
      </c>
      <c r="G728" s="10">
        <v>28.69</v>
      </c>
      <c r="H728" s="13">
        <v>0.02</v>
      </c>
      <c r="I728" t="s">
        <v>1931</v>
      </c>
      <c r="J728" s="16">
        <v>84.348600000000005</v>
      </c>
      <c r="K728" s="19">
        <f t="shared" si="55"/>
        <v>1356402.6700999993</v>
      </c>
      <c r="L728" s="22">
        <f t="shared" si="56"/>
        <v>1064.6802748037671</v>
      </c>
      <c r="M728" s="22">
        <f t="shared" si="57"/>
        <v>439</v>
      </c>
      <c r="N728" s="22" t="str">
        <f t="shared" si="58"/>
        <v>Low Value</v>
      </c>
      <c r="O728" s="22" t="str">
        <f t="shared" si="59"/>
        <v>Dec-2024</v>
      </c>
      <c r="P728" s="22" t="s">
        <v>1676</v>
      </c>
      <c r="Q728" s="22" t="s">
        <v>1569</v>
      </c>
      <c r="R728" s="22" t="s">
        <v>444</v>
      </c>
      <c r="S728" s="22"/>
      <c r="T728" s="22"/>
      <c r="V728" s="25" t="s">
        <v>970</v>
      </c>
      <c r="W728" s="6">
        <v>6</v>
      </c>
    </row>
    <row r="729" spans="1:23">
      <c r="A729" t="s">
        <v>2666</v>
      </c>
      <c r="B729" s="8">
        <v>45253</v>
      </c>
      <c r="C729" t="s">
        <v>1202</v>
      </c>
      <c r="D729" t="s">
        <v>1783</v>
      </c>
      <c r="E729" t="s">
        <v>1876</v>
      </c>
      <c r="F729">
        <v>1</v>
      </c>
      <c r="G729" s="10">
        <v>106.07</v>
      </c>
      <c r="H729" s="13">
        <v>0.23</v>
      </c>
      <c r="I729" t="s">
        <v>1936</v>
      </c>
      <c r="J729" s="16">
        <v>81.673900000000003</v>
      </c>
      <c r="K729" s="19">
        <f t="shared" si="55"/>
        <v>1356318.3214999991</v>
      </c>
      <c r="L729" s="22">
        <f t="shared" si="56"/>
        <v>1065.4503703849168</v>
      </c>
      <c r="M729" s="22">
        <f t="shared" si="57"/>
        <v>439</v>
      </c>
      <c r="N729" s="22" t="str">
        <f t="shared" si="58"/>
        <v>Low Value</v>
      </c>
      <c r="O729" s="22" t="str">
        <f t="shared" si="59"/>
        <v>Nov-2023</v>
      </c>
      <c r="P729" s="22" t="s">
        <v>1784</v>
      </c>
      <c r="Q729" s="22" t="s">
        <v>1531</v>
      </c>
      <c r="R729" s="22" t="s">
        <v>1203</v>
      </c>
      <c r="S729" s="22"/>
      <c r="T729" s="22"/>
      <c r="V729" s="26" t="s">
        <v>1931</v>
      </c>
      <c r="W729" s="6">
        <v>4</v>
      </c>
    </row>
    <row r="730" spans="1:23">
      <c r="A730" t="s">
        <v>2667</v>
      </c>
      <c r="B730" s="8">
        <v>45225</v>
      </c>
      <c r="C730" t="s">
        <v>830</v>
      </c>
      <c r="D730" t="s">
        <v>1828</v>
      </c>
      <c r="E730" t="s">
        <v>1859</v>
      </c>
      <c r="F730">
        <v>4</v>
      </c>
      <c r="G730" s="10">
        <v>289.77</v>
      </c>
      <c r="H730" s="13">
        <v>0.06</v>
      </c>
      <c r="I730" t="s">
        <v>1933</v>
      </c>
      <c r="J730" s="16">
        <v>1089.5352</v>
      </c>
      <c r="K730" s="19">
        <f t="shared" si="55"/>
        <v>1356236.6475999993</v>
      </c>
      <c r="L730" s="22">
        <f t="shared" si="56"/>
        <v>1066.223779559748</v>
      </c>
      <c r="M730" s="22">
        <f t="shared" si="57"/>
        <v>439</v>
      </c>
      <c r="N730" s="22" t="str">
        <f t="shared" si="58"/>
        <v>High Value</v>
      </c>
      <c r="O730" s="22" t="str">
        <f t="shared" si="59"/>
        <v>Oct-2023</v>
      </c>
      <c r="P730" s="22" t="s">
        <v>1829</v>
      </c>
      <c r="Q730" s="22" t="s">
        <v>1536</v>
      </c>
      <c r="R730" s="22" t="s">
        <v>831</v>
      </c>
      <c r="S730" s="22"/>
      <c r="T730" s="22"/>
      <c r="V730" s="26" t="s">
        <v>1933</v>
      </c>
      <c r="W730" s="6">
        <v>2</v>
      </c>
    </row>
    <row r="731" spans="1:23">
      <c r="A731" t="s">
        <v>2668</v>
      </c>
      <c r="B731" s="8">
        <v>45263</v>
      </c>
      <c r="C731" t="s">
        <v>521</v>
      </c>
      <c r="D731" t="s">
        <v>1804</v>
      </c>
      <c r="E731" t="s">
        <v>1917</v>
      </c>
      <c r="F731">
        <v>2</v>
      </c>
      <c r="G731" s="10">
        <v>354.26</v>
      </c>
      <c r="H731" s="13">
        <v>0.01</v>
      </c>
      <c r="I731" t="s">
        <v>1936</v>
      </c>
      <c r="J731" s="16">
        <v>701.4348</v>
      </c>
      <c r="K731" s="19">
        <f t="shared" si="55"/>
        <v>1355147.1123999991</v>
      </c>
      <c r="L731" s="22">
        <f t="shared" si="56"/>
        <v>1066.2054385523202</v>
      </c>
      <c r="M731" s="22">
        <f t="shared" si="57"/>
        <v>438</v>
      </c>
      <c r="N731" s="22" t="str">
        <f t="shared" si="58"/>
        <v>Low Value</v>
      </c>
      <c r="O731" s="22" t="str">
        <f t="shared" si="59"/>
        <v>Dec-2023</v>
      </c>
      <c r="P731" s="22" t="s">
        <v>1805</v>
      </c>
      <c r="Q731" s="22" t="s">
        <v>1555</v>
      </c>
      <c r="R731" s="22" t="s">
        <v>522</v>
      </c>
      <c r="S731" s="22"/>
      <c r="T731" s="22"/>
      <c r="V731" s="25" t="s">
        <v>3941</v>
      </c>
      <c r="W731" s="6">
        <v>9</v>
      </c>
    </row>
    <row r="732" spans="1:23">
      <c r="A732" t="s">
        <v>2669</v>
      </c>
      <c r="B732" s="8">
        <v>45554</v>
      </c>
      <c r="C732" t="s">
        <v>1196</v>
      </c>
      <c r="D732" t="s">
        <v>1758</v>
      </c>
      <c r="E732" t="s">
        <v>1906</v>
      </c>
      <c r="F732">
        <v>1</v>
      </c>
      <c r="G732" s="10">
        <v>522.72</v>
      </c>
      <c r="H732" s="13">
        <v>0.25</v>
      </c>
      <c r="I732" t="s">
        <v>1933</v>
      </c>
      <c r="J732" s="16">
        <v>392.04</v>
      </c>
      <c r="K732" s="19">
        <f t="shared" si="55"/>
        <v>1354445.6775999991</v>
      </c>
      <c r="L732" s="22">
        <f t="shared" si="56"/>
        <v>1066.4926595275583</v>
      </c>
      <c r="M732" s="22">
        <f t="shared" si="57"/>
        <v>438</v>
      </c>
      <c r="N732" s="22" t="str">
        <f t="shared" si="58"/>
        <v>Low Value</v>
      </c>
      <c r="O732" s="22" t="str">
        <f t="shared" si="59"/>
        <v>Sep-2024</v>
      </c>
      <c r="P732" s="22" t="s">
        <v>1759</v>
      </c>
      <c r="Q732" s="22" t="s">
        <v>1560</v>
      </c>
      <c r="R732" s="22" t="s">
        <v>1197</v>
      </c>
      <c r="S732" s="22"/>
      <c r="T732" s="22"/>
      <c r="V732" s="26" t="s">
        <v>1936</v>
      </c>
      <c r="W732" s="6">
        <v>4</v>
      </c>
    </row>
    <row r="733" spans="1:23">
      <c r="A733" t="s">
        <v>2670</v>
      </c>
      <c r="B733" s="8">
        <v>45569</v>
      </c>
      <c r="C733" t="s">
        <v>211</v>
      </c>
      <c r="D733" t="s">
        <v>1549</v>
      </c>
      <c r="E733" t="s">
        <v>1893</v>
      </c>
      <c r="F733">
        <v>3</v>
      </c>
      <c r="G733" s="10">
        <v>966.02</v>
      </c>
      <c r="H733" s="13">
        <v>0.03</v>
      </c>
      <c r="I733" t="s">
        <v>1936</v>
      </c>
      <c r="J733" s="16">
        <v>2811.1181999999999</v>
      </c>
      <c r="K733" s="19">
        <f t="shared" si="55"/>
        <v>1354053.6375999991</v>
      </c>
      <c r="L733" s="22">
        <f t="shared" si="56"/>
        <v>1067.0241431048062</v>
      </c>
      <c r="M733" s="22">
        <f t="shared" si="57"/>
        <v>437</v>
      </c>
      <c r="N733" s="22" t="str">
        <f t="shared" si="58"/>
        <v>High Value</v>
      </c>
      <c r="O733" s="22" t="str">
        <f t="shared" si="59"/>
        <v>Oct-2024</v>
      </c>
      <c r="P733" s="22" t="s">
        <v>1550</v>
      </c>
      <c r="Q733" s="22" t="s">
        <v>1536</v>
      </c>
      <c r="R733" s="22" t="s">
        <v>212</v>
      </c>
      <c r="S733" s="22"/>
      <c r="T733" s="22"/>
      <c r="V733" s="26" t="s">
        <v>1931</v>
      </c>
      <c r="W733" s="6">
        <v>3</v>
      </c>
    </row>
    <row r="734" spans="1:23">
      <c r="A734" t="s">
        <v>2671</v>
      </c>
      <c r="B734" s="8">
        <v>45217</v>
      </c>
      <c r="C734" t="s">
        <v>725</v>
      </c>
      <c r="D734" t="s">
        <v>1704</v>
      </c>
      <c r="E734" t="s">
        <v>1914</v>
      </c>
      <c r="F734">
        <v>1</v>
      </c>
      <c r="G734" s="10">
        <v>498.61</v>
      </c>
      <c r="H734" s="13">
        <v>0.04</v>
      </c>
      <c r="I734" t="s">
        <v>1933</v>
      </c>
      <c r="J734" s="16">
        <v>478.66559999999998</v>
      </c>
      <c r="K734" s="19">
        <f t="shared" si="55"/>
        <v>1351242.5193999992</v>
      </c>
      <c r="L734" s="22">
        <f t="shared" si="56"/>
        <v>1065.6486746056776</v>
      </c>
      <c r="M734" s="22">
        <f t="shared" si="57"/>
        <v>437</v>
      </c>
      <c r="N734" s="22" t="str">
        <f t="shared" si="58"/>
        <v>Low Value</v>
      </c>
      <c r="O734" s="22" t="str">
        <f t="shared" si="59"/>
        <v>Oct-2023</v>
      </c>
      <c r="P734" s="22" t="s">
        <v>1705</v>
      </c>
      <c r="Q734" s="22" t="s">
        <v>1569</v>
      </c>
      <c r="R734" s="22" t="s">
        <v>726</v>
      </c>
      <c r="S734" s="22"/>
      <c r="T734" s="22"/>
      <c r="V734" s="26" t="s">
        <v>1933</v>
      </c>
      <c r="W734" s="6">
        <v>2</v>
      </c>
    </row>
    <row r="735" spans="1:23">
      <c r="A735" t="s">
        <v>2672</v>
      </c>
      <c r="B735" s="8">
        <v>45783</v>
      </c>
      <c r="C735" t="s">
        <v>1034</v>
      </c>
      <c r="D735" t="s">
        <v>1678</v>
      </c>
      <c r="E735" t="s">
        <v>1883</v>
      </c>
      <c r="F735">
        <v>4</v>
      </c>
      <c r="G735" s="10">
        <v>758.27</v>
      </c>
      <c r="H735" s="13">
        <v>0.05</v>
      </c>
      <c r="I735" t="s">
        <v>1933</v>
      </c>
      <c r="J735" s="16">
        <v>2881.4259999999999</v>
      </c>
      <c r="K735" s="19">
        <f t="shared" si="55"/>
        <v>1350763.8537999992</v>
      </c>
      <c r="L735" s="22">
        <f t="shared" si="56"/>
        <v>1066.111960378847</v>
      </c>
      <c r="M735" s="22">
        <f t="shared" si="57"/>
        <v>436</v>
      </c>
      <c r="N735" s="22" t="str">
        <f t="shared" si="58"/>
        <v>High Value</v>
      </c>
      <c r="O735" s="22" t="str">
        <f t="shared" si="59"/>
        <v>May-2025</v>
      </c>
      <c r="P735" s="22" t="s">
        <v>1679</v>
      </c>
      <c r="Q735" s="22" t="s">
        <v>1531</v>
      </c>
      <c r="R735" s="22" t="s">
        <v>1035</v>
      </c>
      <c r="S735" s="22"/>
      <c r="T735" s="22"/>
      <c r="V735" s="25" t="s">
        <v>125</v>
      </c>
      <c r="W735" s="6">
        <v>14</v>
      </c>
    </row>
    <row r="736" spans="1:23">
      <c r="A736" t="s">
        <v>2673</v>
      </c>
      <c r="B736" s="8">
        <v>45371</v>
      </c>
      <c r="C736" t="s">
        <v>646</v>
      </c>
      <c r="D736" t="s">
        <v>2033</v>
      </c>
      <c r="E736" t="s">
        <v>1868</v>
      </c>
      <c r="F736">
        <v>2</v>
      </c>
      <c r="G736" s="10">
        <v>371.03</v>
      </c>
      <c r="H736" s="13">
        <v>0.23</v>
      </c>
      <c r="I736" t="s">
        <v>1933</v>
      </c>
      <c r="J736" s="16">
        <v>571.38619999999992</v>
      </c>
      <c r="K736" s="19">
        <f t="shared" si="55"/>
        <v>1347882.4277999988</v>
      </c>
      <c r="L736" s="22">
        <f t="shared" si="56"/>
        <v>1064.6780630331743</v>
      </c>
      <c r="M736" s="22">
        <f t="shared" si="57"/>
        <v>435</v>
      </c>
      <c r="N736" s="22" t="str">
        <f t="shared" si="58"/>
        <v>Low Value</v>
      </c>
      <c r="O736" s="22" t="str">
        <f t="shared" si="59"/>
        <v>Mar-2024</v>
      </c>
      <c r="P736" s="22" t="s">
        <v>1543</v>
      </c>
      <c r="Q736" s="22" t="s">
        <v>1536</v>
      </c>
      <c r="R736" s="22" t="s">
        <v>647</v>
      </c>
      <c r="S736" s="22"/>
      <c r="T736" s="22"/>
      <c r="V736" s="26" t="s">
        <v>1936</v>
      </c>
      <c r="W736" s="6">
        <v>5</v>
      </c>
    </row>
    <row r="737" spans="1:23">
      <c r="A737" t="s">
        <v>2674</v>
      </c>
      <c r="B737" s="8">
        <v>45453</v>
      </c>
      <c r="C737" t="s">
        <v>1107</v>
      </c>
      <c r="D737" t="s">
        <v>1828</v>
      </c>
      <c r="E737" t="s">
        <v>1914</v>
      </c>
      <c r="F737">
        <v>1</v>
      </c>
      <c r="G737" s="10">
        <v>230.32</v>
      </c>
      <c r="H737" s="13">
        <v>0.05</v>
      </c>
      <c r="I737" t="s">
        <v>1936</v>
      </c>
      <c r="J737" s="16">
        <v>218.804</v>
      </c>
      <c r="K737" s="19">
        <f t="shared" si="55"/>
        <v>1347311.0415999989</v>
      </c>
      <c r="L737" s="22">
        <f t="shared" si="56"/>
        <v>1065.0680170750979</v>
      </c>
      <c r="M737" s="22">
        <f t="shared" si="57"/>
        <v>434</v>
      </c>
      <c r="N737" s="22" t="str">
        <f t="shared" si="58"/>
        <v>Low Value</v>
      </c>
      <c r="O737" s="22" t="str">
        <f t="shared" si="59"/>
        <v>Jun-2024</v>
      </c>
      <c r="P737" s="22" t="s">
        <v>1829</v>
      </c>
      <c r="Q737" s="22" t="s">
        <v>1536</v>
      </c>
      <c r="R737" s="22" t="s">
        <v>1108</v>
      </c>
      <c r="S737" s="22"/>
      <c r="T737" s="22"/>
      <c r="V737" s="26" t="s">
        <v>1931</v>
      </c>
      <c r="W737" s="6">
        <v>4</v>
      </c>
    </row>
    <row r="738" spans="1:23">
      <c r="A738" t="s">
        <v>2675</v>
      </c>
      <c r="B738" s="8">
        <v>45526</v>
      </c>
      <c r="C738" t="s">
        <v>1070</v>
      </c>
      <c r="D738" t="s">
        <v>1737</v>
      </c>
      <c r="E738" t="s">
        <v>1883</v>
      </c>
      <c r="F738">
        <v>2</v>
      </c>
      <c r="G738" s="10">
        <v>985.43</v>
      </c>
      <c r="H738" s="13">
        <v>0.28000000000000003</v>
      </c>
      <c r="I738" t="s">
        <v>1936</v>
      </c>
      <c r="J738" s="16">
        <v>1419.0192</v>
      </c>
      <c r="K738" s="19">
        <f t="shared" si="55"/>
        <v>1347092.2375999989</v>
      </c>
      <c r="L738" s="22">
        <f t="shared" si="56"/>
        <v>1065.7375297468345</v>
      </c>
      <c r="M738" s="22">
        <f t="shared" si="57"/>
        <v>434</v>
      </c>
      <c r="N738" s="22" t="str">
        <f t="shared" si="58"/>
        <v>High Value</v>
      </c>
      <c r="O738" s="22" t="str">
        <f t="shared" si="59"/>
        <v>Aug-2024</v>
      </c>
      <c r="P738" s="22" t="s">
        <v>1738</v>
      </c>
      <c r="Q738" s="22" t="s">
        <v>1569</v>
      </c>
      <c r="R738" s="22" t="s">
        <v>1071</v>
      </c>
      <c r="S738" s="22"/>
      <c r="T738" s="22"/>
      <c r="V738" s="26" t="s">
        <v>1933</v>
      </c>
      <c r="W738" s="6">
        <v>5</v>
      </c>
    </row>
    <row r="739" spans="1:23">
      <c r="A739" t="s">
        <v>2676</v>
      </c>
      <c r="B739" s="8">
        <v>45756</v>
      </c>
      <c r="C739" t="s">
        <v>1302</v>
      </c>
      <c r="D739" t="s">
        <v>1567</v>
      </c>
      <c r="E739" t="s">
        <v>1876</v>
      </c>
      <c r="F739">
        <v>2</v>
      </c>
      <c r="G739" s="10">
        <v>492.5</v>
      </c>
      <c r="H739" s="13">
        <v>0.3</v>
      </c>
      <c r="I739" t="s">
        <v>1933</v>
      </c>
      <c r="J739" s="16">
        <v>689.5</v>
      </c>
      <c r="K739" s="19">
        <f t="shared" si="55"/>
        <v>1345673.218399999</v>
      </c>
      <c r="L739" s="22">
        <f t="shared" si="56"/>
        <v>1065.4578134600149</v>
      </c>
      <c r="M739" s="22">
        <f t="shared" si="57"/>
        <v>434</v>
      </c>
      <c r="N739" s="22" t="str">
        <f t="shared" si="58"/>
        <v>Low Value</v>
      </c>
      <c r="O739" s="22" t="str">
        <f t="shared" si="59"/>
        <v>Apr-2025</v>
      </c>
      <c r="P739" s="22" t="s">
        <v>1568</v>
      </c>
      <c r="Q739" s="22" t="s">
        <v>1569</v>
      </c>
      <c r="R739" s="22" t="s">
        <v>3959</v>
      </c>
      <c r="S739" s="22"/>
      <c r="T739" s="22"/>
      <c r="V739" s="25" t="s">
        <v>1479</v>
      </c>
      <c r="W739" s="6">
        <v>8</v>
      </c>
    </row>
    <row r="740" spans="1:23">
      <c r="A740" t="s">
        <v>2677</v>
      </c>
      <c r="B740" s="8">
        <v>45657</v>
      </c>
      <c r="C740" t="s">
        <v>1133</v>
      </c>
      <c r="D740" t="s">
        <v>1690</v>
      </c>
      <c r="E740" t="s">
        <v>1899</v>
      </c>
      <c r="F740">
        <v>2</v>
      </c>
      <c r="G740" s="10">
        <v>213.69</v>
      </c>
      <c r="H740" s="13">
        <v>0.28000000000000003</v>
      </c>
      <c r="I740" t="s">
        <v>1933</v>
      </c>
      <c r="J740" s="16">
        <v>307.71359999999999</v>
      </c>
      <c r="K740" s="19">
        <f t="shared" si="55"/>
        <v>1344983.718399999</v>
      </c>
      <c r="L740" s="22">
        <f t="shared" si="56"/>
        <v>1065.7557198098248</v>
      </c>
      <c r="M740" s="22">
        <f t="shared" si="57"/>
        <v>433</v>
      </c>
      <c r="N740" s="22" t="str">
        <f t="shared" si="58"/>
        <v>Low Value</v>
      </c>
      <c r="O740" s="22" t="str">
        <f t="shared" si="59"/>
        <v>Dec-2024</v>
      </c>
      <c r="P740" s="22" t="s">
        <v>1691</v>
      </c>
      <c r="Q740" s="22" t="s">
        <v>1536</v>
      </c>
      <c r="R740" s="22" t="s">
        <v>1134</v>
      </c>
      <c r="S740" s="22"/>
      <c r="T740" s="22"/>
      <c r="V740" s="26" t="s">
        <v>1936</v>
      </c>
      <c r="W740" s="6">
        <v>3</v>
      </c>
    </row>
    <row r="741" spans="1:23">
      <c r="A741" t="s">
        <v>2678</v>
      </c>
      <c r="B741" s="8">
        <v>45716</v>
      </c>
      <c r="C741" t="s">
        <v>238</v>
      </c>
      <c r="D741" t="s">
        <v>1607</v>
      </c>
      <c r="E741" t="s">
        <v>1889</v>
      </c>
      <c r="F741">
        <v>4</v>
      </c>
      <c r="G741" s="10">
        <v>618.83000000000004</v>
      </c>
      <c r="H741" s="13">
        <v>0.08</v>
      </c>
      <c r="I741" t="s">
        <v>1933</v>
      </c>
      <c r="J741" s="16">
        <v>2277.2944000000002</v>
      </c>
      <c r="K741" s="19">
        <f t="shared" si="55"/>
        <v>1344676.0047999988</v>
      </c>
      <c r="L741" s="22">
        <f t="shared" si="56"/>
        <v>1066.356863441712</v>
      </c>
      <c r="M741" s="22">
        <f t="shared" si="57"/>
        <v>432</v>
      </c>
      <c r="N741" s="22" t="str">
        <f t="shared" si="58"/>
        <v>High Value</v>
      </c>
      <c r="O741" s="22" t="str">
        <f t="shared" si="59"/>
        <v>Feb-2025</v>
      </c>
      <c r="P741" s="22" t="s">
        <v>1608</v>
      </c>
      <c r="Q741" s="22" t="s">
        <v>1569</v>
      </c>
      <c r="R741" s="22" t="s">
        <v>239</v>
      </c>
      <c r="S741" s="22"/>
      <c r="T741" s="22"/>
      <c r="V741" s="26" t="s">
        <v>1931</v>
      </c>
      <c r="W741" s="6">
        <v>1</v>
      </c>
    </row>
    <row r="742" spans="1:23">
      <c r="A742" t="s">
        <v>2679</v>
      </c>
      <c r="B742" s="8">
        <v>45313</v>
      </c>
      <c r="C742" t="s">
        <v>330</v>
      </c>
      <c r="D742" t="s">
        <v>1731</v>
      </c>
      <c r="E742" t="s">
        <v>1899</v>
      </c>
      <c r="F742">
        <v>2</v>
      </c>
      <c r="G742" s="10">
        <v>81.16</v>
      </c>
      <c r="H742" s="13">
        <v>0.16</v>
      </c>
      <c r="I742" t="s">
        <v>1933</v>
      </c>
      <c r="J742" s="16">
        <v>136.34880000000001</v>
      </c>
      <c r="K742" s="19">
        <f t="shared" si="55"/>
        <v>1342398.7103999988</v>
      </c>
      <c r="L742" s="22">
        <f t="shared" si="56"/>
        <v>1065.3958019047609</v>
      </c>
      <c r="M742" s="22">
        <f t="shared" si="57"/>
        <v>431</v>
      </c>
      <c r="N742" s="22" t="str">
        <f t="shared" si="58"/>
        <v>Low Value</v>
      </c>
      <c r="O742" s="22" t="str">
        <f t="shared" si="59"/>
        <v>Jan-2024</v>
      </c>
      <c r="P742" s="22" t="s">
        <v>1732</v>
      </c>
      <c r="Q742" s="22" t="s">
        <v>1555</v>
      </c>
      <c r="R742" s="22" t="s">
        <v>331</v>
      </c>
      <c r="S742" s="22"/>
      <c r="T742" s="22"/>
      <c r="V742" s="26" t="s">
        <v>1933</v>
      </c>
      <c r="W742" s="6">
        <v>4</v>
      </c>
    </row>
    <row r="743" spans="1:23">
      <c r="A743" t="s">
        <v>2680</v>
      </c>
      <c r="B743" s="8">
        <v>45372</v>
      </c>
      <c r="C743" t="s">
        <v>19</v>
      </c>
      <c r="D743" t="s">
        <v>1813</v>
      </c>
      <c r="E743" t="s">
        <v>1893</v>
      </c>
      <c r="F743">
        <v>1</v>
      </c>
      <c r="G743" s="10">
        <v>431.69</v>
      </c>
      <c r="H743" s="13">
        <v>0.09</v>
      </c>
      <c r="I743" t="s">
        <v>1931</v>
      </c>
      <c r="J743" s="16">
        <v>392.83789999999999</v>
      </c>
      <c r="K743" s="19">
        <f t="shared" si="55"/>
        <v>1342262.361599999</v>
      </c>
      <c r="L743" s="22">
        <f t="shared" si="56"/>
        <v>1066.1337264495623</v>
      </c>
      <c r="M743" s="22">
        <f t="shared" si="57"/>
        <v>430</v>
      </c>
      <c r="N743" s="22" t="str">
        <f t="shared" si="58"/>
        <v>Low Value</v>
      </c>
      <c r="O743" s="22" t="str">
        <f t="shared" si="59"/>
        <v>Mar-2024</v>
      </c>
      <c r="P743" s="22" t="s">
        <v>1814</v>
      </c>
      <c r="Q743" s="22" t="s">
        <v>1560</v>
      </c>
      <c r="R743" s="22" t="s">
        <v>3940</v>
      </c>
      <c r="S743" s="22"/>
      <c r="T743" s="22"/>
      <c r="V743" s="25" t="s">
        <v>1006</v>
      </c>
      <c r="W743" s="6">
        <v>8</v>
      </c>
    </row>
    <row r="744" spans="1:23">
      <c r="A744" t="s">
        <v>2681</v>
      </c>
      <c r="B744" s="8">
        <v>45648</v>
      </c>
      <c r="C744" t="s">
        <v>1253</v>
      </c>
      <c r="D744" t="s">
        <v>1600</v>
      </c>
      <c r="E744" t="s">
        <v>1880</v>
      </c>
      <c r="F744">
        <v>3</v>
      </c>
      <c r="G744" s="10">
        <v>438.65</v>
      </c>
      <c r="H744" s="13">
        <v>0.28999999999999998</v>
      </c>
      <c r="I744" t="s">
        <v>1933</v>
      </c>
      <c r="J744" s="16">
        <v>934.32449999999983</v>
      </c>
      <c r="K744" s="19">
        <f t="shared" si="55"/>
        <v>1341869.5236999989</v>
      </c>
      <c r="L744" s="22">
        <f t="shared" si="56"/>
        <v>1066.6689377583457</v>
      </c>
      <c r="M744" s="22">
        <f t="shared" si="57"/>
        <v>430</v>
      </c>
      <c r="N744" s="22" t="str">
        <f t="shared" si="58"/>
        <v>Low Value</v>
      </c>
      <c r="O744" s="22" t="str">
        <f t="shared" si="59"/>
        <v>Dec-2024</v>
      </c>
      <c r="P744" s="22" t="s">
        <v>1601</v>
      </c>
      <c r="Q744" s="22" t="s">
        <v>1536</v>
      </c>
      <c r="R744" s="22" t="s">
        <v>1254</v>
      </c>
      <c r="S744" s="22"/>
      <c r="T744" s="22"/>
      <c r="V744" s="26" t="s">
        <v>1931</v>
      </c>
      <c r="W744" s="6">
        <v>8</v>
      </c>
    </row>
    <row r="745" spans="1:23">
      <c r="A745" t="s">
        <v>2682</v>
      </c>
      <c r="B745" s="8">
        <v>45384</v>
      </c>
      <c r="C745" t="s">
        <v>568</v>
      </c>
      <c r="D745" t="s">
        <v>1792</v>
      </c>
      <c r="E745" t="s">
        <v>1873</v>
      </c>
      <c r="F745">
        <v>3</v>
      </c>
      <c r="G745" s="10">
        <v>339.41</v>
      </c>
      <c r="H745" s="13">
        <v>0.26</v>
      </c>
      <c r="I745" t="s">
        <v>1931</v>
      </c>
      <c r="J745" s="16">
        <v>753.49019999999996</v>
      </c>
      <c r="K745" s="19">
        <f t="shared" si="55"/>
        <v>1340935.199199999</v>
      </c>
      <c r="L745" s="22">
        <f t="shared" si="56"/>
        <v>1066.7742237072387</v>
      </c>
      <c r="M745" s="22">
        <f t="shared" si="57"/>
        <v>429</v>
      </c>
      <c r="N745" s="22" t="str">
        <f t="shared" si="58"/>
        <v>Low Value</v>
      </c>
      <c r="O745" s="22" t="str">
        <f t="shared" si="59"/>
        <v>Apr-2024</v>
      </c>
      <c r="P745" s="22" t="s">
        <v>1793</v>
      </c>
      <c r="Q745" s="22" t="s">
        <v>1560</v>
      </c>
      <c r="R745" s="22" t="s">
        <v>569</v>
      </c>
      <c r="S745" s="22"/>
      <c r="T745" s="22"/>
      <c r="V745" s="25" t="s">
        <v>441</v>
      </c>
      <c r="W745" s="6">
        <v>14</v>
      </c>
    </row>
    <row r="746" spans="1:23">
      <c r="A746" t="s">
        <v>2683</v>
      </c>
      <c r="B746" s="8">
        <v>45687</v>
      </c>
      <c r="C746" t="s">
        <v>1439</v>
      </c>
      <c r="D746" t="s">
        <v>1792</v>
      </c>
      <c r="E746" t="s">
        <v>1893</v>
      </c>
      <c r="F746">
        <v>4</v>
      </c>
      <c r="G746" s="10">
        <v>848.47</v>
      </c>
      <c r="H746" s="13">
        <v>0.21</v>
      </c>
      <c r="I746" t="s">
        <v>1936</v>
      </c>
      <c r="J746" s="16">
        <v>2681.1651999999999</v>
      </c>
      <c r="K746" s="19">
        <f t="shared" si="55"/>
        <v>1340181.7089999989</v>
      </c>
      <c r="L746" s="22">
        <f t="shared" si="56"/>
        <v>1067.0236536624195</v>
      </c>
      <c r="M746" s="22">
        <f t="shared" si="57"/>
        <v>429</v>
      </c>
      <c r="N746" s="22" t="str">
        <f t="shared" si="58"/>
        <v>High Value</v>
      </c>
      <c r="O746" s="22" t="str">
        <f t="shared" si="59"/>
        <v>Jan-2025</v>
      </c>
      <c r="P746" s="22" t="s">
        <v>1793</v>
      </c>
      <c r="Q746" s="22" t="s">
        <v>1560</v>
      </c>
      <c r="R746" s="22" t="s">
        <v>1440</v>
      </c>
      <c r="S746" s="22"/>
      <c r="T746" s="22"/>
      <c r="V746" s="26" t="s">
        <v>1936</v>
      </c>
      <c r="W746" s="6">
        <v>2</v>
      </c>
    </row>
    <row r="747" spans="1:23">
      <c r="A747" t="s">
        <v>2684</v>
      </c>
      <c r="B747" s="8">
        <v>45747</v>
      </c>
      <c r="C747" t="s">
        <v>629</v>
      </c>
      <c r="D747" t="s">
        <v>1755</v>
      </c>
      <c r="E747" t="s">
        <v>1889</v>
      </c>
      <c r="F747">
        <v>1</v>
      </c>
      <c r="G747" s="10">
        <v>664.87</v>
      </c>
      <c r="H747" s="13">
        <v>0.08</v>
      </c>
      <c r="I747" t="s">
        <v>1933</v>
      </c>
      <c r="J747" s="16">
        <v>611.68040000000008</v>
      </c>
      <c r="K747" s="19">
        <f t="shared" si="55"/>
        <v>1337500.5437999992</v>
      </c>
      <c r="L747" s="22">
        <f t="shared" si="56"/>
        <v>1065.7374850996009</v>
      </c>
      <c r="M747" s="22">
        <f t="shared" si="57"/>
        <v>429</v>
      </c>
      <c r="N747" s="22" t="str">
        <f t="shared" si="58"/>
        <v>Low Value</v>
      </c>
      <c r="O747" s="22" t="str">
        <f t="shared" si="59"/>
        <v>Mar-2025</v>
      </c>
      <c r="P747" s="22" t="s">
        <v>1756</v>
      </c>
      <c r="Q747" s="22" t="s">
        <v>1531</v>
      </c>
      <c r="R747" s="22" t="s">
        <v>630</v>
      </c>
      <c r="S747" s="22"/>
      <c r="T747" s="22"/>
      <c r="V747" s="26" t="s">
        <v>1931</v>
      </c>
      <c r="W747" s="6">
        <v>8</v>
      </c>
    </row>
    <row r="748" spans="1:23">
      <c r="A748" t="s">
        <v>2685</v>
      </c>
      <c r="B748" s="8">
        <v>45687</v>
      </c>
      <c r="C748" t="s">
        <v>348</v>
      </c>
      <c r="D748" t="s">
        <v>1620</v>
      </c>
      <c r="E748" t="s">
        <v>1886</v>
      </c>
      <c r="F748">
        <v>1</v>
      </c>
      <c r="G748" s="10">
        <v>412.11</v>
      </c>
      <c r="H748" s="13">
        <v>0.23</v>
      </c>
      <c r="I748" t="s">
        <v>1933</v>
      </c>
      <c r="J748" s="16">
        <v>317.32470000000001</v>
      </c>
      <c r="K748" s="19">
        <f t="shared" si="55"/>
        <v>1336888.863399999</v>
      </c>
      <c r="L748" s="22">
        <f t="shared" si="56"/>
        <v>1066.0995720893134</v>
      </c>
      <c r="M748" s="22">
        <f t="shared" si="57"/>
        <v>428</v>
      </c>
      <c r="N748" s="22" t="str">
        <f t="shared" si="58"/>
        <v>Low Value</v>
      </c>
      <c r="O748" s="22" t="str">
        <f t="shared" si="59"/>
        <v>Jan-2025</v>
      </c>
      <c r="P748" s="22" t="s">
        <v>1621</v>
      </c>
      <c r="Q748" s="22" t="s">
        <v>1569</v>
      </c>
      <c r="R748" s="22" t="s">
        <v>349</v>
      </c>
      <c r="S748" s="22"/>
      <c r="T748" s="22"/>
      <c r="V748" s="26" t="s">
        <v>1933</v>
      </c>
      <c r="W748" s="6">
        <v>4</v>
      </c>
    </row>
    <row r="749" spans="1:23">
      <c r="A749" t="s">
        <v>2686</v>
      </c>
      <c r="B749" s="8">
        <v>45916</v>
      </c>
      <c r="C749" t="s">
        <v>418</v>
      </c>
      <c r="D749" t="s">
        <v>1837</v>
      </c>
      <c r="E749" t="s">
        <v>1864</v>
      </c>
      <c r="F749">
        <v>1</v>
      </c>
      <c r="G749" s="10">
        <v>126.09</v>
      </c>
      <c r="H749" s="13">
        <v>0.05</v>
      </c>
      <c r="I749" t="s">
        <v>1936</v>
      </c>
      <c r="J749" s="16">
        <v>119.7855</v>
      </c>
      <c r="K749" s="19">
        <f t="shared" si="55"/>
        <v>1336571.538699999</v>
      </c>
      <c r="L749" s="22">
        <f t="shared" si="56"/>
        <v>1066.697157781324</v>
      </c>
      <c r="M749" s="22">
        <f t="shared" si="57"/>
        <v>427</v>
      </c>
      <c r="N749" s="22" t="str">
        <f t="shared" si="58"/>
        <v>Low Value</v>
      </c>
      <c r="O749" s="22" t="str">
        <f t="shared" si="59"/>
        <v>Sep-2025</v>
      </c>
      <c r="P749" s="22" t="s">
        <v>1838</v>
      </c>
      <c r="Q749" s="22" t="s">
        <v>1555</v>
      </c>
      <c r="R749" s="22" t="s">
        <v>419</v>
      </c>
      <c r="S749" s="22"/>
      <c r="T749" s="22"/>
      <c r="V749" s="25" t="s">
        <v>680</v>
      </c>
      <c r="W749" s="6">
        <v>19</v>
      </c>
    </row>
    <row r="750" spans="1:23">
      <c r="A750" t="s">
        <v>2687</v>
      </c>
      <c r="B750" s="8">
        <v>45917</v>
      </c>
      <c r="C750" t="s">
        <v>646</v>
      </c>
      <c r="D750" t="s">
        <v>1755</v>
      </c>
      <c r="E750" t="s">
        <v>1896</v>
      </c>
      <c r="F750">
        <v>4</v>
      </c>
      <c r="G750" s="10">
        <v>602.39</v>
      </c>
      <c r="H750" s="13">
        <v>0.19</v>
      </c>
      <c r="I750" t="s">
        <v>1936</v>
      </c>
      <c r="J750" s="16">
        <v>1951.7436</v>
      </c>
      <c r="K750" s="19">
        <f t="shared" si="55"/>
        <v>1336451.753199999</v>
      </c>
      <c r="L750" s="22">
        <f t="shared" si="56"/>
        <v>1067.4534769968043</v>
      </c>
      <c r="M750" s="22">
        <f t="shared" si="57"/>
        <v>427</v>
      </c>
      <c r="N750" s="22" t="str">
        <f t="shared" si="58"/>
        <v>High Value</v>
      </c>
      <c r="O750" s="22" t="str">
        <f t="shared" si="59"/>
        <v>Sep-2025</v>
      </c>
      <c r="P750" s="22" t="s">
        <v>1756</v>
      </c>
      <c r="Q750" s="22" t="s">
        <v>1531</v>
      </c>
      <c r="R750" s="22" t="s">
        <v>647</v>
      </c>
      <c r="S750" s="22"/>
      <c r="T750" s="22"/>
      <c r="V750" s="26" t="s">
        <v>1936</v>
      </c>
      <c r="W750" s="6">
        <v>7</v>
      </c>
    </row>
    <row r="751" spans="1:23">
      <c r="A751" t="s">
        <v>2688</v>
      </c>
      <c r="B751" s="8">
        <v>45941</v>
      </c>
      <c r="C751" t="s">
        <v>1019</v>
      </c>
      <c r="D751" t="s">
        <v>1801</v>
      </c>
      <c r="E751" t="s">
        <v>1873</v>
      </c>
      <c r="F751">
        <v>3</v>
      </c>
      <c r="G751" s="10">
        <v>447.69</v>
      </c>
      <c r="H751" s="13">
        <v>0.02</v>
      </c>
      <c r="I751" t="s">
        <v>1936</v>
      </c>
      <c r="J751" s="16">
        <v>1316.2085999999999</v>
      </c>
      <c r="K751" s="19">
        <f t="shared" si="55"/>
        <v>1334500.0095999988</v>
      </c>
      <c r="L751" s="22">
        <f t="shared" si="56"/>
        <v>1066.7466103916856</v>
      </c>
      <c r="M751" s="22">
        <f t="shared" si="57"/>
        <v>427</v>
      </c>
      <c r="N751" s="22" t="str">
        <f t="shared" si="58"/>
        <v>High Value</v>
      </c>
      <c r="O751" s="22" t="str">
        <f t="shared" si="59"/>
        <v>Oct-2025</v>
      </c>
      <c r="P751" s="22" t="s">
        <v>1802</v>
      </c>
      <c r="Q751" s="22" t="s">
        <v>1569</v>
      </c>
      <c r="R751" s="22" t="s">
        <v>1020</v>
      </c>
      <c r="S751" s="22"/>
      <c r="T751" s="22"/>
      <c r="V751" s="26" t="s">
        <v>1931</v>
      </c>
      <c r="W751" s="6">
        <v>8</v>
      </c>
    </row>
    <row r="752" spans="1:23">
      <c r="A752" t="s">
        <v>2689</v>
      </c>
      <c r="B752" s="8">
        <v>45778</v>
      </c>
      <c r="C752" t="s">
        <v>795</v>
      </c>
      <c r="D752" t="s">
        <v>1652</v>
      </c>
      <c r="E752" t="s">
        <v>1873</v>
      </c>
      <c r="F752">
        <v>3</v>
      </c>
      <c r="G752" s="10">
        <v>35.159999999999997</v>
      </c>
      <c r="H752" s="13">
        <v>0.04</v>
      </c>
      <c r="I752" t="s">
        <v>1936</v>
      </c>
      <c r="J752" s="16">
        <v>101.2608</v>
      </c>
      <c r="K752" s="19">
        <f t="shared" si="55"/>
        <v>1333183.8009999988</v>
      </c>
      <c r="L752" s="22">
        <f t="shared" si="56"/>
        <v>1066.547040799999</v>
      </c>
      <c r="M752" s="22">
        <f t="shared" si="57"/>
        <v>427</v>
      </c>
      <c r="N752" s="22" t="str">
        <f t="shared" si="58"/>
        <v>Low Value</v>
      </c>
      <c r="O752" s="22" t="str">
        <f t="shared" si="59"/>
        <v>May-2025</v>
      </c>
      <c r="P752" s="22" t="s">
        <v>1653</v>
      </c>
      <c r="Q752" s="22" t="s">
        <v>1531</v>
      </c>
      <c r="R752" s="22" t="s">
        <v>796</v>
      </c>
      <c r="S752" s="22"/>
      <c r="T752" s="22"/>
      <c r="V752" s="26" t="s">
        <v>1933</v>
      </c>
      <c r="W752" s="6">
        <v>4</v>
      </c>
    </row>
    <row r="753" spans="1:23">
      <c r="A753" t="s">
        <v>2690</v>
      </c>
      <c r="B753" s="8">
        <v>45740</v>
      </c>
      <c r="C753" t="s">
        <v>1034</v>
      </c>
      <c r="D753" t="s">
        <v>1771</v>
      </c>
      <c r="E753" t="s">
        <v>1899</v>
      </c>
      <c r="F753">
        <v>2</v>
      </c>
      <c r="G753" s="10">
        <v>838.59</v>
      </c>
      <c r="H753" s="13">
        <v>0.18</v>
      </c>
      <c r="I753" t="s">
        <v>1936</v>
      </c>
      <c r="J753" s="16">
        <v>1375.2876000000001</v>
      </c>
      <c r="K753" s="19">
        <f t="shared" si="55"/>
        <v>1333082.5401999988</v>
      </c>
      <c r="L753" s="22">
        <f t="shared" si="56"/>
        <v>1067.3198880704554</v>
      </c>
      <c r="M753" s="22">
        <f t="shared" si="57"/>
        <v>427</v>
      </c>
      <c r="N753" s="22" t="str">
        <f t="shared" si="58"/>
        <v>High Value</v>
      </c>
      <c r="O753" s="22" t="str">
        <f t="shared" si="59"/>
        <v>Mar-2025</v>
      </c>
      <c r="P753" s="22" t="s">
        <v>1772</v>
      </c>
      <c r="Q753" s="22" t="s">
        <v>1569</v>
      </c>
      <c r="R753" s="22" t="s">
        <v>1035</v>
      </c>
      <c r="S753" s="22"/>
      <c r="T753" s="22"/>
      <c r="V753" s="25" t="s">
        <v>416</v>
      </c>
      <c r="W753" s="6">
        <v>5</v>
      </c>
    </row>
    <row r="754" spans="1:23">
      <c r="A754" t="s">
        <v>2691</v>
      </c>
      <c r="B754" s="8">
        <v>45598</v>
      </c>
      <c r="C754" t="s">
        <v>316</v>
      </c>
      <c r="D754" t="s">
        <v>1731</v>
      </c>
      <c r="E754" t="s">
        <v>1883</v>
      </c>
      <c r="F754">
        <v>4</v>
      </c>
      <c r="G754" s="10">
        <v>867.94</v>
      </c>
      <c r="H754" s="13">
        <v>0.26</v>
      </c>
      <c r="I754" t="s">
        <v>1933</v>
      </c>
      <c r="J754" s="16">
        <v>2569.1024000000002</v>
      </c>
      <c r="K754" s="19">
        <f t="shared" si="55"/>
        <v>1331707.2525999988</v>
      </c>
      <c r="L754" s="22">
        <f t="shared" si="56"/>
        <v>1067.0731190705119</v>
      </c>
      <c r="M754" s="22">
        <f t="shared" si="57"/>
        <v>427</v>
      </c>
      <c r="N754" s="22" t="str">
        <f t="shared" si="58"/>
        <v>High Value</v>
      </c>
      <c r="O754" s="22" t="str">
        <f t="shared" si="59"/>
        <v>Nov-2024</v>
      </c>
      <c r="P754" s="22" t="s">
        <v>1732</v>
      </c>
      <c r="Q754" s="22" t="s">
        <v>1555</v>
      </c>
      <c r="R754" s="22" t="s">
        <v>317</v>
      </c>
      <c r="S754" s="22"/>
      <c r="T754" s="22"/>
      <c r="V754" s="26" t="s">
        <v>1936</v>
      </c>
      <c r="W754" s="6">
        <v>2</v>
      </c>
    </row>
    <row r="755" spans="1:23">
      <c r="A755" t="s">
        <v>2692</v>
      </c>
      <c r="B755" s="8">
        <v>45591</v>
      </c>
      <c r="C755" t="s">
        <v>641</v>
      </c>
      <c r="D755" t="s">
        <v>1668</v>
      </c>
      <c r="E755" t="s">
        <v>1914</v>
      </c>
      <c r="F755">
        <v>1</v>
      </c>
      <c r="G755" s="10">
        <v>623.88</v>
      </c>
      <c r="H755" s="13">
        <v>0.25</v>
      </c>
      <c r="I755" t="s">
        <v>1931</v>
      </c>
      <c r="J755" s="16">
        <v>467.91</v>
      </c>
      <c r="K755" s="19">
        <f t="shared" si="55"/>
        <v>1329138.1501999986</v>
      </c>
      <c r="L755" s="22">
        <f t="shared" si="56"/>
        <v>1065.8686048115467</v>
      </c>
      <c r="M755" s="22">
        <f t="shared" si="57"/>
        <v>426</v>
      </c>
      <c r="N755" s="22" t="str">
        <f t="shared" si="58"/>
        <v>Low Value</v>
      </c>
      <c r="O755" s="22" t="str">
        <f t="shared" si="59"/>
        <v>Oct-2024</v>
      </c>
      <c r="P755" s="22" t="s">
        <v>1669</v>
      </c>
      <c r="Q755" s="22" t="s">
        <v>1531</v>
      </c>
      <c r="R755" s="22" t="s">
        <v>642</v>
      </c>
      <c r="S755" s="22"/>
      <c r="T755" s="22"/>
      <c r="V755" s="26" t="s">
        <v>1933</v>
      </c>
      <c r="W755" s="6">
        <v>3</v>
      </c>
    </row>
    <row r="756" spans="1:23">
      <c r="A756" t="s">
        <v>2693</v>
      </c>
      <c r="B756" s="8">
        <v>45546</v>
      </c>
      <c r="C756" t="s">
        <v>583</v>
      </c>
      <c r="D756" t="s">
        <v>1678</v>
      </c>
      <c r="E756" t="s">
        <v>1906</v>
      </c>
      <c r="F756">
        <v>2</v>
      </c>
      <c r="G756" s="10">
        <v>567.95000000000005</v>
      </c>
      <c r="H756" s="13">
        <v>0.12</v>
      </c>
      <c r="I756" t="s">
        <v>1933</v>
      </c>
      <c r="J756" s="16">
        <v>999.5920000000001</v>
      </c>
      <c r="K756" s="19">
        <f t="shared" si="55"/>
        <v>1328670.2401999987</v>
      </c>
      <c r="L756" s="22">
        <f t="shared" si="56"/>
        <v>1066.3485073836266</v>
      </c>
      <c r="M756" s="22">
        <f t="shared" si="57"/>
        <v>426</v>
      </c>
      <c r="N756" s="22" t="str">
        <f t="shared" si="58"/>
        <v>Low Value</v>
      </c>
      <c r="O756" s="22" t="str">
        <f t="shared" si="59"/>
        <v>Sep-2024</v>
      </c>
      <c r="P756" s="22" t="s">
        <v>1679</v>
      </c>
      <c r="Q756" s="22" t="s">
        <v>1531</v>
      </c>
      <c r="R756" s="22" t="s">
        <v>584</v>
      </c>
      <c r="S756" s="22"/>
      <c r="T756" s="22"/>
      <c r="V756" s="25" t="s">
        <v>1395</v>
      </c>
      <c r="W756" s="6">
        <v>3</v>
      </c>
    </row>
    <row r="757" spans="1:23">
      <c r="A757" t="s">
        <v>2694</v>
      </c>
      <c r="B757" s="8">
        <v>45483</v>
      </c>
      <c r="C757" t="s">
        <v>1014</v>
      </c>
      <c r="D757" t="s">
        <v>1642</v>
      </c>
      <c r="E757" t="s">
        <v>1917</v>
      </c>
      <c r="F757">
        <v>2</v>
      </c>
      <c r="G757" s="10">
        <v>671.69</v>
      </c>
      <c r="H757" s="13">
        <v>0.19</v>
      </c>
      <c r="I757" t="s">
        <v>1931</v>
      </c>
      <c r="J757" s="16">
        <v>1088.1378</v>
      </c>
      <c r="K757" s="19">
        <f t="shared" si="55"/>
        <v>1327670.6481999988</v>
      </c>
      <c r="L757" s="22">
        <f t="shared" si="56"/>
        <v>1066.4021270682722</v>
      </c>
      <c r="M757" s="22">
        <f t="shared" si="57"/>
        <v>425</v>
      </c>
      <c r="N757" s="22" t="str">
        <f t="shared" si="58"/>
        <v>High Value</v>
      </c>
      <c r="O757" s="22" t="str">
        <f t="shared" si="59"/>
        <v>Jul-2024</v>
      </c>
      <c r="P757" s="22" t="s">
        <v>1643</v>
      </c>
      <c r="Q757" s="22" t="s">
        <v>1569</v>
      </c>
      <c r="R757" s="22" t="s">
        <v>1015</v>
      </c>
      <c r="S757" s="22"/>
      <c r="T757" s="22"/>
      <c r="V757" s="26" t="s">
        <v>1936</v>
      </c>
      <c r="W757" s="6">
        <v>3</v>
      </c>
    </row>
    <row r="758" spans="1:23">
      <c r="A758" t="s">
        <v>2695</v>
      </c>
      <c r="B758" s="8">
        <v>45786</v>
      </c>
      <c r="C758" t="s">
        <v>670</v>
      </c>
      <c r="D758" t="s">
        <v>1553</v>
      </c>
      <c r="E758" t="s">
        <v>1886</v>
      </c>
      <c r="F758">
        <v>2</v>
      </c>
      <c r="G758" s="10">
        <v>257.95999999999998</v>
      </c>
      <c r="H758" s="13">
        <v>0.21</v>
      </c>
      <c r="I758" t="s">
        <v>1933</v>
      </c>
      <c r="J758" s="16">
        <v>407.57679999999999</v>
      </c>
      <c r="K758" s="19">
        <f t="shared" si="55"/>
        <v>1326582.5103999989</v>
      </c>
      <c r="L758" s="22">
        <f t="shared" si="56"/>
        <v>1066.3846546623786</v>
      </c>
      <c r="M758" s="22">
        <f t="shared" si="57"/>
        <v>425</v>
      </c>
      <c r="N758" s="22" t="str">
        <f t="shared" si="58"/>
        <v>Low Value</v>
      </c>
      <c r="O758" s="22" t="str">
        <f t="shared" si="59"/>
        <v>May-2025</v>
      </c>
      <c r="P758" s="22" t="s">
        <v>1554</v>
      </c>
      <c r="Q758" s="22" t="s">
        <v>1555</v>
      </c>
      <c r="R758" s="22" t="s">
        <v>671</v>
      </c>
      <c r="S758" s="22"/>
      <c r="T758" s="22"/>
      <c r="V758" s="25" t="s">
        <v>581</v>
      </c>
      <c r="W758" s="6">
        <v>11</v>
      </c>
    </row>
    <row r="759" spans="1:23">
      <c r="A759" t="s">
        <v>2696</v>
      </c>
      <c r="B759" s="8">
        <v>45475</v>
      </c>
      <c r="C759" t="s">
        <v>664</v>
      </c>
      <c r="D759" t="s">
        <v>1849</v>
      </c>
      <c r="E759" t="s">
        <v>1920</v>
      </c>
      <c r="F759">
        <v>4</v>
      </c>
      <c r="G759" s="10">
        <v>281.48</v>
      </c>
      <c r="H759" s="13">
        <v>0.27</v>
      </c>
      <c r="I759" t="s">
        <v>1933</v>
      </c>
      <c r="J759" s="16">
        <v>821.92160000000001</v>
      </c>
      <c r="K759" s="19">
        <f t="shared" si="55"/>
        <v>1326174.9335999989</v>
      </c>
      <c r="L759" s="22">
        <f t="shared" si="56"/>
        <v>1066.9146690265479</v>
      </c>
      <c r="M759" s="22">
        <f t="shared" si="57"/>
        <v>424</v>
      </c>
      <c r="N759" s="22" t="str">
        <f t="shared" si="58"/>
        <v>Low Value</v>
      </c>
      <c r="O759" s="22" t="str">
        <f t="shared" si="59"/>
        <v>Jul-2024</v>
      </c>
      <c r="P759" s="22" t="s">
        <v>1850</v>
      </c>
      <c r="Q759" s="22" t="s">
        <v>1531</v>
      </c>
      <c r="R759" s="22" t="s">
        <v>665</v>
      </c>
      <c r="S759" s="22"/>
      <c r="T759" s="22"/>
      <c r="V759" s="26" t="s">
        <v>1936</v>
      </c>
      <c r="W759" s="6">
        <v>6</v>
      </c>
    </row>
    <row r="760" spans="1:23">
      <c r="A760" t="s">
        <v>2697</v>
      </c>
      <c r="B760" s="8">
        <v>45470</v>
      </c>
      <c r="C760" t="s">
        <v>993</v>
      </c>
      <c r="D760" t="s">
        <v>1607</v>
      </c>
      <c r="E760" t="s">
        <v>1899</v>
      </c>
      <c r="F760">
        <v>1</v>
      </c>
      <c r="G760" s="10">
        <v>202.13</v>
      </c>
      <c r="H760" s="13">
        <v>0.13</v>
      </c>
      <c r="I760" t="s">
        <v>1936</v>
      </c>
      <c r="J760" s="16">
        <v>175.85310000000001</v>
      </c>
      <c r="K760" s="19">
        <f t="shared" si="55"/>
        <v>1325353.0119999989</v>
      </c>
      <c r="L760" s="22">
        <f t="shared" si="56"/>
        <v>1067.1119259259251</v>
      </c>
      <c r="M760" s="22">
        <f t="shared" si="57"/>
        <v>423</v>
      </c>
      <c r="N760" s="22" t="str">
        <f t="shared" si="58"/>
        <v>Low Value</v>
      </c>
      <c r="O760" s="22" t="str">
        <f t="shared" si="59"/>
        <v>Jun-2024</v>
      </c>
      <c r="P760" s="22" t="s">
        <v>1608</v>
      </c>
      <c r="Q760" s="22" t="s">
        <v>1569</v>
      </c>
      <c r="R760" s="22" t="s">
        <v>994</v>
      </c>
      <c r="S760" s="22"/>
      <c r="T760" s="22"/>
      <c r="V760" s="26" t="s">
        <v>1933</v>
      </c>
      <c r="W760" s="6">
        <v>5</v>
      </c>
    </row>
    <row r="761" spans="1:23">
      <c r="A761" t="s">
        <v>2698</v>
      </c>
      <c r="B761" s="8">
        <v>45243</v>
      </c>
      <c r="C761" t="s">
        <v>863</v>
      </c>
      <c r="D761" t="s">
        <v>1777</v>
      </c>
      <c r="E761" t="s">
        <v>1880</v>
      </c>
      <c r="F761">
        <v>1</v>
      </c>
      <c r="G761" s="10">
        <v>370.66</v>
      </c>
      <c r="H761" s="13">
        <v>0.01</v>
      </c>
      <c r="I761" t="s">
        <v>1933</v>
      </c>
      <c r="J761" s="16">
        <v>366.95339999999999</v>
      </c>
      <c r="K761" s="19">
        <f t="shared" si="55"/>
        <v>1325177.1588999988</v>
      </c>
      <c r="L761" s="22">
        <f t="shared" si="56"/>
        <v>1067.8301038678476</v>
      </c>
      <c r="M761" s="22">
        <f t="shared" si="57"/>
        <v>423</v>
      </c>
      <c r="N761" s="22" t="str">
        <f t="shared" si="58"/>
        <v>Low Value</v>
      </c>
      <c r="O761" s="22" t="str">
        <f t="shared" si="59"/>
        <v>Nov-2023</v>
      </c>
      <c r="P761" s="22" t="s">
        <v>1778</v>
      </c>
      <c r="Q761" s="22" t="s">
        <v>1531</v>
      </c>
      <c r="R761" s="22" t="s">
        <v>3950</v>
      </c>
      <c r="S761" s="22"/>
      <c r="T761" s="22"/>
      <c r="V761" s="25" t="s">
        <v>1352</v>
      </c>
      <c r="W761" s="6">
        <v>3</v>
      </c>
    </row>
    <row r="762" spans="1:23">
      <c r="A762" t="s">
        <v>2699</v>
      </c>
      <c r="B762" s="8">
        <v>45341</v>
      </c>
      <c r="C762" t="s">
        <v>31</v>
      </c>
      <c r="D762" t="s">
        <v>1737</v>
      </c>
      <c r="E762" t="s">
        <v>1901</v>
      </c>
      <c r="F762">
        <v>4</v>
      </c>
      <c r="G762" s="10">
        <v>731.53</v>
      </c>
      <c r="H762" s="13">
        <v>0.12</v>
      </c>
      <c r="I762" t="s">
        <v>1931</v>
      </c>
      <c r="J762" s="16">
        <v>2574.9856</v>
      </c>
      <c r="K762" s="19">
        <f t="shared" si="55"/>
        <v>1324810.2054999988</v>
      </c>
      <c r="L762" s="22">
        <f t="shared" si="56"/>
        <v>1068.395327016128</v>
      </c>
      <c r="M762" s="22">
        <f t="shared" si="57"/>
        <v>422</v>
      </c>
      <c r="N762" s="22" t="str">
        <f t="shared" si="58"/>
        <v>High Value</v>
      </c>
      <c r="O762" s="22" t="str">
        <f t="shared" si="59"/>
        <v>Feb-2024</v>
      </c>
      <c r="P762" s="22" t="s">
        <v>1738</v>
      </c>
      <c r="Q762" s="22" t="s">
        <v>1569</v>
      </c>
      <c r="R762" s="22" t="s">
        <v>32</v>
      </c>
      <c r="S762" s="22"/>
      <c r="T762" s="22"/>
      <c r="V762" s="26" t="s">
        <v>1931</v>
      </c>
      <c r="W762" s="6">
        <v>3</v>
      </c>
    </row>
    <row r="763" spans="1:23">
      <c r="A763" t="s">
        <v>2700</v>
      </c>
      <c r="B763" s="8">
        <v>45371</v>
      </c>
      <c r="C763" t="s">
        <v>548</v>
      </c>
      <c r="D763" t="s">
        <v>1789</v>
      </c>
      <c r="E763" t="s">
        <v>1864</v>
      </c>
      <c r="F763">
        <v>3</v>
      </c>
      <c r="G763" s="10">
        <v>468.25</v>
      </c>
      <c r="H763" s="13">
        <v>7.0000000000000007E-2</v>
      </c>
      <c r="I763" t="s">
        <v>1933</v>
      </c>
      <c r="J763" s="16">
        <v>1306.4175</v>
      </c>
      <c r="K763" s="19">
        <f t="shared" si="55"/>
        <v>1322235.2198999987</v>
      </c>
      <c r="L763" s="22">
        <f t="shared" si="56"/>
        <v>1067.179354237287</v>
      </c>
      <c r="M763" s="22">
        <f t="shared" si="57"/>
        <v>422</v>
      </c>
      <c r="N763" s="22" t="str">
        <f t="shared" si="58"/>
        <v>High Value</v>
      </c>
      <c r="O763" s="22" t="str">
        <f t="shared" si="59"/>
        <v>Mar-2024</v>
      </c>
      <c r="P763" s="22" t="s">
        <v>1790</v>
      </c>
      <c r="Q763" s="22" t="s">
        <v>1560</v>
      </c>
      <c r="R763" s="22" t="s">
        <v>549</v>
      </c>
      <c r="S763" s="22"/>
      <c r="T763" s="22"/>
      <c r="V763" s="25" t="s">
        <v>1237</v>
      </c>
      <c r="W763" s="6">
        <v>9</v>
      </c>
    </row>
    <row r="764" spans="1:23">
      <c r="A764" t="s">
        <v>2701</v>
      </c>
      <c r="B764" s="8">
        <v>45360</v>
      </c>
      <c r="C764" t="s">
        <v>13</v>
      </c>
      <c r="D764" t="s">
        <v>1755</v>
      </c>
      <c r="E764" t="s">
        <v>1859</v>
      </c>
      <c r="F764">
        <v>1</v>
      </c>
      <c r="G764" s="10">
        <v>928.72</v>
      </c>
      <c r="H764" s="13">
        <v>0.1</v>
      </c>
      <c r="I764" t="s">
        <v>1936</v>
      </c>
      <c r="J764" s="16">
        <v>835.84800000000007</v>
      </c>
      <c r="K764" s="19">
        <f t="shared" si="55"/>
        <v>1320928.8023999988</v>
      </c>
      <c r="L764" s="22">
        <f t="shared" si="56"/>
        <v>1066.986108562196</v>
      </c>
      <c r="M764" s="22">
        <f t="shared" si="57"/>
        <v>421</v>
      </c>
      <c r="N764" s="22" t="str">
        <f t="shared" si="58"/>
        <v>Low Value</v>
      </c>
      <c r="O764" s="22" t="str">
        <f t="shared" si="59"/>
        <v>Mar-2024</v>
      </c>
      <c r="P764" s="22" t="s">
        <v>1756</v>
      </c>
      <c r="Q764" s="22" t="s">
        <v>1531</v>
      </c>
      <c r="R764" s="22" t="s">
        <v>14</v>
      </c>
      <c r="S764" s="22"/>
      <c r="T764" s="22"/>
      <c r="V764" s="26" t="s">
        <v>1936</v>
      </c>
      <c r="W764" s="6">
        <v>4</v>
      </c>
    </row>
    <row r="765" spans="1:23">
      <c r="A765" t="s">
        <v>2702</v>
      </c>
      <c r="B765" s="8">
        <v>45499</v>
      </c>
      <c r="C765" t="s">
        <v>355</v>
      </c>
      <c r="D765" t="s">
        <v>1545</v>
      </c>
      <c r="E765" t="s">
        <v>1917</v>
      </c>
      <c r="F765">
        <v>3</v>
      </c>
      <c r="G765" s="10">
        <v>217.22</v>
      </c>
      <c r="H765" s="13">
        <v>0.06</v>
      </c>
      <c r="I765" t="s">
        <v>1933</v>
      </c>
      <c r="J765" s="16">
        <v>612.56039999999996</v>
      </c>
      <c r="K765" s="19">
        <f t="shared" si="55"/>
        <v>1320092.954399999</v>
      </c>
      <c r="L765" s="22">
        <f t="shared" si="56"/>
        <v>1067.1729623282126</v>
      </c>
      <c r="M765" s="22">
        <f t="shared" si="57"/>
        <v>421</v>
      </c>
      <c r="N765" s="22" t="str">
        <f t="shared" si="58"/>
        <v>Low Value</v>
      </c>
      <c r="O765" s="22" t="str">
        <f t="shared" si="59"/>
        <v>Jul-2024</v>
      </c>
      <c r="P765" s="22" t="s">
        <v>1546</v>
      </c>
      <c r="Q765" s="22" t="s">
        <v>1536</v>
      </c>
      <c r="R765" s="22" t="s">
        <v>356</v>
      </c>
      <c r="S765" s="22"/>
      <c r="T765" s="22"/>
      <c r="V765" s="26" t="s">
        <v>1933</v>
      </c>
      <c r="W765" s="6">
        <v>5</v>
      </c>
    </row>
    <row r="766" spans="1:23">
      <c r="A766" t="s">
        <v>2703</v>
      </c>
      <c r="B766" s="8">
        <v>45745</v>
      </c>
      <c r="C766" t="s">
        <v>1253</v>
      </c>
      <c r="D766" t="s">
        <v>1620</v>
      </c>
      <c r="E766" t="s">
        <v>1873</v>
      </c>
      <c r="F766">
        <v>1</v>
      </c>
      <c r="G766" s="10">
        <v>387.99</v>
      </c>
      <c r="H766" s="13">
        <v>0.3</v>
      </c>
      <c r="I766" t="s">
        <v>1931</v>
      </c>
      <c r="J766" s="16">
        <v>271.59300000000002</v>
      </c>
      <c r="K766" s="19">
        <f t="shared" si="55"/>
        <v>1319480.3939999989</v>
      </c>
      <c r="L766" s="22">
        <f t="shared" si="56"/>
        <v>1067.5407718446593</v>
      </c>
      <c r="M766" s="22">
        <f t="shared" si="57"/>
        <v>420</v>
      </c>
      <c r="N766" s="22" t="str">
        <f t="shared" si="58"/>
        <v>Low Value</v>
      </c>
      <c r="O766" s="22" t="str">
        <f t="shared" si="59"/>
        <v>Mar-2025</v>
      </c>
      <c r="P766" s="22" t="s">
        <v>1621</v>
      </c>
      <c r="Q766" s="22" t="s">
        <v>1569</v>
      </c>
      <c r="R766" s="22" t="s">
        <v>1254</v>
      </c>
      <c r="S766" s="22"/>
      <c r="T766" s="22"/>
      <c r="V766" s="25" t="s">
        <v>1053</v>
      </c>
      <c r="W766" s="6">
        <v>10</v>
      </c>
    </row>
    <row r="767" spans="1:23">
      <c r="A767" t="s">
        <v>2704</v>
      </c>
      <c r="B767" s="8">
        <v>45718</v>
      </c>
      <c r="C767" t="s">
        <v>1456</v>
      </c>
      <c r="D767" t="s">
        <v>1600</v>
      </c>
      <c r="E767" t="s">
        <v>1883</v>
      </c>
      <c r="F767">
        <v>4</v>
      </c>
      <c r="G767" s="10">
        <v>186.24</v>
      </c>
      <c r="H767" s="13">
        <v>0.23</v>
      </c>
      <c r="I767" t="s">
        <v>1931</v>
      </c>
      <c r="J767" s="16">
        <v>573.61920000000009</v>
      </c>
      <c r="K767" s="19">
        <f t="shared" si="55"/>
        <v>1319208.800999999</v>
      </c>
      <c r="L767" s="22">
        <f t="shared" si="56"/>
        <v>1068.1852639676106</v>
      </c>
      <c r="M767" s="22">
        <f t="shared" si="57"/>
        <v>420</v>
      </c>
      <c r="N767" s="22" t="str">
        <f t="shared" si="58"/>
        <v>Low Value</v>
      </c>
      <c r="O767" s="22" t="str">
        <f t="shared" si="59"/>
        <v>Mar-2025</v>
      </c>
      <c r="P767" s="22" t="s">
        <v>1601</v>
      </c>
      <c r="Q767" s="22" t="s">
        <v>1536</v>
      </c>
      <c r="R767" s="22" t="s">
        <v>1457</v>
      </c>
      <c r="S767" s="22"/>
      <c r="T767" s="22"/>
      <c r="V767" s="26" t="s">
        <v>1936</v>
      </c>
      <c r="W767" s="6">
        <v>6</v>
      </c>
    </row>
    <row r="768" spans="1:23">
      <c r="A768" t="s">
        <v>2705</v>
      </c>
      <c r="B768" s="8">
        <v>45454</v>
      </c>
      <c r="C768" t="s">
        <v>935</v>
      </c>
      <c r="D768" t="s">
        <v>1672</v>
      </c>
      <c r="E768" t="s">
        <v>1889</v>
      </c>
      <c r="F768">
        <v>4</v>
      </c>
      <c r="G768" s="10">
        <v>609.05999999999995</v>
      </c>
      <c r="H768" s="13">
        <v>0.22</v>
      </c>
      <c r="I768" t="s">
        <v>1936</v>
      </c>
      <c r="J768" s="16">
        <v>1900.2672</v>
      </c>
      <c r="K768" s="19">
        <f t="shared" si="55"/>
        <v>1318635.1817999992</v>
      </c>
      <c r="L768" s="22">
        <f t="shared" si="56"/>
        <v>1068.5860468395456</v>
      </c>
      <c r="M768" s="22">
        <f t="shared" si="57"/>
        <v>420</v>
      </c>
      <c r="N768" s="22" t="str">
        <f t="shared" si="58"/>
        <v>High Value</v>
      </c>
      <c r="O768" s="22" t="str">
        <f t="shared" si="59"/>
        <v>Jun-2024</v>
      </c>
      <c r="P768" s="22" t="s">
        <v>1673</v>
      </c>
      <c r="Q768" s="22" t="s">
        <v>1531</v>
      </c>
      <c r="R768" s="22" t="s">
        <v>936</v>
      </c>
      <c r="S768" s="22"/>
      <c r="T768" s="22"/>
      <c r="V768" s="26" t="s">
        <v>1931</v>
      </c>
      <c r="W768" s="6">
        <v>4</v>
      </c>
    </row>
    <row r="769" spans="1:23">
      <c r="A769" t="s">
        <v>2706</v>
      </c>
      <c r="B769" s="8">
        <v>45434</v>
      </c>
      <c r="C769" t="s">
        <v>1346</v>
      </c>
      <c r="D769" t="s">
        <v>1649</v>
      </c>
      <c r="E769" t="s">
        <v>1899</v>
      </c>
      <c r="F769">
        <v>1</v>
      </c>
      <c r="G769" s="10">
        <v>827.91</v>
      </c>
      <c r="H769" s="13">
        <v>0.21</v>
      </c>
      <c r="I769" t="s">
        <v>1933</v>
      </c>
      <c r="J769" s="16">
        <v>654.0489</v>
      </c>
      <c r="K769" s="19">
        <f t="shared" si="55"/>
        <v>1316734.9145999989</v>
      </c>
      <c r="L769" s="22">
        <f t="shared" si="56"/>
        <v>1067.9115284671523</v>
      </c>
      <c r="M769" s="22">
        <f t="shared" si="57"/>
        <v>420</v>
      </c>
      <c r="N769" s="22" t="str">
        <f t="shared" si="58"/>
        <v>Low Value</v>
      </c>
      <c r="O769" s="22" t="str">
        <f t="shared" si="59"/>
        <v>May-2024</v>
      </c>
      <c r="P769" s="22" t="s">
        <v>1650</v>
      </c>
      <c r="Q769" s="22" t="s">
        <v>1560</v>
      </c>
      <c r="R769" s="22" t="s">
        <v>1347</v>
      </c>
      <c r="S769" s="22"/>
      <c r="T769" s="22"/>
      <c r="V769" s="25" t="s">
        <v>1083</v>
      </c>
      <c r="W769" s="6">
        <v>11</v>
      </c>
    </row>
    <row r="770" spans="1:23">
      <c r="A770" t="s">
        <v>2707</v>
      </c>
      <c r="B770" s="8">
        <v>45486</v>
      </c>
      <c r="C770" t="s">
        <v>580</v>
      </c>
      <c r="D770" t="s">
        <v>1804</v>
      </c>
      <c r="E770" t="s">
        <v>1859</v>
      </c>
      <c r="F770">
        <v>1</v>
      </c>
      <c r="G770" s="10">
        <v>303.79000000000002</v>
      </c>
      <c r="H770" s="13">
        <v>0.24</v>
      </c>
      <c r="I770" t="s">
        <v>1933</v>
      </c>
      <c r="J770" s="16">
        <v>230.88040000000001</v>
      </c>
      <c r="K770" s="19">
        <f t="shared" ref="K770:K833" si="60">SUM(J770:J2769)</f>
        <v>1316080.8656999988</v>
      </c>
      <c r="L770" s="22">
        <f t="shared" ref="L770:L833" si="61">AVERAGE(J770:J2769)</f>
        <v>1068.2474559253237</v>
      </c>
      <c r="M770" s="22">
        <f t="shared" ref="M770:M833" si="62">COUNTIF(I770:I2769,"PayPal")</f>
        <v>419</v>
      </c>
      <c r="N770" s="22" t="str">
        <f t="shared" ref="N770:N833" si="63">IF(J770&gt;=1000,"High Value","Low Value")</f>
        <v>Low Value</v>
      </c>
      <c r="O770" s="22" t="str">
        <f t="shared" ref="O770:O833" si="64">TEXT(B770,"mmm-yyyy")</f>
        <v>Jul-2024</v>
      </c>
      <c r="P770" s="22" t="s">
        <v>1805</v>
      </c>
      <c r="Q770" s="22" t="s">
        <v>1555</v>
      </c>
      <c r="R770" s="22" t="s">
        <v>581</v>
      </c>
      <c r="S770" s="22"/>
      <c r="T770" s="22"/>
      <c r="V770" s="26" t="s">
        <v>1936</v>
      </c>
      <c r="W770" s="6">
        <v>5</v>
      </c>
    </row>
    <row r="771" spans="1:23">
      <c r="A771" t="s">
        <v>2708</v>
      </c>
      <c r="B771" s="8">
        <v>45902</v>
      </c>
      <c r="C771" t="s">
        <v>364</v>
      </c>
      <c r="D771" t="s">
        <v>1661</v>
      </c>
      <c r="E771" t="s">
        <v>1883</v>
      </c>
      <c r="F771">
        <v>2</v>
      </c>
      <c r="G771" s="10">
        <v>365.91</v>
      </c>
      <c r="H771" s="13">
        <v>0.14000000000000001</v>
      </c>
      <c r="I771" t="s">
        <v>1936</v>
      </c>
      <c r="J771" s="16">
        <v>629.36520000000007</v>
      </c>
      <c r="K771" s="19">
        <f t="shared" si="60"/>
        <v>1315849.9852999989</v>
      </c>
      <c r="L771" s="22">
        <f t="shared" si="61"/>
        <v>1068.92768911454</v>
      </c>
      <c r="M771" s="22">
        <f t="shared" si="62"/>
        <v>418</v>
      </c>
      <c r="N771" s="22" t="str">
        <f t="shared" si="63"/>
        <v>Low Value</v>
      </c>
      <c r="O771" s="22" t="str">
        <f t="shared" si="64"/>
        <v>Sep-2025</v>
      </c>
      <c r="P771" s="22" t="s">
        <v>1662</v>
      </c>
      <c r="Q771" s="22" t="s">
        <v>1536</v>
      </c>
      <c r="R771" s="22" t="s">
        <v>365</v>
      </c>
      <c r="S771" s="22"/>
      <c r="T771" s="22"/>
      <c r="V771" s="26" t="s">
        <v>1931</v>
      </c>
      <c r="W771" s="6">
        <v>2</v>
      </c>
    </row>
    <row r="772" spans="1:23">
      <c r="A772" t="s">
        <v>2709</v>
      </c>
      <c r="B772" s="8">
        <v>45762</v>
      </c>
      <c r="C772" t="s">
        <v>252</v>
      </c>
      <c r="D772" t="s">
        <v>1624</v>
      </c>
      <c r="E772" t="s">
        <v>1914</v>
      </c>
      <c r="F772">
        <v>3</v>
      </c>
      <c r="G772" s="10">
        <v>852.72</v>
      </c>
      <c r="H772" s="13">
        <v>0.16</v>
      </c>
      <c r="I772" t="s">
        <v>1931</v>
      </c>
      <c r="J772" s="16">
        <v>2148.8544000000002</v>
      </c>
      <c r="K772" s="19">
        <f t="shared" si="60"/>
        <v>1315220.620099999</v>
      </c>
      <c r="L772" s="22">
        <f t="shared" si="61"/>
        <v>1069.2850569918692</v>
      </c>
      <c r="M772" s="22">
        <f t="shared" si="62"/>
        <v>418</v>
      </c>
      <c r="N772" s="22" t="str">
        <f t="shared" si="63"/>
        <v>High Value</v>
      </c>
      <c r="O772" s="22" t="str">
        <f t="shared" si="64"/>
        <v>Apr-2025</v>
      </c>
      <c r="P772" s="22" t="s">
        <v>1625</v>
      </c>
      <c r="Q772" s="22" t="s">
        <v>1536</v>
      </c>
      <c r="R772" s="22" t="s">
        <v>253</v>
      </c>
      <c r="S772" s="22"/>
      <c r="T772" s="22"/>
      <c r="V772" s="26" t="s">
        <v>1933</v>
      </c>
      <c r="W772" s="6">
        <v>4</v>
      </c>
    </row>
    <row r="773" spans="1:23">
      <c r="A773" t="s">
        <v>2710</v>
      </c>
      <c r="B773" s="8">
        <v>45752</v>
      </c>
      <c r="C773" t="s">
        <v>792</v>
      </c>
      <c r="D773" t="s">
        <v>1572</v>
      </c>
      <c r="E773" t="s">
        <v>1876</v>
      </c>
      <c r="F773">
        <v>1</v>
      </c>
      <c r="G773" s="10">
        <v>768.25</v>
      </c>
      <c r="H773" s="13">
        <v>0.18</v>
      </c>
      <c r="I773" t="s">
        <v>1931</v>
      </c>
      <c r="J773" s="16">
        <v>629.96500000000003</v>
      </c>
      <c r="K773" s="19">
        <f t="shared" si="60"/>
        <v>1313071.7656999989</v>
      </c>
      <c r="L773" s="22">
        <f t="shared" si="61"/>
        <v>1068.4066441822611</v>
      </c>
      <c r="M773" s="22">
        <f t="shared" si="62"/>
        <v>418</v>
      </c>
      <c r="N773" s="22" t="str">
        <f t="shared" si="63"/>
        <v>Low Value</v>
      </c>
      <c r="O773" s="22" t="str">
        <f t="shared" si="64"/>
        <v>Apr-2025</v>
      </c>
      <c r="P773" s="22" t="s">
        <v>1573</v>
      </c>
      <c r="Q773" s="22" t="s">
        <v>1560</v>
      </c>
      <c r="R773" s="22" t="s">
        <v>793</v>
      </c>
      <c r="S773" s="22"/>
      <c r="T773" s="22"/>
      <c r="V773" s="25" t="s">
        <v>534</v>
      </c>
      <c r="W773" s="6">
        <v>9</v>
      </c>
    </row>
    <row r="774" spans="1:23">
      <c r="A774" t="s">
        <v>2711</v>
      </c>
      <c r="B774" s="8">
        <v>45254</v>
      </c>
      <c r="C774" t="s">
        <v>1093</v>
      </c>
      <c r="D774" t="s">
        <v>1831</v>
      </c>
      <c r="E774" t="s">
        <v>1920</v>
      </c>
      <c r="F774">
        <v>2</v>
      </c>
      <c r="G774" s="10">
        <v>318.62</v>
      </c>
      <c r="H774" s="13">
        <v>0.02</v>
      </c>
      <c r="I774" t="s">
        <v>1936</v>
      </c>
      <c r="J774" s="16">
        <v>624.49519999999995</v>
      </c>
      <c r="K774" s="19">
        <f t="shared" si="60"/>
        <v>1312441.8006999991</v>
      </c>
      <c r="L774" s="22">
        <f t="shared" si="61"/>
        <v>1068.7636813517909</v>
      </c>
      <c r="M774" s="22">
        <f t="shared" si="62"/>
        <v>418</v>
      </c>
      <c r="N774" s="22" t="str">
        <f t="shared" si="63"/>
        <v>Low Value</v>
      </c>
      <c r="O774" s="22" t="str">
        <f t="shared" si="64"/>
        <v>Nov-2023</v>
      </c>
      <c r="P774" s="22" t="s">
        <v>1832</v>
      </c>
      <c r="Q774" s="22" t="s">
        <v>1560</v>
      </c>
      <c r="R774" s="22" t="s">
        <v>1094</v>
      </c>
      <c r="S774" s="22"/>
      <c r="T774" s="22"/>
      <c r="V774" s="26" t="s">
        <v>1936</v>
      </c>
      <c r="W774" s="6">
        <v>2</v>
      </c>
    </row>
    <row r="775" spans="1:23">
      <c r="A775" t="s">
        <v>2712</v>
      </c>
      <c r="B775" s="8">
        <v>45683</v>
      </c>
      <c r="C775" t="s">
        <v>185</v>
      </c>
      <c r="D775" t="s">
        <v>1783</v>
      </c>
      <c r="E775" t="s">
        <v>1868</v>
      </c>
      <c r="F775">
        <v>4</v>
      </c>
      <c r="G775" s="10">
        <v>402.11</v>
      </c>
      <c r="H775" s="13">
        <v>0.14000000000000001</v>
      </c>
      <c r="I775" t="s">
        <v>1933</v>
      </c>
      <c r="J775" s="16">
        <v>1383.2583999999999</v>
      </c>
      <c r="K775" s="19">
        <f t="shared" si="60"/>
        <v>1311817.3054999991</v>
      </c>
      <c r="L775" s="22">
        <f t="shared" si="61"/>
        <v>1069.1257583537074</v>
      </c>
      <c r="M775" s="22">
        <f t="shared" si="62"/>
        <v>418</v>
      </c>
      <c r="N775" s="22" t="str">
        <f t="shared" si="63"/>
        <v>High Value</v>
      </c>
      <c r="O775" s="22" t="str">
        <f t="shared" si="64"/>
        <v>Jan-2025</v>
      </c>
      <c r="P775" s="22" t="s">
        <v>1784</v>
      </c>
      <c r="Q775" s="22" t="s">
        <v>1531</v>
      </c>
      <c r="R775" s="22" t="s">
        <v>186</v>
      </c>
      <c r="S775" s="22"/>
      <c r="T775" s="22"/>
      <c r="V775" s="26" t="s">
        <v>1931</v>
      </c>
      <c r="W775" s="6">
        <v>4</v>
      </c>
    </row>
    <row r="776" spans="1:23">
      <c r="A776" t="s">
        <v>2713</v>
      </c>
      <c r="B776" s="8">
        <v>45804</v>
      </c>
      <c r="C776" t="s">
        <v>1262</v>
      </c>
      <c r="D776" t="s">
        <v>1807</v>
      </c>
      <c r="E776" t="s">
        <v>1914</v>
      </c>
      <c r="F776">
        <v>3</v>
      </c>
      <c r="G776" s="10">
        <v>846.31</v>
      </c>
      <c r="H776" s="13">
        <v>0.18</v>
      </c>
      <c r="I776" t="s">
        <v>1936</v>
      </c>
      <c r="J776" s="16">
        <v>2081.9225999999999</v>
      </c>
      <c r="K776" s="19">
        <f t="shared" si="60"/>
        <v>1310434.0470999992</v>
      </c>
      <c r="L776" s="22">
        <f t="shared" si="61"/>
        <v>1068.8695327079927</v>
      </c>
      <c r="M776" s="22">
        <f t="shared" si="62"/>
        <v>417</v>
      </c>
      <c r="N776" s="22" t="str">
        <f t="shared" si="63"/>
        <v>High Value</v>
      </c>
      <c r="O776" s="22" t="str">
        <f t="shared" si="64"/>
        <v>May-2025</v>
      </c>
      <c r="P776" s="22" t="s">
        <v>1808</v>
      </c>
      <c r="Q776" s="22" t="s">
        <v>1560</v>
      </c>
      <c r="R776" s="22" t="s">
        <v>1263</v>
      </c>
      <c r="S776" s="22"/>
      <c r="T776" s="22"/>
      <c r="V776" s="26" t="s">
        <v>1933</v>
      </c>
      <c r="W776" s="6">
        <v>3</v>
      </c>
    </row>
    <row r="777" spans="1:23">
      <c r="A777" t="s">
        <v>2714</v>
      </c>
      <c r="B777" s="8">
        <v>45821</v>
      </c>
      <c r="C777" t="s">
        <v>557</v>
      </c>
      <c r="D777" t="s">
        <v>1837</v>
      </c>
      <c r="E777" t="s">
        <v>1906</v>
      </c>
      <c r="F777">
        <v>1</v>
      </c>
      <c r="G777" s="10">
        <v>269.94</v>
      </c>
      <c r="H777" s="13">
        <v>7.0000000000000007E-2</v>
      </c>
      <c r="I777" t="s">
        <v>1936</v>
      </c>
      <c r="J777" s="16">
        <v>251.04419999999999</v>
      </c>
      <c r="K777" s="19">
        <f t="shared" si="60"/>
        <v>1308352.1244999995</v>
      </c>
      <c r="L777" s="22">
        <f t="shared" si="61"/>
        <v>1068.0425506122444</v>
      </c>
      <c r="M777" s="22">
        <f t="shared" si="62"/>
        <v>417</v>
      </c>
      <c r="N777" s="22" t="str">
        <f t="shared" si="63"/>
        <v>Low Value</v>
      </c>
      <c r="O777" s="22" t="str">
        <f t="shared" si="64"/>
        <v>Jun-2025</v>
      </c>
      <c r="P777" s="22" t="s">
        <v>1838</v>
      </c>
      <c r="Q777" s="22" t="s">
        <v>1555</v>
      </c>
      <c r="R777" s="22" t="s">
        <v>558</v>
      </c>
      <c r="S777" s="22"/>
      <c r="T777" s="22"/>
      <c r="V777" s="25" t="s">
        <v>269</v>
      </c>
      <c r="W777" s="6">
        <v>2</v>
      </c>
    </row>
    <row r="778" spans="1:23">
      <c r="A778" t="s">
        <v>2715</v>
      </c>
      <c r="B778" s="8">
        <v>45472</v>
      </c>
      <c r="C778" t="s">
        <v>774</v>
      </c>
      <c r="D778" t="s">
        <v>1607</v>
      </c>
      <c r="E778" t="s">
        <v>1876</v>
      </c>
      <c r="F778">
        <v>3</v>
      </c>
      <c r="G778" s="10">
        <v>909.25</v>
      </c>
      <c r="H778" s="13">
        <v>0.28999999999999998</v>
      </c>
      <c r="I778" t="s">
        <v>1936</v>
      </c>
      <c r="J778" s="16">
        <v>1936.7025000000001</v>
      </c>
      <c r="K778" s="19">
        <f t="shared" si="60"/>
        <v>1308101.0802999993</v>
      </c>
      <c r="L778" s="22">
        <f t="shared" si="61"/>
        <v>1068.710032924836</v>
      </c>
      <c r="M778" s="22">
        <f t="shared" si="62"/>
        <v>417</v>
      </c>
      <c r="N778" s="22" t="str">
        <f t="shared" si="63"/>
        <v>High Value</v>
      </c>
      <c r="O778" s="22" t="str">
        <f t="shared" si="64"/>
        <v>Jun-2024</v>
      </c>
      <c r="P778" s="22" t="s">
        <v>1608</v>
      </c>
      <c r="Q778" s="22" t="s">
        <v>1569</v>
      </c>
      <c r="R778" s="22" t="s">
        <v>775</v>
      </c>
      <c r="S778" s="22"/>
      <c r="T778" s="22"/>
      <c r="V778" s="26" t="s">
        <v>1931</v>
      </c>
      <c r="W778" s="6">
        <v>2</v>
      </c>
    </row>
    <row r="779" spans="1:23">
      <c r="A779" t="s">
        <v>2716</v>
      </c>
      <c r="B779" s="8">
        <v>45331</v>
      </c>
      <c r="C779" t="s">
        <v>1130</v>
      </c>
      <c r="D779" t="s">
        <v>1828</v>
      </c>
      <c r="E779" t="s">
        <v>1901</v>
      </c>
      <c r="F779">
        <v>2</v>
      </c>
      <c r="G779" s="10">
        <v>229.81</v>
      </c>
      <c r="H779" s="13">
        <v>0.21</v>
      </c>
      <c r="I779" t="s">
        <v>1936</v>
      </c>
      <c r="J779" s="16">
        <v>363.09980000000002</v>
      </c>
      <c r="K779" s="19">
        <f t="shared" si="60"/>
        <v>1306164.3777999994</v>
      </c>
      <c r="L779" s="22">
        <f t="shared" si="61"/>
        <v>1068.0003089125098</v>
      </c>
      <c r="M779" s="22">
        <f t="shared" si="62"/>
        <v>417</v>
      </c>
      <c r="N779" s="22" t="str">
        <f t="shared" si="63"/>
        <v>Low Value</v>
      </c>
      <c r="O779" s="22" t="str">
        <f t="shared" si="64"/>
        <v>Feb-2024</v>
      </c>
      <c r="P779" s="22" t="s">
        <v>1829</v>
      </c>
      <c r="Q779" s="22" t="s">
        <v>1536</v>
      </c>
      <c r="R779" s="22" t="s">
        <v>1131</v>
      </c>
      <c r="S779" s="22"/>
      <c r="T779" s="22"/>
      <c r="V779" s="25" t="s">
        <v>808</v>
      </c>
      <c r="W779" s="6">
        <v>5</v>
      </c>
    </row>
    <row r="780" spans="1:23">
      <c r="A780" t="s">
        <v>2717</v>
      </c>
      <c r="B780" s="8">
        <v>45451</v>
      </c>
      <c r="C780" t="s">
        <v>146</v>
      </c>
      <c r="D780" t="s">
        <v>1789</v>
      </c>
      <c r="E780" t="s">
        <v>1908</v>
      </c>
      <c r="F780">
        <v>3</v>
      </c>
      <c r="G780" s="10">
        <v>442.36</v>
      </c>
      <c r="H780" s="13">
        <v>0.06</v>
      </c>
      <c r="I780" t="s">
        <v>1933</v>
      </c>
      <c r="J780" s="16">
        <v>1247.4552000000001</v>
      </c>
      <c r="K780" s="19">
        <f t="shared" si="60"/>
        <v>1305801.2779999995</v>
      </c>
      <c r="L780" s="22">
        <f t="shared" si="61"/>
        <v>1068.577150572831</v>
      </c>
      <c r="M780" s="22">
        <f t="shared" si="62"/>
        <v>417</v>
      </c>
      <c r="N780" s="22" t="str">
        <f t="shared" si="63"/>
        <v>High Value</v>
      </c>
      <c r="O780" s="22" t="str">
        <f t="shared" si="64"/>
        <v>Jun-2024</v>
      </c>
      <c r="P780" s="22" t="s">
        <v>1790</v>
      </c>
      <c r="Q780" s="22" t="s">
        <v>1560</v>
      </c>
      <c r="R780" s="22" t="s">
        <v>147</v>
      </c>
      <c r="S780" s="22"/>
      <c r="T780" s="22"/>
      <c r="V780" s="26" t="s">
        <v>1936</v>
      </c>
      <c r="W780" s="6">
        <v>2</v>
      </c>
    </row>
    <row r="781" spans="1:23">
      <c r="A781" t="s">
        <v>2718</v>
      </c>
      <c r="B781" s="8">
        <v>45386</v>
      </c>
      <c r="C781" t="s">
        <v>768</v>
      </c>
      <c r="D781" t="s">
        <v>1813</v>
      </c>
      <c r="E781" t="s">
        <v>1873</v>
      </c>
      <c r="F781">
        <v>3</v>
      </c>
      <c r="G781" s="10">
        <v>413.74</v>
      </c>
      <c r="H781" s="13">
        <v>0.01</v>
      </c>
      <c r="I781" t="s">
        <v>1931</v>
      </c>
      <c r="J781" s="16">
        <v>1228.8078</v>
      </c>
      <c r="K781" s="19">
        <f t="shared" si="60"/>
        <v>1304553.8227999995</v>
      </c>
      <c r="L781" s="22">
        <f t="shared" si="61"/>
        <v>1068.4306493038489</v>
      </c>
      <c r="M781" s="22">
        <f t="shared" si="62"/>
        <v>416</v>
      </c>
      <c r="N781" s="22" t="str">
        <f t="shared" si="63"/>
        <v>High Value</v>
      </c>
      <c r="O781" s="22" t="str">
        <f t="shared" si="64"/>
        <v>Apr-2024</v>
      </c>
      <c r="P781" s="22" t="s">
        <v>1814</v>
      </c>
      <c r="Q781" s="22" t="s">
        <v>1560</v>
      </c>
      <c r="R781" s="22" t="s">
        <v>769</v>
      </c>
      <c r="S781" s="22"/>
      <c r="T781" s="22"/>
      <c r="V781" s="26" t="s">
        <v>1931</v>
      </c>
      <c r="W781" s="6">
        <v>2</v>
      </c>
    </row>
    <row r="782" spans="1:23">
      <c r="A782" t="s">
        <v>2719</v>
      </c>
      <c r="B782" s="8">
        <v>45477</v>
      </c>
      <c r="C782" t="s">
        <v>1511</v>
      </c>
      <c r="D782" t="s">
        <v>1822</v>
      </c>
      <c r="E782" t="s">
        <v>1906</v>
      </c>
      <c r="F782">
        <v>4</v>
      </c>
      <c r="G782" s="10">
        <v>79.75</v>
      </c>
      <c r="H782" s="13">
        <v>0.18</v>
      </c>
      <c r="I782" t="s">
        <v>1933</v>
      </c>
      <c r="J782" s="16">
        <v>261.58</v>
      </c>
      <c r="K782" s="19">
        <f t="shared" si="60"/>
        <v>1303325.0149999994</v>
      </c>
      <c r="L782" s="22">
        <f t="shared" si="61"/>
        <v>1068.2991926229504</v>
      </c>
      <c r="M782" s="22">
        <f t="shared" si="62"/>
        <v>416</v>
      </c>
      <c r="N782" s="22" t="str">
        <f t="shared" si="63"/>
        <v>Low Value</v>
      </c>
      <c r="O782" s="22" t="str">
        <f t="shared" si="64"/>
        <v>Jul-2024</v>
      </c>
      <c r="P782" s="22" t="s">
        <v>1823</v>
      </c>
      <c r="Q782" s="22" t="s">
        <v>1555</v>
      </c>
      <c r="R782" s="22" t="s">
        <v>1512</v>
      </c>
      <c r="S782" s="22"/>
      <c r="T782" s="22"/>
      <c r="V782" s="26" t="s">
        <v>1933</v>
      </c>
      <c r="W782" s="6">
        <v>1</v>
      </c>
    </row>
    <row r="783" spans="1:23">
      <c r="A783" t="s">
        <v>2720</v>
      </c>
      <c r="B783" s="8">
        <v>45433</v>
      </c>
      <c r="C783" t="s">
        <v>1508</v>
      </c>
      <c r="D783" t="s">
        <v>1672</v>
      </c>
      <c r="E783" t="s">
        <v>1901</v>
      </c>
      <c r="F783">
        <v>4</v>
      </c>
      <c r="G783" s="10">
        <v>95.06</v>
      </c>
      <c r="H783" s="13">
        <v>0.03</v>
      </c>
      <c r="I783" t="s">
        <v>1931</v>
      </c>
      <c r="J783" s="16">
        <v>368.83280000000002</v>
      </c>
      <c r="K783" s="19">
        <f t="shared" si="60"/>
        <v>1303063.4349999994</v>
      </c>
      <c r="L783" s="22">
        <f t="shared" si="61"/>
        <v>1068.9609803117305</v>
      </c>
      <c r="M783" s="22">
        <f t="shared" si="62"/>
        <v>415</v>
      </c>
      <c r="N783" s="22" t="str">
        <f t="shared" si="63"/>
        <v>Low Value</v>
      </c>
      <c r="O783" s="22" t="str">
        <f t="shared" si="64"/>
        <v>May-2024</v>
      </c>
      <c r="P783" s="22" t="s">
        <v>1673</v>
      </c>
      <c r="Q783" s="22" t="s">
        <v>1531</v>
      </c>
      <c r="R783" s="22" t="s">
        <v>1509</v>
      </c>
      <c r="S783" s="22"/>
      <c r="T783" s="22"/>
      <c r="V783" s="25" t="s">
        <v>435</v>
      </c>
      <c r="W783" s="6">
        <v>2</v>
      </c>
    </row>
    <row r="784" spans="1:23">
      <c r="A784" t="s">
        <v>2721</v>
      </c>
      <c r="B784" s="8">
        <v>45759</v>
      </c>
      <c r="C784" t="s">
        <v>1285</v>
      </c>
      <c r="D784" t="s">
        <v>1849</v>
      </c>
      <c r="E784" t="s">
        <v>1886</v>
      </c>
      <c r="F784">
        <v>4</v>
      </c>
      <c r="G784" s="10">
        <v>107.08</v>
      </c>
      <c r="H784" s="13">
        <v>0.27</v>
      </c>
      <c r="I784" t="s">
        <v>1936</v>
      </c>
      <c r="J784" s="16">
        <v>312.67360000000002</v>
      </c>
      <c r="K784" s="19">
        <f t="shared" si="60"/>
        <v>1302694.6021999996</v>
      </c>
      <c r="L784" s="22">
        <f t="shared" si="61"/>
        <v>1069.53579819376</v>
      </c>
      <c r="M784" s="22">
        <f t="shared" si="62"/>
        <v>415</v>
      </c>
      <c r="N784" s="22" t="str">
        <f t="shared" si="63"/>
        <v>Low Value</v>
      </c>
      <c r="O784" s="22" t="str">
        <f t="shared" si="64"/>
        <v>Apr-2025</v>
      </c>
      <c r="P784" s="22" t="s">
        <v>1850</v>
      </c>
      <c r="Q784" s="22" t="s">
        <v>1531</v>
      </c>
      <c r="R784" s="22" t="s">
        <v>1286</v>
      </c>
      <c r="S784" s="22"/>
      <c r="T784" s="22"/>
      <c r="V784" s="26" t="s">
        <v>1931</v>
      </c>
      <c r="W784" s="6">
        <v>2</v>
      </c>
    </row>
    <row r="785" spans="1:23">
      <c r="A785" t="s">
        <v>2722</v>
      </c>
      <c r="B785" s="8">
        <v>45794</v>
      </c>
      <c r="C785" t="s">
        <v>1451</v>
      </c>
      <c r="D785" t="s">
        <v>1852</v>
      </c>
      <c r="E785" t="s">
        <v>1917</v>
      </c>
      <c r="F785">
        <v>1</v>
      </c>
      <c r="G785" s="10">
        <v>873.18</v>
      </c>
      <c r="H785" s="13">
        <v>0.03</v>
      </c>
      <c r="I785" t="s">
        <v>1936</v>
      </c>
      <c r="J785" s="16">
        <v>846.98459999999989</v>
      </c>
      <c r="K785" s="19">
        <f t="shared" si="60"/>
        <v>1302381.9285999995</v>
      </c>
      <c r="L785" s="22">
        <f t="shared" si="61"/>
        <v>1070.1577063270333</v>
      </c>
      <c r="M785" s="22">
        <f t="shared" si="62"/>
        <v>415</v>
      </c>
      <c r="N785" s="22" t="str">
        <f t="shared" si="63"/>
        <v>Low Value</v>
      </c>
      <c r="O785" s="22" t="str">
        <f t="shared" si="64"/>
        <v>May-2025</v>
      </c>
      <c r="P785" s="22" t="s">
        <v>1853</v>
      </c>
      <c r="Q785" s="22" t="s">
        <v>1560</v>
      </c>
      <c r="R785" s="22" t="s">
        <v>1452</v>
      </c>
      <c r="S785" s="22"/>
      <c r="T785" s="22"/>
      <c r="V785" s="25" t="s">
        <v>677</v>
      </c>
      <c r="W785" s="6">
        <v>20</v>
      </c>
    </row>
    <row r="786" spans="1:23">
      <c r="A786" t="s">
        <v>2723</v>
      </c>
      <c r="B786" s="8">
        <v>45764</v>
      </c>
      <c r="C786" t="s">
        <v>1172</v>
      </c>
      <c r="D786" t="s">
        <v>1765</v>
      </c>
      <c r="E786" t="s">
        <v>1917</v>
      </c>
      <c r="F786">
        <v>1</v>
      </c>
      <c r="G786" s="10">
        <v>914.75</v>
      </c>
      <c r="H786" s="13">
        <v>0.1</v>
      </c>
      <c r="I786" t="s">
        <v>1936</v>
      </c>
      <c r="J786" s="16">
        <v>823.27499999999998</v>
      </c>
      <c r="K786" s="19">
        <f t="shared" si="60"/>
        <v>1301534.9439999994</v>
      </c>
      <c r="L786" s="22">
        <f t="shared" si="61"/>
        <v>1070.3412368421048</v>
      </c>
      <c r="M786" s="22">
        <f t="shared" si="62"/>
        <v>415</v>
      </c>
      <c r="N786" s="22" t="str">
        <f t="shared" si="63"/>
        <v>Low Value</v>
      </c>
      <c r="O786" s="22" t="str">
        <f t="shared" si="64"/>
        <v>Apr-2025</v>
      </c>
      <c r="P786" s="22" t="s">
        <v>1766</v>
      </c>
      <c r="Q786" s="22" t="s">
        <v>1560</v>
      </c>
      <c r="R786" s="22" t="s">
        <v>1173</v>
      </c>
      <c r="S786" s="22"/>
      <c r="T786" s="22"/>
      <c r="V786" s="26" t="s">
        <v>1936</v>
      </c>
      <c r="W786" s="6">
        <v>13</v>
      </c>
    </row>
    <row r="787" spans="1:23">
      <c r="A787" t="s">
        <v>2724</v>
      </c>
      <c r="B787" s="8">
        <v>45279</v>
      </c>
      <c r="C787" t="s">
        <v>185</v>
      </c>
      <c r="D787" t="s">
        <v>1774</v>
      </c>
      <c r="E787" t="s">
        <v>1904</v>
      </c>
      <c r="F787">
        <v>4</v>
      </c>
      <c r="G787" s="10">
        <v>457.33</v>
      </c>
      <c r="H787" s="13">
        <v>0.1</v>
      </c>
      <c r="I787" t="s">
        <v>1931</v>
      </c>
      <c r="J787" s="16">
        <v>1646.3879999999999</v>
      </c>
      <c r="K787" s="19">
        <f t="shared" si="60"/>
        <v>1300711.6689999993</v>
      </c>
      <c r="L787" s="22">
        <f t="shared" si="61"/>
        <v>1070.544583539094</v>
      </c>
      <c r="M787" s="22">
        <f t="shared" si="62"/>
        <v>415</v>
      </c>
      <c r="N787" s="22" t="str">
        <f t="shared" si="63"/>
        <v>High Value</v>
      </c>
      <c r="O787" s="22" t="str">
        <f t="shared" si="64"/>
        <v>Dec-2023</v>
      </c>
      <c r="P787" s="22" t="s">
        <v>1775</v>
      </c>
      <c r="Q787" s="22" t="s">
        <v>1569</v>
      </c>
      <c r="R787" s="22" t="s">
        <v>186</v>
      </c>
      <c r="S787" s="22"/>
      <c r="T787" s="22"/>
      <c r="V787" s="26" t="s">
        <v>1931</v>
      </c>
      <c r="W787" s="6">
        <v>1</v>
      </c>
    </row>
    <row r="788" spans="1:23">
      <c r="A788" t="s">
        <v>2725</v>
      </c>
      <c r="B788" s="8">
        <v>45602</v>
      </c>
      <c r="C788" t="s">
        <v>924</v>
      </c>
      <c r="D788" t="s">
        <v>1852</v>
      </c>
      <c r="E788" t="s">
        <v>1873</v>
      </c>
      <c r="F788">
        <v>3</v>
      </c>
      <c r="G788" s="10">
        <v>761.88</v>
      </c>
      <c r="H788" s="13">
        <v>0.23</v>
      </c>
      <c r="I788" t="s">
        <v>1933</v>
      </c>
      <c r="J788" s="16">
        <v>1759.9428</v>
      </c>
      <c r="K788" s="19">
        <f t="shared" si="60"/>
        <v>1299065.2809999993</v>
      </c>
      <c r="L788" s="22">
        <f t="shared" si="61"/>
        <v>1070.0702479406914</v>
      </c>
      <c r="M788" s="22">
        <f t="shared" si="62"/>
        <v>415</v>
      </c>
      <c r="N788" s="22" t="str">
        <f t="shared" si="63"/>
        <v>High Value</v>
      </c>
      <c r="O788" s="22" t="str">
        <f t="shared" si="64"/>
        <v>Nov-2024</v>
      </c>
      <c r="P788" s="22" t="s">
        <v>1853</v>
      </c>
      <c r="Q788" s="22" t="s">
        <v>1560</v>
      </c>
      <c r="R788" s="22" t="s">
        <v>925</v>
      </c>
      <c r="S788" s="22"/>
      <c r="T788" s="22"/>
      <c r="V788" s="26" t="s">
        <v>1933</v>
      </c>
      <c r="W788" s="6">
        <v>6</v>
      </c>
    </row>
    <row r="789" spans="1:23">
      <c r="A789" t="s">
        <v>2726</v>
      </c>
      <c r="B789" s="8">
        <v>45793</v>
      </c>
      <c r="C789" t="s">
        <v>583</v>
      </c>
      <c r="D789" t="s">
        <v>1661</v>
      </c>
      <c r="E789" t="s">
        <v>1920</v>
      </c>
      <c r="F789">
        <v>4</v>
      </c>
      <c r="G789" s="10">
        <v>122.87</v>
      </c>
      <c r="H789" s="13">
        <v>0.13</v>
      </c>
      <c r="I789" t="s">
        <v>1931</v>
      </c>
      <c r="J789" s="16">
        <v>427.58760000000001</v>
      </c>
      <c r="K789" s="19">
        <f t="shared" si="60"/>
        <v>1297305.3381999994</v>
      </c>
      <c r="L789" s="22">
        <f t="shared" si="61"/>
        <v>1069.5015154163227</v>
      </c>
      <c r="M789" s="22">
        <f t="shared" si="62"/>
        <v>414</v>
      </c>
      <c r="N789" s="22" t="str">
        <f t="shared" si="63"/>
        <v>Low Value</v>
      </c>
      <c r="O789" s="22" t="str">
        <f t="shared" si="64"/>
        <v>May-2025</v>
      </c>
      <c r="P789" s="22" t="s">
        <v>1662</v>
      </c>
      <c r="Q789" s="22" t="s">
        <v>1536</v>
      </c>
      <c r="R789" s="22" t="s">
        <v>584</v>
      </c>
      <c r="S789" s="22"/>
      <c r="T789" s="22"/>
      <c r="V789" s="25" t="s">
        <v>76</v>
      </c>
      <c r="W789" s="6">
        <v>15</v>
      </c>
    </row>
    <row r="790" spans="1:23">
      <c r="A790" t="s">
        <v>2727</v>
      </c>
      <c r="B790" s="8">
        <v>45778</v>
      </c>
      <c r="C790" t="s">
        <v>1454</v>
      </c>
      <c r="D790" t="s">
        <v>1774</v>
      </c>
      <c r="E790" t="s">
        <v>1876</v>
      </c>
      <c r="F790">
        <v>4</v>
      </c>
      <c r="G790" s="10">
        <v>753</v>
      </c>
      <c r="H790" s="13">
        <v>0.28000000000000003</v>
      </c>
      <c r="I790" t="s">
        <v>1936</v>
      </c>
      <c r="J790" s="16">
        <v>2168.64</v>
      </c>
      <c r="K790" s="19">
        <f t="shared" si="60"/>
        <v>1296877.7505999994</v>
      </c>
      <c r="L790" s="22">
        <f t="shared" si="61"/>
        <v>1070.0311473597355</v>
      </c>
      <c r="M790" s="22">
        <f t="shared" si="62"/>
        <v>414</v>
      </c>
      <c r="N790" s="22" t="str">
        <f t="shared" si="63"/>
        <v>High Value</v>
      </c>
      <c r="O790" s="22" t="str">
        <f t="shared" si="64"/>
        <v>May-2025</v>
      </c>
      <c r="P790" s="22" t="s">
        <v>1775</v>
      </c>
      <c r="Q790" s="22" t="s">
        <v>1569</v>
      </c>
      <c r="R790" s="22" t="s">
        <v>1455</v>
      </c>
      <c r="S790" s="22"/>
      <c r="T790" s="22"/>
      <c r="V790" s="26" t="s">
        <v>1936</v>
      </c>
      <c r="W790" s="6">
        <v>4</v>
      </c>
    </row>
    <row r="791" spans="1:23">
      <c r="A791" t="s">
        <v>2728</v>
      </c>
      <c r="B791" s="8">
        <v>45325</v>
      </c>
      <c r="C791" t="s">
        <v>1151</v>
      </c>
      <c r="D791" t="s">
        <v>1549</v>
      </c>
      <c r="E791" t="s">
        <v>1880</v>
      </c>
      <c r="F791">
        <v>2</v>
      </c>
      <c r="G791" s="10">
        <v>788.05</v>
      </c>
      <c r="H791" s="13">
        <v>0.21</v>
      </c>
      <c r="I791" t="s">
        <v>1931</v>
      </c>
      <c r="J791" s="16">
        <v>1245.1189999999999</v>
      </c>
      <c r="K791" s="19">
        <f t="shared" si="60"/>
        <v>1294709.1105999993</v>
      </c>
      <c r="L791" s="22">
        <f t="shared" si="61"/>
        <v>1069.1239559042108</v>
      </c>
      <c r="M791" s="22">
        <f t="shared" si="62"/>
        <v>414</v>
      </c>
      <c r="N791" s="22" t="str">
        <f t="shared" si="63"/>
        <v>High Value</v>
      </c>
      <c r="O791" s="22" t="str">
        <f t="shared" si="64"/>
        <v>Feb-2024</v>
      </c>
      <c r="P791" s="22" t="s">
        <v>1550</v>
      </c>
      <c r="Q791" s="22" t="s">
        <v>1536</v>
      </c>
      <c r="R791" s="22" t="s">
        <v>1152</v>
      </c>
      <c r="S791" s="22"/>
      <c r="T791" s="22"/>
      <c r="V791" s="26" t="s">
        <v>1931</v>
      </c>
      <c r="W791" s="6">
        <v>3</v>
      </c>
    </row>
    <row r="792" spans="1:23">
      <c r="A792" t="s">
        <v>2729</v>
      </c>
      <c r="B792" s="8">
        <v>45875</v>
      </c>
      <c r="C792" t="s">
        <v>1416</v>
      </c>
      <c r="D792" t="s">
        <v>1801</v>
      </c>
      <c r="E792" t="s">
        <v>1896</v>
      </c>
      <c r="F792">
        <v>2</v>
      </c>
      <c r="G792" s="10">
        <v>807.1</v>
      </c>
      <c r="H792" s="13">
        <v>0.28999999999999998</v>
      </c>
      <c r="I792" t="s">
        <v>1931</v>
      </c>
      <c r="J792" s="16">
        <v>1146.0820000000001</v>
      </c>
      <c r="K792" s="19">
        <f t="shared" si="60"/>
        <v>1293463.9915999994</v>
      </c>
      <c r="L792" s="22">
        <f t="shared" si="61"/>
        <v>1068.978505454545</v>
      </c>
      <c r="M792" s="22">
        <f t="shared" si="62"/>
        <v>414</v>
      </c>
      <c r="N792" s="22" t="str">
        <f t="shared" si="63"/>
        <v>High Value</v>
      </c>
      <c r="O792" s="22" t="str">
        <f t="shared" si="64"/>
        <v>Aug-2025</v>
      </c>
      <c r="P792" s="22" t="s">
        <v>1802</v>
      </c>
      <c r="Q792" s="22" t="s">
        <v>1569</v>
      </c>
      <c r="R792" s="22" t="s">
        <v>1417</v>
      </c>
      <c r="S792" s="22"/>
      <c r="T792" s="22"/>
      <c r="V792" s="26" t="s">
        <v>1933</v>
      </c>
      <c r="W792" s="6">
        <v>8</v>
      </c>
    </row>
    <row r="793" spans="1:23">
      <c r="A793" t="s">
        <v>2730</v>
      </c>
      <c r="B793" s="8">
        <v>45320</v>
      </c>
      <c r="C793" t="s">
        <v>456</v>
      </c>
      <c r="D793" t="s">
        <v>1563</v>
      </c>
      <c r="E793" t="s">
        <v>1864</v>
      </c>
      <c r="F793">
        <v>2</v>
      </c>
      <c r="G793" s="10">
        <v>443.09</v>
      </c>
      <c r="H793" s="13">
        <v>0.02</v>
      </c>
      <c r="I793" t="s">
        <v>1933</v>
      </c>
      <c r="J793" s="16">
        <v>868.45639999999992</v>
      </c>
      <c r="K793" s="19">
        <f t="shared" si="60"/>
        <v>1292317.9095999997</v>
      </c>
      <c r="L793" s="22">
        <f t="shared" si="61"/>
        <v>1068.9147308519434</v>
      </c>
      <c r="M793" s="22">
        <f t="shared" si="62"/>
        <v>414</v>
      </c>
      <c r="N793" s="22" t="str">
        <f t="shared" si="63"/>
        <v>Low Value</v>
      </c>
      <c r="O793" s="22" t="str">
        <f t="shared" si="64"/>
        <v>Jan-2024</v>
      </c>
      <c r="P793" s="22" t="s">
        <v>1564</v>
      </c>
      <c r="Q793" s="22" t="s">
        <v>1531</v>
      </c>
      <c r="R793" s="22" t="s">
        <v>457</v>
      </c>
      <c r="S793" s="22"/>
      <c r="T793" s="22"/>
      <c r="V793" s="25" t="s">
        <v>956</v>
      </c>
      <c r="W793" s="6">
        <v>8</v>
      </c>
    </row>
    <row r="794" spans="1:23">
      <c r="A794" t="s">
        <v>2731</v>
      </c>
      <c r="B794" s="8">
        <v>45870</v>
      </c>
      <c r="C794" t="s">
        <v>1433</v>
      </c>
      <c r="D794" t="s">
        <v>1603</v>
      </c>
      <c r="E794" t="s">
        <v>1908</v>
      </c>
      <c r="F794">
        <v>1</v>
      </c>
      <c r="G794" s="10">
        <v>512.16</v>
      </c>
      <c r="H794" s="13">
        <v>0.02</v>
      </c>
      <c r="I794" t="s">
        <v>1936</v>
      </c>
      <c r="J794" s="16">
        <v>501.91680000000002</v>
      </c>
      <c r="K794" s="19">
        <f t="shared" si="60"/>
        <v>1291449.4531999996</v>
      </c>
      <c r="L794" s="22">
        <f t="shared" si="61"/>
        <v>1069.0806731788077</v>
      </c>
      <c r="M794" s="22">
        <f t="shared" si="62"/>
        <v>413</v>
      </c>
      <c r="N794" s="22" t="str">
        <f t="shared" si="63"/>
        <v>Low Value</v>
      </c>
      <c r="O794" s="22" t="str">
        <f t="shared" si="64"/>
        <v>Aug-2025</v>
      </c>
      <c r="P794" s="22" t="s">
        <v>1604</v>
      </c>
      <c r="Q794" s="22" t="s">
        <v>1569</v>
      </c>
      <c r="R794" s="22" t="s">
        <v>1434</v>
      </c>
      <c r="S794" s="22"/>
      <c r="T794" s="22"/>
      <c r="V794" s="26" t="s">
        <v>1931</v>
      </c>
      <c r="W794" s="6">
        <v>3</v>
      </c>
    </row>
    <row r="795" spans="1:23">
      <c r="A795" t="s">
        <v>2732</v>
      </c>
      <c r="B795" s="8">
        <v>45577</v>
      </c>
      <c r="C795" t="s">
        <v>676</v>
      </c>
      <c r="D795" t="s">
        <v>1675</v>
      </c>
      <c r="E795" t="s">
        <v>1917</v>
      </c>
      <c r="F795">
        <v>2</v>
      </c>
      <c r="G795" s="10">
        <v>602.54999999999995</v>
      </c>
      <c r="H795" s="13">
        <v>0.23</v>
      </c>
      <c r="I795" t="s">
        <v>1936</v>
      </c>
      <c r="J795" s="16">
        <v>927.92699999999991</v>
      </c>
      <c r="K795" s="19">
        <f t="shared" si="60"/>
        <v>1290947.5363999994</v>
      </c>
      <c r="L795" s="22">
        <f t="shared" si="61"/>
        <v>1069.5505686826839</v>
      </c>
      <c r="M795" s="22">
        <f t="shared" si="62"/>
        <v>413</v>
      </c>
      <c r="N795" s="22" t="str">
        <f t="shared" si="63"/>
        <v>Low Value</v>
      </c>
      <c r="O795" s="22" t="str">
        <f t="shared" si="64"/>
        <v>Oct-2024</v>
      </c>
      <c r="P795" s="22" t="s">
        <v>1676</v>
      </c>
      <c r="Q795" s="22" t="s">
        <v>1569</v>
      </c>
      <c r="R795" s="22" t="s">
        <v>677</v>
      </c>
      <c r="S795" s="22"/>
      <c r="T795" s="22"/>
      <c r="V795" s="26" t="s">
        <v>1933</v>
      </c>
      <c r="W795" s="6">
        <v>5</v>
      </c>
    </row>
    <row r="796" spans="1:23">
      <c r="A796" t="s">
        <v>2733</v>
      </c>
      <c r="B796" s="8">
        <v>45745</v>
      </c>
      <c r="C796" t="s">
        <v>545</v>
      </c>
      <c r="D796" t="s">
        <v>1678</v>
      </c>
      <c r="E796" t="s">
        <v>1859</v>
      </c>
      <c r="F796">
        <v>3</v>
      </c>
      <c r="G796" s="10">
        <v>846.19</v>
      </c>
      <c r="H796" s="13">
        <v>0.09</v>
      </c>
      <c r="I796" t="s">
        <v>1936</v>
      </c>
      <c r="J796" s="16">
        <v>2310.0987</v>
      </c>
      <c r="K796" s="19">
        <f t="shared" si="60"/>
        <v>1290019.6093999995</v>
      </c>
      <c r="L796" s="22">
        <f t="shared" si="61"/>
        <v>1069.6680011608619</v>
      </c>
      <c r="M796" s="22">
        <f t="shared" si="62"/>
        <v>413</v>
      </c>
      <c r="N796" s="22" t="str">
        <f t="shared" si="63"/>
        <v>High Value</v>
      </c>
      <c r="O796" s="22" t="str">
        <f t="shared" si="64"/>
        <v>Mar-2025</v>
      </c>
      <c r="P796" s="22" t="s">
        <v>1679</v>
      </c>
      <c r="Q796" s="22" t="s">
        <v>1531</v>
      </c>
      <c r="R796" s="22" t="s">
        <v>546</v>
      </c>
      <c r="S796" s="22"/>
      <c r="T796" s="22"/>
      <c r="V796" s="25" t="s">
        <v>1329</v>
      </c>
      <c r="W796" s="6">
        <v>4</v>
      </c>
    </row>
    <row r="797" spans="1:23">
      <c r="A797" t="s">
        <v>2734</v>
      </c>
      <c r="B797" s="8">
        <v>45772</v>
      </c>
      <c r="C797" t="s">
        <v>1022</v>
      </c>
      <c r="D797" t="s">
        <v>1762</v>
      </c>
      <c r="E797" t="s">
        <v>1889</v>
      </c>
      <c r="F797">
        <v>1</v>
      </c>
      <c r="G797" s="10">
        <v>506.73</v>
      </c>
      <c r="H797" s="13">
        <v>0.28999999999999998</v>
      </c>
      <c r="I797" t="s">
        <v>1931</v>
      </c>
      <c r="J797" s="16">
        <v>359.7783</v>
      </c>
      <c r="K797" s="19">
        <f t="shared" si="60"/>
        <v>1287709.5106999995</v>
      </c>
      <c r="L797" s="22">
        <f t="shared" si="61"/>
        <v>1068.638598091286</v>
      </c>
      <c r="M797" s="22">
        <f t="shared" si="62"/>
        <v>413</v>
      </c>
      <c r="N797" s="22" t="str">
        <f t="shared" si="63"/>
        <v>Low Value</v>
      </c>
      <c r="O797" s="22" t="str">
        <f t="shared" si="64"/>
        <v>Apr-2025</v>
      </c>
      <c r="P797" s="22" t="s">
        <v>1763</v>
      </c>
      <c r="Q797" s="22" t="s">
        <v>1536</v>
      </c>
      <c r="R797" s="22" t="s">
        <v>1023</v>
      </c>
      <c r="S797" s="22"/>
      <c r="T797" s="22"/>
      <c r="V797" s="26" t="s">
        <v>1936</v>
      </c>
      <c r="W797" s="6">
        <v>2</v>
      </c>
    </row>
    <row r="798" spans="1:23">
      <c r="A798" t="s">
        <v>2735</v>
      </c>
      <c r="B798" s="8">
        <v>45299</v>
      </c>
      <c r="C798" t="s">
        <v>195</v>
      </c>
      <c r="D798" t="s">
        <v>1707</v>
      </c>
      <c r="E798" t="s">
        <v>1911</v>
      </c>
      <c r="F798">
        <v>1</v>
      </c>
      <c r="G798" s="10">
        <v>408.66</v>
      </c>
      <c r="H798" s="13">
        <v>0.13</v>
      </c>
      <c r="I798" t="s">
        <v>1936</v>
      </c>
      <c r="J798" s="16">
        <v>355.5342</v>
      </c>
      <c r="K798" s="19">
        <f t="shared" si="60"/>
        <v>1287349.7323999994</v>
      </c>
      <c r="L798" s="22">
        <f t="shared" si="61"/>
        <v>1069.2273524916939</v>
      </c>
      <c r="M798" s="22">
        <f t="shared" si="62"/>
        <v>413</v>
      </c>
      <c r="N798" s="22" t="str">
        <f t="shared" si="63"/>
        <v>Low Value</v>
      </c>
      <c r="O798" s="22" t="str">
        <f t="shared" si="64"/>
        <v>Jan-2024</v>
      </c>
      <c r="P798" s="22" t="s">
        <v>1708</v>
      </c>
      <c r="Q798" s="22" t="s">
        <v>1531</v>
      </c>
      <c r="R798" s="22" t="s">
        <v>196</v>
      </c>
      <c r="S798" s="22"/>
      <c r="T798" s="22"/>
      <c r="V798" s="26" t="s">
        <v>1931</v>
      </c>
      <c r="W798" s="6">
        <v>2</v>
      </c>
    </row>
    <row r="799" spans="1:23">
      <c r="A799" t="s">
        <v>2736</v>
      </c>
      <c r="B799" s="8">
        <v>45447</v>
      </c>
      <c r="C799" t="s">
        <v>382</v>
      </c>
      <c r="D799" t="s">
        <v>1563</v>
      </c>
      <c r="E799" t="s">
        <v>1914</v>
      </c>
      <c r="F799">
        <v>3</v>
      </c>
      <c r="G799" s="10">
        <v>170.48</v>
      </c>
      <c r="H799" s="13">
        <v>0.06</v>
      </c>
      <c r="I799" t="s">
        <v>1936</v>
      </c>
      <c r="J799" s="16">
        <v>480.75359999999989</v>
      </c>
      <c r="K799" s="19">
        <f t="shared" si="60"/>
        <v>1286994.1981999995</v>
      </c>
      <c r="L799" s="22">
        <f t="shared" si="61"/>
        <v>1069.8206136325848</v>
      </c>
      <c r="M799" s="22">
        <f t="shared" si="62"/>
        <v>413</v>
      </c>
      <c r="N799" s="22" t="str">
        <f t="shared" si="63"/>
        <v>Low Value</v>
      </c>
      <c r="O799" s="22" t="str">
        <f t="shared" si="64"/>
        <v>Jun-2024</v>
      </c>
      <c r="P799" s="22" t="s">
        <v>1564</v>
      </c>
      <c r="Q799" s="22" t="s">
        <v>1531</v>
      </c>
      <c r="R799" s="22" t="s">
        <v>383</v>
      </c>
      <c r="S799" s="22"/>
      <c r="T799" s="22"/>
      <c r="V799" s="25" t="s">
        <v>757</v>
      </c>
      <c r="W799" s="6">
        <v>8</v>
      </c>
    </row>
    <row r="800" spans="1:23">
      <c r="A800" t="s">
        <v>2737</v>
      </c>
      <c r="B800" s="8">
        <v>45717</v>
      </c>
      <c r="C800" t="s">
        <v>342</v>
      </c>
      <c r="D800" t="s">
        <v>1600</v>
      </c>
      <c r="E800" t="s">
        <v>1893</v>
      </c>
      <c r="F800">
        <v>1</v>
      </c>
      <c r="G800" s="10">
        <v>423.48</v>
      </c>
      <c r="H800" s="13">
        <v>0.18</v>
      </c>
      <c r="I800" t="s">
        <v>1933</v>
      </c>
      <c r="J800" s="16">
        <v>347.25360000000012</v>
      </c>
      <c r="K800" s="19">
        <f t="shared" si="60"/>
        <v>1286513.4445999993</v>
      </c>
      <c r="L800" s="22">
        <f t="shared" si="61"/>
        <v>1070.310686023294</v>
      </c>
      <c r="M800" s="22">
        <f t="shared" si="62"/>
        <v>413</v>
      </c>
      <c r="N800" s="22" t="str">
        <f t="shared" si="63"/>
        <v>Low Value</v>
      </c>
      <c r="O800" s="22" t="str">
        <f t="shared" si="64"/>
        <v>Mar-2025</v>
      </c>
      <c r="P800" s="22" t="s">
        <v>1601</v>
      </c>
      <c r="Q800" s="22" t="s">
        <v>1536</v>
      </c>
      <c r="R800" s="22" t="s">
        <v>343</v>
      </c>
      <c r="S800" s="22"/>
      <c r="T800" s="22"/>
      <c r="V800" s="26" t="s">
        <v>1936</v>
      </c>
      <c r="W800" s="6">
        <v>2</v>
      </c>
    </row>
    <row r="801" spans="1:23">
      <c r="A801" t="s">
        <v>2738</v>
      </c>
      <c r="B801" s="8">
        <v>45213</v>
      </c>
      <c r="C801" t="s">
        <v>756</v>
      </c>
      <c r="D801" t="s">
        <v>1831</v>
      </c>
      <c r="E801" t="s">
        <v>1899</v>
      </c>
      <c r="F801">
        <v>4</v>
      </c>
      <c r="G801" s="10">
        <v>23.57</v>
      </c>
      <c r="H801" s="13">
        <v>0.1</v>
      </c>
      <c r="I801" t="s">
        <v>1931</v>
      </c>
      <c r="J801" s="16">
        <v>84.852000000000004</v>
      </c>
      <c r="K801" s="19">
        <f t="shared" si="60"/>
        <v>1286166.1909999994</v>
      </c>
      <c r="L801" s="22">
        <f t="shared" si="61"/>
        <v>1070.9127318900912</v>
      </c>
      <c r="M801" s="22">
        <f t="shared" si="62"/>
        <v>412</v>
      </c>
      <c r="N801" s="22" t="str">
        <f t="shared" si="63"/>
        <v>Low Value</v>
      </c>
      <c r="O801" s="22" t="str">
        <f t="shared" si="64"/>
        <v>Oct-2023</v>
      </c>
      <c r="P801" s="22" t="s">
        <v>1832</v>
      </c>
      <c r="Q801" s="22" t="s">
        <v>1560</v>
      </c>
      <c r="R801" s="22" t="s">
        <v>757</v>
      </c>
      <c r="S801" s="22"/>
      <c r="T801" s="22"/>
      <c r="V801" s="26" t="s">
        <v>1931</v>
      </c>
      <c r="W801" s="6">
        <v>6</v>
      </c>
    </row>
    <row r="802" spans="1:23">
      <c r="A802" t="s">
        <v>2739</v>
      </c>
      <c r="B802" s="8">
        <v>45837</v>
      </c>
      <c r="C802" t="s">
        <v>1184</v>
      </c>
      <c r="D802" t="s">
        <v>1678</v>
      </c>
      <c r="E802" t="s">
        <v>1917</v>
      </c>
      <c r="F802">
        <v>2</v>
      </c>
      <c r="G802" s="10">
        <v>953.26</v>
      </c>
      <c r="H802" s="13">
        <v>0.1</v>
      </c>
      <c r="I802" t="s">
        <v>1936</v>
      </c>
      <c r="J802" s="16">
        <v>1715.8679999999999</v>
      </c>
      <c r="K802" s="19">
        <f t="shared" si="60"/>
        <v>1286081.3389999995</v>
      </c>
      <c r="L802" s="22">
        <f t="shared" si="61"/>
        <v>1071.7344491666663</v>
      </c>
      <c r="M802" s="22">
        <f t="shared" si="62"/>
        <v>412</v>
      </c>
      <c r="N802" s="22" t="str">
        <f t="shared" si="63"/>
        <v>High Value</v>
      </c>
      <c r="O802" s="22" t="str">
        <f t="shared" si="64"/>
        <v>Jun-2025</v>
      </c>
      <c r="P802" s="22" t="s">
        <v>1679</v>
      </c>
      <c r="Q802" s="22" t="s">
        <v>1531</v>
      </c>
      <c r="R802" s="22" t="s">
        <v>1185</v>
      </c>
      <c r="S802" s="22"/>
      <c r="T802" s="22"/>
      <c r="V802" s="25" t="s">
        <v>101</v>
      </c>
      <c r="W802" s="6">
        <v>14</v>
      </c>
    </row>
    <row r="803" spans="1:23">
      <c r="A803" t="s">
        <v>2740</v>
      </c>
      <c r="B803" s="8">
        <v>45277</v>
      </c>
      <c r="C803" t="s">
        <v>1085</v>
      </c>
      <c r="D803" t="s">
        <v>1774</v>
      </c>
      <c r="E803" t="s">
        <v>1886</v>
      </c>
      <c r="F803">
        <v>3</v>
      </c>
      <c r="G803" s="10">
        <v>405.13</v>
      </c>
      <c r="H803" s="13">
        <v>0.14000000000000001</v>
      </c>
      <c r="I803" t="s">
        <v>1936</v>
      </c>
      <c r="J803" s="16">
        <v>1045.2354</v>
      </c>
      <c r="K803" s="19">
        <f t="shared" si="60"/>
        <v>1284365.4709999994</v>
      </c>
      <c r="L803" s="22">
        <f t="shared" si="61"/>
        <v>1071.1972235195992</v>
      </c>
      <c r="M803" s="22">
        <f t="shared" si="62"/>
        <v>412</v>
      </c>
      <c r="N803" s="22" t="str">
        <f t="shared" si="63"/>
        <v>High Value</v>
      </c>
      <c r="O803" s="22" t="str">
        <f t="shared" si="64"/>
        <v>Dec-2023</v>
      </c>
      <c r="P803" s="22" t="s">
        <v>1775</v>
      </c>
      <c r="Q803" s="22" t="s">
        <v>1569</v>
      </c>
      <c r="R803" s="22" t="s">
        <v>3954</v>
      </c>
      <c r="S803" s="22"/>
      <c r="T803" s="22"/>
      <c r="V803" s="26" t="s">
        <v>1936</v>
      </c>
      <c r="W803" s="6">
        <v>2</v>
      </c>
    </row>
    <row r="804" spans="1:23">
      <c r="A804" t="s">
        <v>2741</v>
      </c>
      <c r="B804" s="8">
        <v>45248</v>
      </c>
      <c r="C804" t="s">
        <v>1061</v>
      </c>
      <c r="D804" t="s">
        <v>1539</v>
      </c>
      <c r="E804" t="s">
        <v>1876</v>
      </c>
      <c r="F804">
        <v>2</v>
      </c>
      <c r="G804" s="10">
        <v>333.83</v>
      </c>
      <c r="H804" s="13">
        <v>0.26</v>
      </c>
      <c r="I804" t="s">
        <v>1933</v>
      </c>
      <c r="J804" s="16">
        <v>494.0684</v>
      </c>
      <c r="K804" s="19">
        <f t="shared" si="60"/>
        <v>1283320.2355999993</v>
      </c>
      <c r="L804" s="22">
        <f t="shared" si="61"/>
        <v>1071.2188944908175</v>
      </c>
      <c r="M804" s="22">
        <f t="shared" si="62"/>
        <v>412</v>
      </c>
      <c r="N804" s="22" t="str">
        <f t="shared" si="63"/>
        <v>Low Value</v>
      </c>
      <c r="O804" s="22" t="str">
        <f t="shared" si="64"/>
        <v>Nov-2023</v>
      </c>
      <c r="P804" s="22" t="s">
        <v>1540</v>
      </c>
      <c r="Q804" s="22" t="s">
        <v>1536</v>
      </c>
      <c r="R804" s="22" t="s">
        <v>1062</v>
      </c>
      <c r="S804" s="22"/>
      <c r="T804" s="22"/>
      <c r="V804" s="26" t="s">
        <v>1931</v>
      </c>
      <c r="W804" s="6">
        <v>2</v>
      </c>
    </row>
    <row r="805" spans="1:23">
      <c r="A805" t="s">
        <v>2742</v>
      </c>
      <c r="B805" s="8">
        <v>45741</v>
      </c>
      <c r="C805" t="s">
        <v>1043</v>
      </c>
      <c r="D805" t="s">
        <v>1828</v>
      </c>
      <c r="E805" t="s">
        <v>1873</v>
      </c>
      <c r="F805">
        <v>2</v>
      </c>
      <c r="G805" s="10">
        <v>727.18</v>
      </c>
      <c r="H805" s="13">
        <v>0.22</v>
      </c>
      <c r="I805" t="s">
        <v>1933</v>
      </c>
      <c r="J805" s="16">
        <v>1134.4007999999999</v>
      </c>
      <c r="K805" s="19">
        <f t="shared" si="60"/>
        <v>1282826.1671999993</v>
      </c>
      <c r="L805" s="22">
        <f t="shared" si="61"/>
        <v>1071.701058646616</v>
      </c>
      <c r="M805" s="22">
        <f t="shared" si="62"/>
        <v>411</v>
      </c>
      <c r="N805" s="22" t="str">
        <f t="shared" si="63"/>
        <v>High Value</v>
      </c>
      <c r="O805" s="22" t="str">
        <f t="shared" si="64"/>
        <v>Mar-2025</v>
      </c>
      <c r="P805" s="22" t="s">
        <v>1829</v>
      </c>
      <c r="Q805" s="22" t="s">
        <v>1536</v>
      </c>
      <c r="R805" s="22" t="s">
        <v>1044</v>
      </c>
      <c r="S805" s="22"/>
      <c r="T805" s="22"/>
      <c r="V805" s="26" t="s">
        <v>1933</v>
      </c>
      <c r="W805" s="6">
        <v>10</v>
      </c>
    </row>
    <row r="806" spans="1:23">
      <c r="A806" t="s">
        <v>2743</v>
      </c>
      <c r="B806" s="8">
        <v>45778</v>
      </c>
      <c r="C806" t="s">
        <v>963</v>
      </c>
      <c r="D806" t="s">
        <v>1549</v>
      </c>
      <c r="E806" t="s">
        <v>1896</v>
      </c>
      <c r="F806">
        <v>2</v>
      </c>
      <c r="G806" s="10">
        <v>516.02</v>
      </c>
      <c r="H806" s="13">
        <v>0.19</v>
      </c>
      <c r="I806" t="s">
        <v>1936</v>
      </c>
      <c r="J806" s="16">
        <v>835.95240000000001</v>
      </c>
      <c r="K806" s="19">
        <f t="shared" si="60"/>
        <v>1281691.7663999994</v>
      </c>
      <c r="L806" s="22">
        <f t="shared" si="61"/>
        <v>1071.6486341137118</v>
      </c>
      <c r="M806" s="22">
        <f t="shared" si="62"/>
        <v>410</v>
      </c>
      <c r="N806" s="22" t="str">
        <f t="shared" si="63"/>
        <v>Low Value</v>
      </c>
      <c r="O806" s="22" t="str">
        <f t="shared" si="64"/>
        <v>May-2025</v>
      </c>
      <c r="P806" s="22" t="s">
        <v>1550</v>
      </c>
      <c r="Q806" s="22" t="s">
        <v>1536</v>
      </c>
      <c r="R806" s="22" t="s">
        <v>964</v>
      </c>
      <c r="S806" s="22"/>
      <c r="T806" s="22"/>
      <c r="V806" s="25" t="s">
        <v>3944</v>
      </c>
      <c r="W806" s="6">
        <v>5</v>
      </c>
    </row>
    <row r="807" spans="1:23">
      <c r="A807" t="s">
        <v>2744</v>
      </c>
      <c r="B807" s="8">
        <v>45361</v>
      </c>
      <c r="C807" t="s">
        <v>930</v>
      </c>
      <c r="D807" t="s">
        <v>1678</v>
      </c>
      <c r="E807" t="s">
        <v>1899</v>
      </c>
      <c r="F807">
        <v>2</v>
      </c>
      <c r="G807" s="10">
        <v>705.61</v>
      </c>
      <c r="H807" s="13">
        <v>0.28000000000000003</v>
      </c>
      <c r="I807" t="s">
        <v>1931</v>
      </c>
      <c r="J807" s="16">
        <v>1016.0784</v>
      </c>
      <c r="K807" s="19">
        <f t="shared" si="60"/>
        <v>1280855.8139999995</v>
      </c>
      <c r="L807" s="22">
        <f t="shared" si="61"/>
        <v>1071.8458694560666</v>
      </c>
      <c r="M807" s="22">
        <f t="shared" si="62"/>
        <v>410</v>
      </c>
      <c r="N807" s="22" t="str">
        <f t="shared" si="63"/>
        <v>High Value</v>
      </c>
      <c r="O807" s="22" t="str">
        <f t="shared" si="64"/>
        <v>Mar-2024</v>
      </c>
      <c r="P807" s="22" t="s">
        <v>1679</v>
      </c>
      <c r="Q807" s="22" t="s">
        <v>1531</v>
      </c>
      <c r="R807" s="22" t="s">
        <v>931</v>
      </c>
      <c r="S807" s="22"/>
      <c r="T807" s="22"/>
      <c r="V807" s="26" t="s">
        <v>1936</v>
      </c>
      <c r="W807" s="6">
        <v>3</v>
      </c>
    </row>
    <row r="808" spans="1:23">
      <c r="A808" t="s">
        <v>2745</v>
      </c>
      <c r="B808" s="8">
        <v>45414</v>
      </c>
      <c r="C808" t="s">
        <v>874</v>
      </c>
      <c r="D808" t="s">
        <v>1807</v>
      </c>
      <c r="E808" t="s">
        <v>1889</v>
      </c>
      <c r="F808">
        <v>3</v>
      </c>
      <c r="G808" s="10">
        <v>654.47</v>
      </c>
      <c r="H808" s="13">
        <v>0.18</v>
      </c>
      <c r="I808" t="s">
        <v>1936</v>
      </c>
      <c r="J808" s="16">
        <v>1609.9962</v>
      </c>
      <c r="K808" s="19">
        <f t="shared" si="60"/>
        <v>1279839.7355999995</v>
      </c>
      <c r="L808" s="22">
        <f t="shared" si="61"/>
        <v>1071.8925758793966</v>
      </c>
      <c r="M808" s="22">
        <f t="shared" si="62"/>
        <v>410</v>
      </c>
      <c r="N808" s="22" t="str">
        <f t="shared" si="63"/>
        <v>High Value</v>
      </c>
      <c r="O808" s="22" t="str">
        <f t="shared" si="64"/>
        <v>May-2024</v>
      </c>
      <c r="P808" s="22" t="s">
        <v>1808</v>
      </c>
      <c r="Q808" s="22" t="s">
        <v>1560</v>
      </c>
      <c r="R808" s="22" t="s">
        <v>875</v>
      </c>
      <c r="S808" s="22"/>
      <c r="T808" s="22"/>
      <c r="V808" s="26" t="s">
        <v>1933</v>
      </c>
      <c r="W808" s="6">
        <v>2</v>
      </c>
    </row>
    <row r="809" spans="1:23">
      <c r="A809" t="s">
        <v>2746</v>
      </c>
      <c r="B809" s="8">
        <v>45734</v>
      </c>
      <c r="C809" t="s">
        <v>565</v>
      </c>
      <c r="D809" t="s">
        <v>1819</v>
      </c>
      <c r="E809" t="s">
        <v>1908</v>
      </c>
      <c r="F809">
        <v>2</v>
      </c>
      <c r="G809" s="10">
        <v>315.27</v>
      </c>
      <c r="H809" s="13">
        <v>0.23</v>
      </c>
      <c r="I809" t="s">
        <v>1931</v>
      </c>
      <c r="J809" s="16">
        <v>485.51580000000001</v>
      </c>
      <c r="K809" s="19">
        <f t="shared" si="60"/>
        <v>1278229.7393999994</v>
      </c>
      <c r="L809" s="22">
        <f t="shared" si="61"/>
        <v>1071.4415250628663</v>
      </c>
      <c r="M809" s="22">
        <f t="shared" si="62"/>
        <v>410</v>
      </c>
      <c r="N809" s="22" t="str">
        <f t="shared" si="63"/>
        <v>Low Value</v>
      </c>
      <c r="O809" s="22" t="str">
        <f t="shared" si="64"/>
        <v>Mar-2025</v>
      </c>
      <c r="P809" s="22" t="s">
        <v>1820</v>
      </c>
      <c r="Q809" s="22" t="s">
        <v>1569</v>
      </c>
      <c r="R809" s="22" t="s">
        <v>566</v>
      </c>
      <c r="S809" s="22"/>
      <c r="T809" s="22"/>
      <c r="V809" s="25" t="s">
        <v>1468</v>
      </c>
      <c r="W809" s="6">
        <v>7</v>
      </c>
    </row>
    <row r="810" spans="1:23">
      <c r="A810" t="s">
        <v>2747</v>
      </c>
      <c r="B810" s="8">
        <v>45623</v>
      </c>
      <c r="C810" t="s">
        <v>719</v>
      </c>
      <c r="D810" t="s">
        <v>1633</v>
      </c>
      <c r="E810" t="s">
        <v>1868</v>
      </c>
      <c r="F810">
        <v>1</v>
      </c>
      <c r="G810" s="10">
        <v>974.47</v>
      </c>
      <c r="H810" s="13">
        <v>0.05</v>
      </c>
      <c r="I810" t="s">
        <v>1931</v>
      </c>
      <c r="J810" s="16">
        <v>925.74649999999997</v>
      </c>
      <c r="K810" s="19">
        <f t="shared" si="60"/>
        <v>1277744.2235999994</v>
      </c>
      <c r="L810" s="22">
        <f t="shared" si="61"/>
        <v>1071.9330734899324</v>
      </c>
      <c r="M810" s="22">
        <f t="shared" si="62"/>
        <v>410</v>
      </c>
      <c r="N810" s="22" t="str">
        <f t="shared" si="63"/>
        <v>Low Value</v>
      </c>
      <c r="O810" s="22" t="str">
        <f t="shared" si="64"/>
        <v>Nov-2024</v>
      </c>
      <c r="P810" s="22" t="s">
        <v>1634</v>
      </c>
      <c r="Q810" s="22" t="s">
        <v>1569</v>
      </c>
      <c r="R810" s="22" t="s">
        <v>720</v>
      </c>
      <c r="S810" s="22"/>
      <c r="T810" s="22"/>
      <c r="V810" s="26" t="s">
        <v>1931</v>
      </c>
      <c r="W810" s="6">
        <v>4</v>
      </c>
    </row>
    <row r="811" spans="1:23">
      <c r="A811" t="s">
        <v>2748</v>
      </c>
      <c r="B811" s="8">
        <v>45340</v>
      </c>
      <c r="C811" t="s">
        <v>244</v>
      </c>
      <c r="D811" t="s">
        <v>1539</v>
      </c>
      <c r="E811" t="s">
        <v>1876</v>
      </c>
      <c r="F811">
        <v>2</v>
      </c>
      <c r="G811" s="10">
        <v>803.3</v>
      </c>
      <c r="H811" s="13">
        <v>0.17</v>
      </c>
      <c r="I811" t="s">
        <v>1931</v>
      </c>
      <c r="J811" s="16">
        <v>1333.4780000000001</v>
      </c>
      <c r="K811" s="19">
        <f t="shared" si="60"/>
        <v>1276818.4770999996</v>
      </c>
      <c r="L811" s="22">
        <f t="shared" si="61"/>
        <v>1072.0558162048694</v>
      </c>
      <c r="M811" s="22">
        <f t="shared" si="62"/>
        <v>410</v>
      </c>
      <c r="N811" s="22" t="str">
        <f t="shared" si="63"/>
        <v>High Value</v>
      </c>
      <c r="O811" s="22" t="str">
        <f t="shared" si="64"/>
        <v>Feb-2024</v>
      </c>
      <c r="P811" s="22" t="s">
        <v>1540</v>
      </c>
      <c r="Q811" s="22" t="s">
        <v>1536</v>
      </c>
      <c r="R811" s="22" t="s">
        <v>245</v>
      </c>
      <c r="S811" s="22"/>
      <c r="T811" s="22"/>
      <c r="V811" s="26" t="s">
        <v>1933</v>
      </c>
      <c r="W811" s="6">
        <v>3</v>
      </c>
    </row>
    <row r="812" spans="1:23">
      <c r="A812" t="s">
        <v>2749</v>
      </c>
      <c r="B812" s="8">
        <v>45447</v>
      </c>
      <c r="C812" t="s">
        <v>63</v>
      </c>
      <c r="D812" t="s">
        <v>1539</v>
      </c>
      <c r="E812" t="s">
        <v>1896</v>
      </c>
      <c r="F812">
        <v>4</v>
      </c>
      <c r="G812" s="10">
        <v>863.87</v>
      </c>
      <c r="H812" s="13">
        <v>0.21</v>
      </c>
      <c r="I812" t="s">
        <v>1936</v>
      </c>
      <c r="J812" s="16">
        <v>2729.8292000000001</v>
      </c>
      <c r="K812" s="19">
        <f t="shared" si="60"/>
        <v>1275484.9990999994</v>
      </c>
      <c r="L812" s="22">
        <f t="shared" si="61"/>
        <v>1071.8361336974785</v>
      </c>
      <c r="M812" s="22">
        <f t="shared" si="62"/>
        <v>410</v>
      </c>
      <c r="N812" s="22" t="str">
        <f t="shared" si="63"/>
        <v>High Value</v>
      </c>
      <c r="O812" s="22" t="str">
        <f t="shared" si="64"/>
        <v>Jun-2024</v>
      </c>
      <c r="P812" s="22" t="s">
        <v>1540</v>
      </c>
      <c r="Q812" s="22" t="s">
        <v>1536</v>
      </c>
      <c r="R812" s="22" t="s">
        <v>64</v>
      </c>
      <c r="S812" s="22"/>
      <c r="T812" s="22"/>
      <c r="V812" s="25" t="s">
        <v>710</v>
      </c>
      <c r="W812" s="6">
        <v>29</v>
      </c>
    </row>
    <row r="813" spans="1:23">
      <c r="A813" t="s">
        <v>2750</v>
      </c>
      <c r="B813" s="8">
        <v>45513</v>
      </c>
      <c r="C813" t="s">
        <v>1436</v>
      </c>
      <c r="D813" t="s">
        <v>1795</v>
      </c>
      <c r="E813" t="s">
        <v>1917</v>
      </c>
      <c r="F813">
        <v>1</v>
      </c>
      <c r="G813" s="10">
        <v>450.11</v>
      </c>
      <c r="H813" s="13">
        <v>0.17</v>
      </c>
      <c r="I813" t="s">
        <v>1931</v>
      </c>
      <c r="J813" s="16">
        <v>373.59129999999999</v>
      </c>
      <c r="K813" s="19">
        <f t="shared" si="60"/>
        <v>1272755.1698999994</v>
      </c>
      <c r="L813" s="22">
        <f t="shared" si="61"/>
        <v>1070.4416904121106</v>
      </c>
      <c r="M813" s="22">
        <f t="shared" si="62"/>
        <v>410</v>
      </c>
      <c r="N813" s="22" t="str">
        <f t="shared" si="63"/>
        <v>Low Value</v>
      </c>
      <c r="O813" s="22" t="str">
        <f t="shared" si="64"/>
        <v>Aug-2024</v>
      </c>
      <c r="P813" s="22" t="s">
        <v>1796</v>
      </c>
      <c r="Q813" s="22" t="s">
        <v>1560</v>
      </c>
      <c r="R813" s="22" t="s">
        <v>1437</v>
      </c>
      <c r="S813" s="22"/>
      <c r="T813" s="22"/>
      <c r="V813" s="26" t="s">
        <v>1936</v>
      </c>
      <c r="W813" s="6">
        <v>6</v>
      </c>
    </row>
    <row r="814" spans="1:23">
      <c r="A814" t="s">
        <v>2751</v>
      </c>
      <c r="B814" s="8">
        <v>45486</v>
      </c>
      <c r="C814" t="s">
        <v>741</v>
      </c>
      <c r="D814" t="s">
        <v>1758</v>
      </c>
      <c r="E814" t="s">
        <v>1904</v>
      </c>
      <c r="F814">
        <v>1</v>
      </c>
      <c r="G814" s="10">
        <v>289.82</v>
      </c>
      <c r="H814" s="13">
        <v>0.18</v>
      </c>
      <c r="I814" t="s">
        <v>1936</v>
      </c>
      <c r="J814" s="16">
        <v>237.6524</v>
      </c>
      <c r="K814" s="19">
        <f t="shared" si="60"/>
        <v>1272381.5785999994</v>
      </c>
      <c r="L814" s="22">
        <f t="shared" si="61"/>
        <v>1071.0282648148143</v>
      </c>
      <c r="M814" s="22">
        <f t="shared" si="62"/>
        <v>410</v>
      </c>
      <c r="N814" s="22" t="str">
        <f t="shared" si="63"/>
        <v>Low Value</v>
      </c>
      <c r="O814" s="22" t="str">
        <f t="shared" si="64"/>
        <v>Jul-2024</v>
      </c>
      <c r="P814" s="22" t="s">
        <v>1759</v>
      </c>
      <c r="Q814" s="22" t="s">
        <v>1560</v>
      </c>
      <c r="R814" s="22" t="s">
        <v>742</v>
      </c>
      <c r="S814" s="22"/>
      <c r="T814" s="22"/>
      <c r="V814" s="26" t="s">
        <v>1931</v>
      </c>
      <c r="W814" s="6">
        <v>9</v>
      </c>
    </row>
    <row r="815" spans="1:23">
      <c r="A815" t="s">
        <v>2752</v>
      </c>
      <c r="B815" s="8">
        <v>45890</v>
      </c>
      <c r="C815" t="s">
        <v>1046</v>
      </c>
      <c r="D815" t="s">
        <v>1716</v>
      </c>
      <c r="E815" t="s">
        <v>1896</v>
      </c>
      <c r="F815">
        <v>4</v>
      </c>
      <c r="G815" s="10">
        <v>250.64</v>
      </c>
      <c r="H815" s="13">
        <v>0.1</v>
      </c>
      <c r="I815" t="s">
        <v>1933</v>
      </c>
      <c r="J815" s="16">
        <v>902.30399999999997</v>
      </c>
      <c r="K815" s="19">
        <f t="shared" si="60"/>
        <v>1272143.9261999994</v>
      </c>
      <c r="L815" s="22">
        <f t="shared" si="61"/>
        <v>1071.7303506318444</v>
      </c>
      <c r="M815" s="22">
        <f t="shared" si="62"/>
        <v>410</v>
      </c>
      <c r="N815" s="22" t="str">
        <f t="shared" si="63"/>
        <v>Low Value</v>
      </c>
      <c r="O815" s="22" t="str">
        <f t="shared" si="64"/>
        <v>Aug-2025</v>
      </c>
      <c r="P815" s="22" t="s">
        <v>1717</v>
      </c>
      <c r="Q815" s="22" t="s">
        <v>1569</v>
      </c>
      <c r="R815" s="22" t="s">
        <v>1047</v>
      </c>
      <c r="S815" s="22"/>
      <c r="T815" s="22"/>
      <c r="V815" s="26" t="s">
        <v>1933</v>
      </c>
      <c r="W815" s="6">
        <v>14</v>
      </c>
    </row>
    <row r="816" spans="1:23">
      <c r="A816" t="s">
        <v>2753</v>
      </c>
      <c r="B816" s="8">
        <v>45876</v>
      </c>
      <c r="C816" t="s">
        <v>910</v>
      </c>
      <c r="D816" t="s">
        <v>1762</v>
      </c>
      <c r="E816" t="s">
        <v>1920</v>
      </c>
      <c r="F816">
        <v>4</v>
      </c>
      <c r="G816" s="10">
        <v>373.49</v>
      </c>
      <c r="H816" s="13">
        <v>0.16</v>
      </c>
      <c r="I816" t="s">
        <v>1936</v>
      </c>
      <c r="J816" s="16">
        <v>1254.9264000000001</v>
      </c>
      <c r="K816" s="19">
        <f t="shared" si="60"/>
        <v>1271241.6221999992</v>
      </c>
      <c r="L816" s="22">
        <f t="shared" si="61"/>
        <v>1071.8732059021916</v>
      </c>
      <c r="M816" s="22">
        <f t="shared" si="62"/>
        <v>409</v>
      </c>
      <c r="N816" s="22" t="str">
        <f t="shared" si="63"/>
        <v>High Value</v>
      </c>
      <c r="O816" s="22" t="str">
        <f t="shared" si="64"/>
        <v>Aug-2025</v>
      </c>
      <c r="P816" s="22" t="s">
        <v>1763</v>
      </c>
      <c r="Q816" s="22" t="s">
        <v>1536</v>
      </c>
      <c r="R816" s="22" t="s">
        <v>911</v>
      </c>
      <c r="S816" s="22"/>
      <c r="T816" s="22"/>
      <c r="V816" s="25" t="s">
        <v>1317</v>
      </c>
      <c r="W816" s="6">
        <v>7</v>
      </c>
    </row>
    <row r="817" spans="1:23">
      <c r="A817" t="s">
        <v>2754</v>
      </c>
      <c r="B817" s="8">
        <v>45398</v>
      </c>
      <c r="C817" t="s">
        <v>241</v>
      </c>
      <c r="D817" t="s">
        <v>2033</v>
      </c>
      <c r="E817" t="s">
        <v>1893</v>
      </c>
      <c r="F817">
        <v>4</v>
      </c>
      <c r="G817" s="10">
        <v>348.91</v>
      </c>
      <c r="H817" s="13">
        <v>0.18</v>
      </c>
      <c r="I817" t="s">
        <v>1933</v>
      </c>
      <c r="J817" s="16">
        <v>1144.4248</v>
      </c>
      <c r="K817" s="19">
        <f t="shared" si="60"/>
        <v>1269986.6957999992</v>
      </c>
      <c r="L817" s="22">
        <f t="shared" si="61"/>
        <v>1071.7187306329106</v>
      </c>
      <c r="M817" s="22">
        <f t="shared" si="62"/>
        <v>409</v>
      </c>
      <c r="N817" s="22" t="str">
        <f t="shared" si="63"/>
        <v>High Value</v>
      </c>
      <c r="O817" s="22" t="str">
        <f t="shared" si="64"/>
        <v>Apr-2024</v>
      </c>
      <c r="P817" s="22" t="s">
        <v>1543</v>
      </c>
      <c r="Q817" s="22" t="s">
        <v>1536</v>
      </c>
      <c r="R817" s="22" t="s">
        <v>242</v>
      </c>
      <c r="S817" s="22"/>
      <c r="T817" s="22"/>
      <c r="V817" s="26" t="s">
        <v>1936</v>
      </c>
      <c r="W817" s="6">
        <v>3</v>
      </c>
    </row>
    <row r="818" spans="1:23">
      <c r="A818" t="s">
        <v>2755</v>
      </c>
      <c r="B818" s="8">
        <v>45390</v>
      </c>
      <c r="C818" t="s">
        <v>382</v>
      </c>
      <c r="D818" t="s">
        <v>1837</v>
      </c>
      <c r="E818" t="s">
        <v>1914</v>
      </c>
      <c r="F818">
        <v>4</v>
      </c>
      <c r="G818" s="10">
        <v>212.96</v>
      </c>
      <c r="H818" s="13">
        <v>0.17</v>
      </c>
      <c r="I818" t="s">
        <v>1931</v>
      </c>
      <c r="J818" s="16">
        <v>707.02719999999999</v>
      </c>
      <c r="K818" s="19">
        <f t="shared" si="60"/>
        <v>1268842.2709999993</v>
      </c>
      <c r="L818" s="22">
        <f t="shared" si="61"/>
        <v>1071.657323479729</v>
      </c>
      <c r="M818" s="22">
        <f t="shared" si="62"/>
        <v>408</v>
      </c>
      <c r="N818" s="22" t="str">
        <f t="shared" si="63"/>
        <v>Low Value</v>
      </c>
      <c r="O818" s="22" t="str">
        <f t="shared" si="64"/>
        <v>Apr-2024</v>
      </c>
      <c r="P818" s="22" t="s">
        <v>1838</v>
      </c>
      <c r="Q818" s="22" t="s">
        <v>1555</v>
      </c>
      <c r="R818" s="22" t="s">
        <v>383</v>
      </c>
      <c r="S818" s="22"/>
      <c r="T818" s="22"/>
      <c r="V818" s="26" t="s">
        <v>1931</v>
      </c>
      <c r="W818" s="6">
        <v>1</v>
      </c>
    </row>
    <row r="819" spans="1:23">
      <c r="A819" t="s">
        <v>2756</v>
      </c>
      <c r="B819" s="8">
        <v>45406</v>
      </c>
      <c r="C819" t="s">
        <v>623</v>
      </c>
      <c r="D819" t="s">
        <v>1630</v>
      </c>
      <c r="E819" t="s">
        <v>1920</v>
      </c>
      <c r="F819">
        <v>3</v>
      </c>
      <c r="G819" s="10">
        <v>871.34</v>
      </c>
      <c r="H819" s="13">
        <v>0.11</v>
      </c>
      <c r="I819" t="s">
        <v>1936</v>
      </c>
      <c r="J819" s="16">
        <v>2326.4778000000001</v>
      </c>
      <c r="K819" s="19">
        <f t="shared" si="60"/>
        <v>1268135.2437999991</v>
      </c>
      <c r="L819" s="22">
        <f t="shared" si="61"/>
        <v>1071.9655484361786</v>
      </c>
      <c r="M819" s="22">
        <f t="shared" si="62"/>
        <v>408</v>
      </c>
      <c r="N819" s="22" t="str">
        <f t="shared" si="63"/>
        <v>High Value</v>
      </c>
      <c r="O819" s="22" t="str">
        <f t="shared" si="64"/>
        <v>Apr-2024</v>
      </c>
      <c r="P819" s="22" t="s">
        <v>1631</v>
      </c>
      <c r="Q819" s="22" t="s">
        <v>1560</v>
      </c>
      <c r="R819" s="22" t="s">
        <v>624</v>
      </c>
      <c r="S819" s="22"/>
      <c r="T819" s="22"/>
      <c r="V819" s="26" t="s">
        <v>1933</v>
      </c>
      <c r="W819" s="6">
        <v>3</v>
      </c>
    </row>
    <row r="820" spans="1:23">
      <c r="A820" t="s">
        <v>2757</v>
      </c>
      <c r="B820" s="8">
        <v>45844</v>
      </c>
      <c r="C820" t="s">
        <v>351</v>
      </c>
      <c r="D820" t="s">
        <v>1837</v>
      </c>
      <c r="E820" t="s">
        <v>1859</v>
      </c>
      <c r="F820">
        <v>2</v>
      </c>
      <c r="G820" s="10">
        <v>698.94</v>
      </c>
      <c r="H820" s="13">
        <v>0.06</v>
      </c>
      <c r="I820" t="s">
        <v>1931</v>
      </c>
      <c r="J820" s="16">
        <v>1314.0072</v>
      </c>
      <c r="K820" s="19">
        <f t="shared" si="60"/>
        <v>1265808.7659999994</v>
      </c>
      <c r="L820" s="22">
        <f t="shared" si="61"/>
        <v>1070.9042013536373</v>
      </c>
      <c r="M820" s="22">
        <f t="shared" si="62"/>
        <v>408</v>
      </c>
      <c r="N820" s="22" t="str">
        <f t="shared" si="63"/>
        <v>High Value</v>
      </c>
      <c r="O820" s="22" t="str">
        <f t="shared" si="64"/>
        <v>Jul-2025</v>
      </c>
      <c r="P820" s="22" t="s">
        <v>1838</v>
      </c>
      <c r="Q820" s="22" t="s">
        <v>1555</v>
      </c>
      <c r="R820" s="22" t="s">
        <v>352</v>
      </c>
      <c r="S820" s="22"/>
      <c r="T820" s="22"/>
      <c r="V820" s="25" t="s">
        <v>513</v>
      </c>
      <c r="W820" s="6">
        <v>17</v>
      </c>
    </row>
    <row r="821" spans="1:23">
      <c r="A821" t="s">
        <v>2758</v>
      </c>
      <c r="B821" s="8">
        <v>45697</v>
      </c>
      <c r="C821" t="s">
        <v>993</v>
      </c>
      <c r="D821" t="s">
        <v>1777</v>
      </c>
      <c r="E821" t="s">
        <v>1859</v>
      </c>
      <c r="F821">
        <v>1</v>
      </c>
      <c r="G821" s="10">
        <v>719.94</v>
      </c>
      <c r="H821" s="13">
        <v>0.23</v>
      </c>
      <c r="I821" t="s">
        <v>1936</v>
      </c>
      <c r="J821" s="16">
        <v>554.35380000000009</v>
      </c>
      <c r="K821" s="19">
        <f t="shared" si="60"/>
        <v>1264494.758799999</v>
      </c>
      <c r="L821" s="22">
        <f t="shared" si="61"/>
        <v>1070.6983563082126</v>
      </c>
      <c r="M821" s="22">
        <f t="shared" si="62"/>
        <v>408</v>
      </c>
      <c r="N821" s="22" t="str">
        <f t="shared" si="63"/>
        <v>Low Value</v>
      </c>
      <c r="O821" s="22" t="str">
        <f t="shared" si="64"/>
        <v>Feb-2025</v>
      </c>
      <c r="P821" s="22" t="s">
        <v>1778</v>
      </c>
      <c r="Q821" s="22" t="s">
        <v>1531</v>
      </c>
      <c r="R821" s="22" t="s">
        <v>994</v>
      </c>
      <c r="S821" s="22"/>
      <c r="T821" s="22"/>
      <c r="V821" s="26" t="s">
        <v>1936</v>
      </c>
      <c r="W821" s="6">
        <v>13</v>
      </c>
    </row>
    <row r="822" spans="1:23">
      <c r="A822" t="s">
        <v>2759</v>
      </c>
      <c r="B822" s="8">
        <v>45607</v>
      </c>
      <c r="C822" t="s">
        <v>35</v>
      </c>
      <c r="D822" t="s">
        <v>1633</v>
      </c>
      <c r="E822" t="s">
        <v>1876</v>
      </c>
      <c r="F822">
        <v>2</v>
      </c>
      <c r="G822" s="10">
        <v>278.16000000000003</v>
      </c>
      <c r="H822" s="13">
        <v>0.22</v>
      </c>
      <c r="I822" t="s">
        <v>1933</v>
      </c>
      <c r="J822" s="16">
        <v>433.92960000000011</v>
      </c>
      <c r="K822" s="19">
        <f t="shared" si="60"/>
        <v>1263940.4049999991</v>
      </c>
      <c r="L822" s="22">
        <f t="shared" si="61"/>
        <v>1071.1359364406771</v>
      </c>
      <c r="M822" s="22">
        <f t="shared" si="62"/>
        <v>408</v>
      </c>
      <c r="N822" s="22" t="str">
        <f t="shared" si="63"/>
        <v>Low Value</v>
      </c>
      <c r="O822" s="22" t="str">
        <f t="shared" si="64"/>
        <v>Nov-2024</v>
      </c>
      <c r="P822" s="22" t="s">
        <v>1634</v>
      </c>
      <c r="Q822" s="22" t="s">
        <v>1569</v>
      </c>
      <c r="R822" s="22" t="s">
        <v>36</v>
      </c>
      <c r="S822" s="22"/>
      <c r="T822" s="22"/>
      <c r="V822" s="26" t="s">
        <v>1931</v>
      </c>
      <c r="W822" s="6">
        <v>4</v>
      </c>
    </row>
    <row r="823" spans="1:23">
      <c r="A823" t="s">
        <v>2760</v>
      </c>
      <c r="B823" s="8">
        <v>45307</v>
      </c>
      <c r="C823" t="s">
        <v>199</v>
      </c>
      <c r="D823" t="s">
        <v>1700</v>
      </c>
      <c r="E823" t="s">
        <v>1880</v>
      </c>
      <c r="F823">
        <v>1</v>
      </c>
      <c r="G823" s="10">
        <v>678.9</v>
      </c>
      <c r="H823" s="13">
        <v>0.17</v>
      </c>
      <c r="I823" t="s">
        <v>1931</v>
      </c>
      <c r="J823" s="16">
        <v>563.48699999999997</v>
      </c>
      <c r="K823" s="19">
        <f t="shared" si="60"/>
        <v>1263506.4753999989</v>
      </c>
      <c r="L823" s="22">
        <f t="shared" si="61"/>
        <v>1071.6763998303638</v>
      </c>
      <c r="M823" s="22">
        <f t="shared" si="62"/>
        <v>407</v>
      </c>
      <c r="N823" s="22" t="str">
        <f t="shared" si="63"/>
        <v>Low Value</v>
      </c>
      <c r="O823" s="22" t="str">
        <f t="shared" si="64"/>
        <v>Jan-2024</v>
      </c>
      <c r="P823" s="22" t="s">
        <v>1701</v>
      </c>
      <c r="Q823" s="22" t="s">
        <v>1555</v>
      </c>
      <c r="R823" s="22" t="s">
        <v>200</v>
      </c>
      <c r="S823" s="22"/>
      <c r="T823" s="22"/>
      <c r="V823" s="25" t="s">
        <v>543</v>
      </c>
      <c r="W823" s="6">
        <v>16</v>
      </c>
    </row>
    <row r="824" spans="1:23">
      <c r="A824" t="s">
        <v>2761</v>
      </c>
      <c r="B824" s="8">
        <v>45520</v>
      </c>
      <c r="C824" t="s">
        <v>71</v>
      </c>
      <c r="D824" t="s">
        <v>1624</v>
      </c>
      <c r="E824" t="s">
        <v>1908</v>
      </c>
      <c r="F824">
        <v>4</v>
      </c>
      <c r="G824" s="10">
        <v>94.13</v>
      </c>
      <c r="H824" s="13">
        <v>0.15</v>
      </c>
      <c r="I824" t="s">
        <v>1931</v>
      </c>
      <c r="J824" s="16">
        <v>320.04199999999997</v>
      </c>
      <c r="K824" s="19">
        <f t="shared" si="60"/>
        <v>1262942.988399999</v>
      </c>
      <c r="L824" s="22">
        <f t="shared" si="61"/>
        <v>1072.1077999999991</v>
      </c>
      <c r="M824" s="22">
        <f t="shared" si="62"/>
        <v>407</v>
      </c>
      <c r="N824" s="22" t="str">
        <f t="shared" si="63"/>
        <v>Low Value</v>
      </c>
      <c r="O824" s="22" t="str">
        <f t="shared" si="64"/>
        <v>Aug-2024</v>
      </c>
      <c r="P824" s="22" t="s">
        <v>1625</v>
      </c>
      <c r="Q824" s="22" t="s">
        <v>1536</v>
      </c>
      <c r="R824" s="22" t="s">
        <v>72</v>
      </c>
      <c r="S824" s="22"/>
      <c r="T824" s="22"/>
      <c r="V824" s="26" t="s">
        <v>1931</v>
      </c>
      <c r="W824" s="6">
        <v>10</v>
      </c>
    </row>
    <row r="825" spans="1:23">
      <c r="A825" t="s">
        <v>2762</v>
      </c>
      <c r="B825" s="8">
        <v>45933</v>
      </c>
      <c r="C825" t="s">
        <v>1356</v>
      </c>
      <c r="D825" t="s">
        <v>1684</v>
      </c>
      <c r="E825" t="s">
        <v>1864</v>
      </c>
      <c r="F825">
        <v>4</v>
      </c>
      <c r="G825" s="10">
        <v>415.02</v>
      </c>
      <c r="H825" s="13">
        <v>0.01</v>
      </c>
      <c r="I825" t="s">
        <v>1933</v>
      </c>
      <c r="J825" s="16">
        <v>1643.4792</v>
      </c>
      <c r="K825" s="19">
        <f t="shared" si="60"/>
        <v>1262622.9463999991</v>
      </c>
      <c r="L825" s="22">
        <f t="shared" si="61"/>
        <v>1072.7467683942218</v>
      </c>
      <c r="M825" s="22">
        <f t="shared" si="62"/>
        <v>407</v>
      </c>
      <c r="N825" s="22" t="str">
        <f t="shared" si="63"/>
        <v>High Value</v>
      </c>
      <c r="O825" s="22" t="str">
        <f t="shared" si="64"/>
        <v>Oct-2025</v>
      </c>
      <c r="P825" s="22" t="s">
        <v>1685</v>
      </c>
      <c r="Q825" s="22" t="s">
        <v>1569</v>
      </c>
      <c r="R825" s="22" t="s">
        <v>1357</v>
      </c>
      <c r="S825" s="22"/>
      <c r="T825" s="22"/>
      <c r="V825" s="26" t="s">
        <v>1933</v>
      </c>
      <c r="W825" s="6">
        <v>6</v>
      </c>
    </row>
    <row r="826" spans="1:23">
      <c r="A826" t="s">
        <v>2763</v>
      </c>
      <c r="B826" s="8">
        <v>45841</v>
      </c>
      <c r="C826" t="s">
        <v>192</v>
      </c>
      <c r="D826" t="s">
        <v>1576</v>
      </c>
      <c r="E826" t="s">
        <v>1876</v>
      </c>
      <c r="F826">
        <v>4</v>
      </c>
      <c r="G826" s="10">
        <v>780.07</v>
      </c>
      <c r="H826" s="13">
        <v>0.03</v>
      </c>
      <c r="I826" t="s">
        <v>1931</v>
      </c>
      <c r="J826" s="16">
        <v>3026.6716000000001</v>
      </c>
      <c r="K826" s="19">
        <f t="shared" si="60"/>
        <v>1260979.4671999994</v>
      </c>
      <c r="L826" s="22">
        <f t="shared" si="61"/>
        <v>1072.2614517006798</v>
      </c>
      <c r="M826" s="22">
        <f t="shared" si="62"/>
        <v>406</v>
      </c>
      <c r="N826" s="22" t="str">
        <f t="shared" si="63"/>
        <v>High Value</v>
      </c>
      <c r="O826" s="22" t="str">
        <f t="shared" si="64"/>
        <v>Jul-2025</v>
      </c>
      <c r="P826" s="22" t="s">
        <v>1577</v>
      </c>
      <c r="Q826" s="22" t="s">
        <v>1531</v>
      </c>
      <c r="R826" s="22" t="s">
        <v>193</v>
      </c>
      <c r="S826" s="22"/>
      <c r="T826" s="22"/>
      <c r="V826" s="25" t="s">
        <v>1260</v>
      </c>
      <c r="W826" s="6">
        <v>6</v>
      </c>
    </row>
    <row r="827" spans="1:23">
      <c r="A827" t="s">
        <v>2764</v>
      </c>
      <c r="B827" s="8">
        <v>45877</v>
      </c>
      <c r="C827" t="s">
        <v>1319</v>
      </c>
      <c r="D827" t="s">
        <v>1661</v>
      </c>
      <c r="E827" t="s">
        <v>1908</v>
      </c>
      <c r="F827">
        <v>4</v>
      </c>
      <c r="G827" s="10">
        <v>184.57</v>
      </c>
      <c r="H827" s="13">
        <v>0.28000000000000003</v>
      </c>
      <c r="I827" t="s">
        <v>1931</v>
      </c>
      <c r="J827" s="16">
        <v>531.5616</v>
      </c>
      <c r="K827" s="19">
        <f t="shared" si="60"/>
        <v>1257952.7955999989</v>
      </c>
      <c r="L827" s="22">
        <f t="shared" si="61"/>
        <v>1070.5981239148928</v>
      </c>
      <c r="M827" s="22">
        <f t="shared" si="62"/>
        <v>406</v>
      </c>
      <c r="N827" s="22" t="str">
        <f t="shared" si="63"/>
        <v>Low Value</v>
      </c>
      <c r="O827" s="22" t="str">
        <f t="shared" si="64"/>
        <v>Aug-2025</v>
      </c>
      <c r="P827" s="22" t="s">
        <v>1662</v>
      </c>
      <c r="Q827" s="22" t="s">
        <v>1536</v>
      </c>
      <c r="R827" s="22" t="s">
        <v>1320</v>
      </c>
      <c r="S827" s="22"/>
      <c r="T827" s="22"/>
      <c r="V827" s="26" t="s">
        <v>1936</v>
      </c>
      <c r="W827" s="6">
        <v>3</v>
      </c>
    </row>
    <row r="828" spans="1:23">
      <c r="A828" t="s">
        <v>2765</v>
      </c>
      <c r="B828" s="8">
        <v>45532</v>
      </c>
      <c r="C828" t="s">
        <v>910</v>
      </c>
      <c r="D828" t="s">
        <v>1749</v>
      </c>
      <c r="E828" t="s">
        <v>1876</v>
      </c>
      <c r="F828">
        <v>4</v>
      </c>
      <c r="G828" s="10">
        <v>277.58</v>
      </c>
      <c r="H828" s="13">
        <v>0.22</v>
      </c>
      <c r="I828" t="s">
        <v>1933</v>
      </c>
      <c r="J828" s="16">
        <v>866.04959999999994</v>
      </c>
      <c r="K828" s="19">
        <f t="shared" si="60"/>
        <v>1257421.233999999</v>
      </c>
      <c r="L828" s="22">
        <f t="shared" si="61"/>
        <v>1071.0572691652462</v>
      </c>
      <c r="M828" s="22">
        <f t="shared" si="62"/>
        <v>406</v>
      </c>
      <c r="N828" s="22" t="str">
        <f t="shared" si="63"/>
        <v>Low Value</v>
      </c>
      <c r="O828" s="22" t="str">
        <f t="shared" si="64"/>
        <v>Aug-2024</v>
      </c>
      <c r="P828" s="22" t="s">
        <v>1750</v>
      </c>
      <c r="Q828" s="22" t="s">
        <v>1569</v>
      </c>
      <c r="R828" s="22" t="s">
        <v>911</v>
      </c>
      <c r="S828" s="22"/>
      <c r="T828" s="22"/>
      <c r="V828" s="26" t="s">
        <v>1931</v>
      </c>
      <c r="W828" s="6">
        <v>3</v>
      </c>
    </row>
    <row r="829" spans="1:23">
      <c r="A829" t="s">
        <v>2766</v>
      </c>
      <c r="B829" s="8">
        <v>45734</v>
      </c>
      <c r="C829" t="s">
        <v>364</v>
      </c>
      <c r="D829" t="s">
        <v>1642</v>
      </c>
      <c r="E829" t="s">
        <v>1873</v>
      </c>
      <c r="F829">
        <v>1</v>
      </c>
      <c r="G829" s="10">
        <v>36.799999999999997</v>
      </c>
      <c r="H829" s="13">
        <v>0.18</v>
      </c>
      <c r="I829" t="s">
        <v>1931</v>
      </c>
      <c r="J829" s="16">
        <v>30.175999999999998</v>
      </c>
      <c r="K829" s="19">
        <f t="shared" si="60"/>
        <v>1256555.184399999</v>
      </c>
      <c r="L829" s="22">
        <f t="shared" si="61"/>
        <v>1071.2320412617212</v>
      </c>
      <c r="M829" s="22">
        <f t="shared" si="62"/>
        <v>405</v>
      </c>
      <c r="N829" s="22" t="str">
        <f t="shared" si="63"/>
        <v>Low Value</v>
      </c>
      <c r="O829" s="22" t="str">
        <f t="shared" si="64"/>
        <v>Mar-2025</v>
      </c>
      <c r="P829" s="22" t="s">
        <v>1643</v>
      </c>
      <c r="Q829" s="22" t="s">
        <v>1569</v>
      </c>
      <c r="R829" s="22" t="s">
        <v>365</v>
      </c>
      <c r="S829" s="22"/>
      <c r="T829" s="22"/>
      <c r="V829" s="25" t="s">
        <v>448</v>
      </c>
      <c r="W829" s="6">
        <v>13</v>
      </c>
    </row>
    <row r="830" spans="1:23">
      <c r="A830" t="s">
        <v>2767</v>
      </c>
      <c r="B830" s="8">
        <v>45809</v>
      </c>
      <c r="C830" t="s">
        <v>1110</v>
      </c>
      <c r="D830" t="s">
        <v>1819</v>
      </c>
      <c r="E830" t="s">
        <v>1883</v>
      </c>
      <c r="F830">
        <v>1</v>
      </c>
      <c r="G830" s="10">
        <v>539.37</v>
      </c>
      <c r="H830" s="13">
        <v>0.14000000000000001</v>
      </c>
      <c r="I830" t="s">
        <v>1931</v>
      </c>
      <c r="J830" s="16">
        <v>463.85820000000001</v>
      </c>
      <c r="K830" s="19">
        <f t="shared" si="60"/>
        <v>1256525.008399999</v>
      </c>
      <c r="L830" s="22">
        <f t="shared" si="61"/>
        <v>1072.1203143344701</v>
      </c>
      <c r="M830" s="22">
        <f t="shared" si="62"/>
        <v>405</v>
      </c>
      <c r="N830" s="22" t="str">
        <f t="shared" si="63"/>
        <v>Low Value</v>
      </c>
      <c r="O830" s="22" t="str">
        <f t="shared" si="64"/>
        <v>Jun-2025</v>
      </c>
      <c r="P830" s="22" t="s">
        <v>1820</v>
      </c>
      <c r="Q830" s="22" t="s">
        <v>1569</v>
      </c>
      <c r="R830" s="22" t="s">
        <v>1111</v>
      </c>
      <c r="S830" s="22"/>
      <c r="T830" s="22"/>
      <c r="V830" s="26" t="s">
        <v>1936</v>
      </c>
      <c r="W830" s="6">
        <v>1</v>
      </c>
    </row>
    <row r="831" spans="1:23">
      <c r="A831" t="s">
        <v>2768</v>
      </c>
      <c r="B831" s="8">
        <v>45760</v>
      </c>
      <c r="C831" t="s">
        <v>316</v>
      </c>
      <c r="D831" t="s">
        <v>1607</v>
      </c>
      <c r="E831" t="s">
        <v>1917</v>
      </c>
      <c r="F831">
        <v>1</v>
      </c>
      <c r="G831" s="10">
        <v>27.83</v>
      </c>
      <c r="H831" s="13">
        <v>0.3</v>
      </c>
      <c r="I831" t="s">
        <v>1933</v>
      </c>
      <c r="J831" s="16">
        <v>19.481000000000002</v>
      </c>
      <c r="K831" s="19">
        <f t="shared" si="60"/>
        <v>1256061.1501999991</v>
      </c>
      <c r="L831" s="22">
        <f t="shared" si="61"/>
        <v>1072.6397525192135</v>
      </c>
      <c r="M831" s="22">
        <f t="shared" si="62"/>
        <v>405</v>
      </c>
      <c r="N831" s="22" t="str">
        <f t="shared" si="63"/>
        <v>Low Value</v>
      </c>
      <c r="O831" s="22" t="str">
        <f t="shared" si="64"/>
        <v>Apr-2025</v>
      </c>
      <c r="P831" s="22" t="s">
        <v>1608</v>
      </c>
      <c r="Q831" s="22" t="s">
        <v>1569</v>
      </c>
      <c r="R831" s="22" t="s">
        <v>317</v>
      </c>
      <c r="S831" s="22"/>
      <c r="T831" s="22"/>
      <c r="V831" s="26" t="s">
        <v>1931</v>
      </c>
      <c r="W831" s="6">
        <v>9</v>
      </c>
    </row>
    <row r="832" spans="1:23">
      <c r="A832" t="s">
        <v>2769</v>
      </c>
      <c r="B832" s="8">
        <v>45456</v>
      </c>
      <c r="C832" t="s">
        <v>898</v>
      </c>
      <c r="D832" t="s">
        <v>1765</v>
      </c>
      <c r="E832" t="s">
        <v>1876</v>
      </c>
      <c r="F832">
        <v>3</v>
      </c>
      <c r="G832" s="10">
        <v>698.72</v>
      </c>
      <c r="H832" s="13">
        <v>0.28000000000000003</v>
      </c>
      <c r="I832" t="s">
        <v>1936</v>
      </c>
      <c r="J832" s="16">
        <v>1509.2352000000001</v>
      </c>
      <c r="K832" s="19">
        <f t="shared" si="60"/>
        <v>1256041.6691999992</v>
      </c>
      <c r="L832" s="22">
        <f t="shared" si="61"/>
        <v>1073.5398882051275</v>
      </c>
      <c r="M832" s="22">
        <f t="shared" si="62"/>
        <v>404</v>
      </c>
      <c r="N832" s="22" t="str">
        <f t="shared" si="63"/>
        <v>High Value</v>
      </c>
      <c r="O832" s="22" t="str">
        <f t="shared" si="64"/>
        <v>Jun-2024</v>
      </c>
      <c r="P832" s="22" t="s">
        <v>1766</v>
      </c>
      <c r="Q832" s="22" t="s">
        <v>1560</v>
      </c>
      <c r="R832" s="22" t="s">
        <v>899</v>
      </c>
      <c r="S832" s="22"/>
      <c r="T832" s="22"/>
      <c r="V832" s="26" t="s">
        <v>1933</v>
      </c>
      <c r="W832" s="6">
        <v>3</v>
      </c>
    </row>
    <row r="833" spans="1:23">
      <c r="A833" t="s">
        <v>2770</v>
      </c>
      <c r="B833" s="8">
        <v>45698</v>
      </c>
      <c r="C833" t="s">
        <v>59</v>
      </c>
      <c r="D833" t="s">
        <v>1783</v>
      </c>
      <c r="E833" t="s">
        <v>1904</v>
      </c>
      <c r="F833">
        <v>4</v>
      </c>
      <c r="G833" s="10">
        <v>528.23</v>
      </c>
      <c r="H833" s="13">
        <v>0.15</v>
      </c>
      <c r="I833" t="s">
        <v>1936</v>
      </c>
      <c r="J833" s="16">
        <v>1795.982</v>
      </c>
      <c r="K833" s="19">
        <f t="shared" si="60"/>
        <v>1254532.4339999992</v>
      </c>
      <c r="L833" s="22">
        <f t="shared" si="61"/>
        <v>1073.16718049615</v>
      </c>
      <c r="M833" s="22">
        <f t="shared" si="62"/>
        <v>404</v>
      </c>
      <c r="N833" s="22" t="str">
        <f t="shared" si="63"/>
        <v>High Value</v>
      </c>
      <c r="O833" s="22" t="str">
        <f t="shared" si="64"/>
        <v>Feb-2025</v>
      </c>
      <c r="P833" s="22" t="s">
        <v>1784</v>
      </c>
      <c r="Q833" s="22" t="s">
        <v>1531</v>
      </c>
      <c r="R833" s="22" t="s">
        <v>60</v>
      </c>
      <c r="S833" s="22"/>
      <c r="T833" s="22"/>
      <c r="V833" s="25" t="s">
        <v>168</v>
      </c>
      <c r="W833" s="6">
        <v>6</v>
      </c>
    </row>
    <row r="834" spans="1:23">
      <c r="A834" t="s">
        <v>2771</v>
      </c>
      <c r="B834" s="8">
        <v>45548</v>
      </c>
      <c r="C834" t="s">
        <v>1500</v>
      </c>
      <c r="D834" t="s">
        <v>1690</v>
      </c>
      <c r="E834" t="s">
        <v>1911</v>
      </c>
      <c r="F834">
        <v>2</v>
      </c>
      <c r="G834" s="10">
        <v>780.9</v>
      </c>
      <c r="H834" s="13">
        <v>0.24</v>
      </c>
      <c r="I834" t="s">
        <v>1933</v>
      </c>
      <c r="J834" s="16">
        <v>1186.9680000000001</v>
      </c>
      <c r="K834" s="19">
        <f t="shared" ref="K834:K897" si="65">SUM(J834:J2833)</f>
        <v>1252736.4519999993</v>
      </c>
      <c r="L834" s="22">
        <f t="shared" ref="L834:L897" si="66">AVERAGE(J834:J2833)</f>
        <v>1072.5483321917802</v>
      </c>
      <c r="M834" s="22">
        <f t="shared" ref="M834:M897" si="67">COUNTIF(I834:I2833,"PayPal")</f>
        <v>404</v>
      </c>
      <c r="N834" s="22" t="str">
        <f t="shared" ref="N834:N897" si="68">IF(J834&gt;=1000,"High Value","Low Value")</f>
        <v>High Value</v>
      </c>
      <c r="O834" s="22" t="str">
        <f t="shared" ref="O834:O897" si="69">TEXT(B834,"mmm-yyyy")</f>
        <v>Sep-2024</v>
      </c>
      <c r="P834" s="22" t="s">
        <v>1691</v>
      </c>
      <c r="Q834" s="22" t="s">
        <v>1536</v>
      </c>
      <c r="R834" s="22" t="s">
        <v>1501</v>
      </c>
      <c r="S834" s="22"/>
      <c r="T834" s="22"/>
      <c r="V834" s="26" t="s">
        <v>1936</v>
      </c>
      <c r="W834" s="6">
        <v>4</v>
      </c>
    </row>
    <row r="835" spans="1:23">
      <c r="A835" t="s">
        <v>2772</v>
      </c>
      <c r="B835" s="8">
        <v>45236</v>
      </c>
      <c r="C835" t="s">
        <v>593</v>
      </c>
      <c r="D835" t="s">
        <v>1610</v>
      </c>
      <c r="E835" t="s">
        <v>1906</v>
      </c>
      <c r="F835">
        <v>1</v>
      </c>
      <c r="G835" s="10">
        <v>977.97</v>
      </c>
      <c r="H835" s="13">
        <v>0.06</v>
      </c>
      <c r="I835" t="s">
        <v>1936</v>
      </c>
      <c r="J835" s="16">
        <v>919.29179999999997</v>
      </c>
      <c r="K835" s="19">
        <f t="shared" si="65"/>
        <v>1251549.4839999995</v>
      </c>
      <c r="L835" s="22">
        <f t="shared" si="66"/>
        <v>1072.4502862039412</v>
      </c>
      <c r="M835" s="22">
        <f t="shared" si="67"/>
        <v>403</v>
      </c>
      <c r="N835" s="22" t="str">
        <f t="shared" si="68"/>
        <v>Low Value</v>
      </c>
      <c r="O835" s="22" t="str">
        <f t="shared" si="69"/>
        <v>Nov-2023</v>
      </c>
      <c r="P835" s="22" t="s">
        <v>1611</v>
      </c>
      <c r="Q835" s="22" t="s">
        <v>1560</v>
      </c>
      <c r="R835" s="22" t="s">
        <v>594</v>
      </c>
      <c r="S835" s="22"/>
      <c r="T835" s="22"/>
      <c r="V835" s="26" t="s">
        <v>1931</v>
      </c>
      <c r="W835" s="6">
        <v>2</v>
      </c>
    </row>
    <row r="836" spans="1:23">
      <c r="A836" t="s">
        <v>2773</v>
      </c>
      <c r="B836" s="8">
        <v>45310</v>
      </c>
      <c r="C836" t="s">
        <v>1148</v>
      </c>
      <c r="D836" t="s">
        <v>1804</v>
      </c>
      <c r="E836" t="s">
        <v>1901</v>
      </c>
      <c r="F836">
        <v>4</v>
      </c>
      <c r="G836" s="10">
        <v>354.65</v>
      </c>
      <c r="H836" s="13">
        <v>0.19</v>
      </c>
      <c r="I836" t="s">
        <v>1931</v>
      </c>
      <c r="J836" s="16">
        <v>1149.066</v>
      </c>
      <c r="K836" s="19">
        <f t="shared" si="65"/>
        <v>1250630.1921999995</v>
      </c>
      <c r="L836" s="22">
        <f t="shared" si="66"/>
        <v>1072.5816399656942</v>
      </c>
      <c r="M836" s="22">
        <f t="shared" si="67"/>
        <v>403</v>
      </c>
      <c r="N836" s="22" t="str">
        <f t="shared" si="68"/>
        <v>High Value</v>
      </c>
      <c r="O836" s="22" t="str">
        <f t="shared" si="69"/>
        <v>Jan-2024</v>
      </c>
      <c r="P836" s="22" t="s">
        <v>1805</v>
      </c>
      <c r="Q836" s="22" t="s">
        <v>1555</v>
      </c>
      <c r="R836" s="22" t="s">
        <v>1149</v>
      </c>
      <c r="S836" s="22"/>
      <c r="T836" s="22"/>
      <c r="V836" s="25" t="s">
        <v>1167</v>
      </c>
      <c r="W836" s="6">
        <v>8</v>
      </c>
    </row>
    <row r="837" spans="1:23">
      <c r="A837" t="s">
        <v>2774</v>
      </c>
      <c r="B837" s="8">
        <v>45376</v>
      </c>
      <c r="C837" t="s">
        <v>898</v>
      </c>
      <c r="D837" t="s">
        <v>1758</v>
      </c>
      <c r="E837" t="s">
        <v>1920</v>
      </c>
      <c r="F837">
        <v>1</v>
      </c>
      <c r="G837" s="10">
        <v>671.62</v>
      </c>
      <c r="H837" s="13">
        <v>0.09</v>
      </c>
      <c r="I837" t="s">
        <v>1936</v>
      </c>
      <c r="J837" s="16">
        <v>611.17420000000004</v>
      </c>
      <c r="K837" s="19">
        <f t="shared" si="65"/>
        <v>1249481.1261999991</v>
      </c>
      <c r="L837" s="22">
        <f t="shared" si="66"/>
        <v>1072.5159881545057</v>
      </c>
      <c r="M837" s="22">
        <f t="shared" si="67"/>
        <v>403</v>
      </c>
      <c r="N837" s="22" t="str">
        <f t="shared" si="68"/>
        <v>Low Value</v>
      </c>
      <c r="O837" s="22" t="str">
        <f t="shared" si="69"/>
        <v>Mar-2024</v>
      </c>
      <c r="P837" s="22" t="s">
        <v>1759</v>
      </c>
      <c r="Q837" s="22" t="s">
        <v>1560</v>
      </c>
      <c r="R837" s="22" t="s">
        <v>899</v>
      </c>
      <c r="S837" s="22"/>
      <c r="T837" s="22"/>
      <c r="V837" s="26" t="s">
        <v>1931</v>
      </c>
      <c r="W837" s="6">
        <v>1</v>
      </c>
    </row>
    <row r="838" spans="1:23">
      <c r="A838" t="s">
        <v>2775</v>
      </c>
      <c r="B838" s="8">
        <v>45914</v>
      </c>
      <c r="C838" t="s">
        <v>996</v>
      </c>
      <c r="D838" t="s">
        <v>1801</v>
      </c>
      <c r="E838" t="s">
        <v>1873</v>
      </c>
      <c r="F838">
        <v>1</v>
      </c>
      <c r="G838" s="10">
        <v>867.32</v>
      </c>
      <c r="H838" s="13">
        <v>0.28999999999999998</v>
      </c>
      <c r="I838" t="s">
        <v>1933</v>
      </c>
      <c r="J838" s="16">
        <v>615.79719999999998</v>
      </c>
      <c r="K838" s="19">
        <f t="shared" si="65"/>
        <v>1248869.9519999991</v>
      </c>
      <c r="L838" s="22">
        <f t="shared" si="66"/>
        <v>1072.9123298969064</v>
      </c>
      <c r="M838" s="22">
        <f t="shared" si="67"/>
        <v>403</v>
      </c>
      <c r="N838" s="22" t="str">
        <f t="shared" si="68"/>
        <v>Low Value</v>
      </c>
      <c r="O838" s="22" t="str">
        <f t="shared" si="69"/>
        <v>Sep-2025</v>
      </c>
      <c r="P838" s="22" t="s">
        <v>1802</v>
      </c>
      <c r="Q838" s="22" t="s">
        <v>1569</v>
      </c>
      <c r="R838" s="22" t="s">
        <v>997</v>
      </c>
      <c r="S838" s="22"/>
      <c r="T838" s="22"/>
      <c r="V838" s="26" t="s">
        <v>1933</v>
      </c>
      <c r="W838" s="6">
        <v>7</v>
      </c>
    </row>
    <row r="839" spans="1:23">
      <c r="A839" t="s">
        <v>2776</v>
      </c>
      <c r="B839" s="8">
        <v>45336</v>
      </c>
      <c r="C839" t="s">
        <v>292</v>
      </c>
      <c r="D839" t="s">
        <v>1572</v>
      </c>
      <c r="E839" t="s">
        <v>1901</v>
      </c>
      <c r="F839">
        <v>3</v>
      </c>
      <c r="G839" s="10">
        <v>240.27</v>
      </c>
      <c r="H839" s="13">
        <v>0.15</v>
      </c>
      <c r="I839" t="s">
        <v>1933</v>
      </c>
      <c r="J839" s="16">
        <v>612.68850000000009</v>
      </c>
      <c r="K839" s="19">
        <f t="shared" si="65"/>
        <v>1248254.1547999992</v>
      </c>
      <c r="L839" s="22">
        <f t="shared" si="66"/>
        <v>1073.3053781599306</v>
      </c>
      <c r="M839" s="22">
        <f t="shared" si="67"/>
        <v>402</v>
      </c>
      <c r="N839" s="22" t="str">
        <f t="shared" si="68"/>
        <v>Low Value</v>
      </c>
      <c r="O839" s="22" t="str">
        <f t="shared" si="69"/>
        <v>Feb-2024</v>
      </c>
      <c r="P839" s="22" t="s">
        <v>1573</v>
      </c>
      <c r="Q839" s="22" t="s">
        <v>1560</v>
      </c>
      <c r="R839" s="22" t="s">
        <v>293</v>
      </c>
      <c r="S839" s="22"/>
      <c r="T839" s="22"/>
      <c r="V839" s="25" t="s">
        <v>1452</v>
      </c>
      <c r="W839" s="6">
        <v>5</v>
      </c>
    </row>
    <row r="840" spans="1:23">
      <c r="A840" t="s">
        <v>2777</v>
      </c>
      <c r="B840" s="8">
        <v>45728</v>
      </c>
      <c r="C840" t="s">
        <v>272</v>
      </c>
      <c r="D840" t="s">
        <v>1633</v>
      </c>
      <c r="E840" t="s">
        <v>1911</v>
      </c>
      <c r="F840">
        <v>2</v>
      </c>
      <c r="G840" s="10">
        <v>619.12</v>
      </c>
      <c r="H840" s="13">
        <v>0.28000000000000003</v>
      </c>
      <c r="I840" t="s">
        <v>1936</v>
      </c>
      <c r="J840" s="16">
        <v>891.53279999999995</v>
      </c>
      <c r="K840" s="19">
        <f t="shared" si="65"/>
        <v>1247641.466299999</v>
      </c>
      <c r="L840" s="22">
        <f t="shared" si="66"/>
        <v>1073.7017782271937</v>
      </c>
      <c r="M840" s="22">
        <f t="shared" si="67"/>
        <v>401</v>
      </c>
      <c r="N840" s="22" t="str">
        <f t="shared" si="68"/>
        <v>Low Value</v>
      </c>
      <c r="O840" s="22" t="str">
        <f t="shared" si="69"/>
        <v>Mar-2025</v>
      </c>
      <c r="P840" s="22" t="s">
        <v>1634</v>
      </c>
      <c r="Q840" s="22" t="s">
        <v>1569</v>
      </c>
      <c r="R840" s="22" t="s">
        <v>273</v>
      </c>
      <c r="S840" s="22"/>
      <c r="T840" s="22"/>
      <c r="V840" s="26" t="s">
        <v>1936</v>
      </c>
      <c r="W840" s="6">
        <v>1</v>
      </c>
    </row>
    <row r="841" spans="1:23">
      <c r="A841" t="s">
        <v>2778</v>
      </c>
      <c r="B841" s="8">
        <v>45755</v>
      </c>
      <c r="C841" t="s">
        <v>691</v>
      </c>
      <c r="D841" t="s">
        <v>1816</v>
      </c>
      <c r="E841" t="s">
        <v>1859</v>
      </c>
      <c r="F841">
        <v>3</v>
      </c>
      <c r="G841" s="10">
        <v>693.42</v>
      </c>
      <c r="H841" s="13">
        <v>0.08</v>
      </c>
      <c r="I841" t="s">
        <v>1933</v>
      </c>
      <c r="J841" s="16">
        <v>1913.8391999999999</v>
      </c>
      <c r="K841" s="19">
        <f t="shared" si="65"/>
        <v>1246749.9334999993</v>
      </c>
      <c r="L841" s="22">
        <f t="shared" si="66"/>
        <v>1073.8586851851846</v>
      </c>
      <c r="M841" s="22">
        <f t="shared" si="67"/>
        <v>401</v>
      </c>
      <c r="N841" s="22" t="str">
        <f t="shared" si="68"/>
        <v>High Value</v>
      </c>
      <c r="O841" s="22" t="str">
        <f t="shared" si="69"/>
        <v>Apr-2025</v>
      </c>
      <c r="P841" s="22" t="s">
        <v>1817</v>
      </c>
      <c r="Q841" s="22" t="s">
        <v>1560</v>
      </c>
      <c r="R841" s="22" t="s">
        <v>692</v>
      </c>
      <c r="S841" s="22"/>
      <c r="T841" s="22"/>
      <c r="V841" s="26" t="s">
        <v>1933</v>
      </c>
      <c r="W841" s="6">
        <v>4</v>
      </c>
    </row>
    <row r="842" spans="1:23">
      <c r="A842" t="s">
        <v>2779</v>
      </c>
      <c r="B842" s="8">
        <v>45695</v>
      </c>
      <c r="C842" t="s">
        <v>376</v>
      </c>
      <c r="D842" t="s">
        <v>1697</v>
      </c>
      <c r="E842" t="s">
        <v>1896</v>
      </c>
      <c r="F842">
        <v>4</v>
      </c>
      <c r="G842" s="10">
        <v>751.63</v>
      </c>
      <c r="H842" s="13">
        <v>0.28000000000000003</v>
      </c>
      <c r="I842" t="s">
        <v>1936</v>
      </c>
      <c r="J842" s="16">
        <v>2164.6943999999999</v>
      </c>
      <c r="K842" s="19">
        <f t="shared" si="65"/>
        <v>1244836.0942999993</v>
      </c>
      <c r="L842" s="22">
        <f t="shared" si="66"/>
        <v>1073.1345640517236</v>
      </c>
      <c r="M842" s="22">
        <f t="shared" si="67"/>
        <v>400</v>
      </c>
      <c r="N842" s="22" t="str">
        <f t="shared" si="68"/>
        <v>High Value</v>
      </c>
      <c r="O842" s="22" t="str">
        <f t="shared" si="69"/>
        <v>Feb-2025</v>
      </c>
      <c r="P842" s="22" t="s">
        <v>1698</v>
      </c>
      <c r="Q842" s="22" t="s">
        <v>1531</v>
      </c>
      <c r="R842" s="22" t="s">
        <v>377</v>
      </c>
      <c r="S842" s="22"/>
      <c r="T842" s="22"/>
      <c r="V842" s="25" t="s">
        <v>119</v>
      </c>
      <c r="W842" s="6">
        <v>7</v>
      </c>
    </row>
    <row r="843" spans="1:23">
      <c r="A843" t="s">
        <v>2780</v>
      </c>
      <c r="B843" s="8">
        <v>45380</v>
      </c>
      <c r="C843" t="s">
        <v>382</v>
      </c>
      <c r="D843" t="s">
        <v>1642</v>
      </c>
      <c r="E843" t="s">
        <v>1908</v>
      </c>
      <c r="F843">
        <v>3</v>
      </c>
      <c r="G843" s="10">
        <v>108.14</v>
      </c>
      <c r="H843" s="13">
        <v>0.19</v>
      </c>
      <c r="I843" t="s">
        <v>1936</v>
      </c>
      <c r="J843" s="16">
        <v>262.78019999999998</v>
      </c>
      <c r="K843" s="19">
        <f t="shared" si="65"/>
        <v>1242671.3998999991</v>
      </c>
      <c r="L843" s="22">
        <f t="shared" si="66"/>
        <v>1072.192752286453</v>
      </c>
      <c r="M843" s="22">
        <f t="shared" si="67"/>
        <v>400</v>
      </c>
      <c r="N843" s="22" t="str">
        <f t="shared" si="68"/>
        <v>Low Value</v>
      </c>
      <c r="O843" s="22" t="str">
        <f t="shared" si="69"/>
        <v>Mar-2024</v>
      </c>
      <c r="P843" s="22" t="s">
        <v>1643</v>
      </c>
      <c r="Q843" s="22" t="s">
        <v>1569</v>
      </c>
      <c r="R843" s="22" t="s">
        <v>383</v>
      </c>
      <c r="S843" s="22"/>
      <c r="T843" s="22"/>
      <c r="V843" s="26" t="s">
        <v>1936</v>
      </c>
      <c r="W843" s="6">
        <v>3</v>
      </c>
    </row>
    <row r="844" spans="1:23">
      <c r="A844" t="s">
        <v>2781</v>
      </c>
      <c r="B844" s="8">
        <v>45446</v>
      </c>
      <c r="C844" t="s">
        <v>818</v>
      </c>
      <c r="D844" t="s">
        <v>1630</v>
      </c>
      <c r="E844" t="s">
        <v>1876</v>
      </c>
      <c r="F844">
        <v>1</v>
      </c>
      <c r="G844" s="10">
        <v>964.11</v>
      </c>
      <c r="H844" s="13">
        <v>0.17</v>
      </c>
      <c r="I844" t="s">
        <v>1936</v>
      </c>
      <c r="J844" s="16">
        <v>800.21129999999994</v>
      </c>
      <c r="K844" s="19">
        <f t="shared" si="65"/>
        <v>1242408.619699999</v>
      </c>
      <c r="L844" s="22">
        <f t="shared" si="66"/>
        <v>1072.8917268566486</v>
      </c>
      <c r="M844" s="22">
        <f t="shared" si="67"/>
        <v>400</v>
      </c>
      <c r="N844" s="22" t="str">
        <f t="shared" si="68"/>
        <v>Low Value</v>
      </c>
      <c r="O844" s="22" t="str">
        <f t="shared" si="69"/>
        <v>Jun-2024</v>
      </c>
      <c r="P844" s="22" t="s">
        <v>1631</v>
      </c>
      <c r="Q844" s="22" t="s">
        <v>1560</v>
      </c>
      <c r="R844" s="22" t="s">
        <v>819</v>
      </c>
      <c r="S844" s="22"/>
      <c r="T844" s="22"/>
      <c r="V844" s="26" t="s">
        <v>1933</v>
      </c>
      <c r="W844" s="6">
        <v>4</v>
      </c>
    </row>
    <row r="845" spans="1:23">
      <c r="A845" t="s">
        <v>2782</v>
      </c>
      <c r="B845" s="8">
        <v>45525</v>
      </c>
      <c r="C845" t="s">
        <v>447</v>
      </c>
      <c r="D845" t="s">
        <v>1603</v>
      </c>
      <c r="E845" t="s">
        <v>1859</v>
      </c>
      <c r="F845">
        <v>1</v>
      </c>
      <c r="G845" s="10">
        <v>346.2</v>
      </c>
      <c r="H845" s="13">
        <v>0.28999999999999998</v>
      </c>
      <c r="I845" t="s">
        <v>1931</v>
      </c>
      <c r="J845" s="16">
        <v>245.80199999999999</v>
      </c>
      <c r="K845" s="19">
        <f t="shared" si="65"/>
        <v>1241608.4083999989</v>
      </c>
      <c r="L845" s="22">
        <f t="shared" si="66"/>
        <v>1073.127405704407</v>
      </c>
      <c r="M845" s="22">
        <f t="shared" si="67"/>
        <v>400</v>
      </c>
      <c r="N845" s="22" t="str">
        <f t="shared" si="68"/>
        <v>Low Value</v>
      </c>
      <c r="O845" s="22" t="str">
        <f t="shared" si="69"/>
        <v>Aug-2024</v>
      </c>
      <c r="P845" s="22" t="s">
        <v>1604</v>
      </c>
      <c r="Q845" s="22" t="s">
        <v>1569</v>
      </c>
      <c r="R845" s="22" t="s">
        <v>448</v>
      </c>
      <c r="S845" s="22"/>
      <c r="T845" s="22"/>
      <c r="V845" s="25" t="s">
        <v>3956</v>
      </c>
      <c r="W845" s="6">
        <v>4</v>
      </c>
    </row>
    <row r="846" spans="1:23">
      <c r="A846" t="s">
        <v>2783</v>
      </c>
      <c r="B846" s="8">
        <v>45527</v>
      </c>
      <c r="C846" t="s">
        <v>1402</v>
      </c>
      <c r="D846" t="s">
        <v>1681</v>
      </c>
      <c r="E846" t="s">
        <v>1908</v>
      </c>
      <c r="F846">
        <v>3</v>
      </c>
      <c r="G846" s="10">
        <v>791.75</v>
      </c>
      <c r="H846" s="13">
        <v>0.28999999999999998</v>
      </c>
      <c r="I846" t="s">
        <v>1931</v>
      </c>
      <c r="J846" s="16">
        <v>1686.4275</v>
      </c>
      <c r="K846" s="19">
        <f t="shared" si="65"/>
        <v>1241362.606399999</v>
      </c>
      <c r="L846" s="22">
        <f t="shared" si="66"/>
        <v>1073.8430851211065</v>
      </c>
      <c r="M846" s="22">
        <f t="shared" si="67"/>
        <v>400</v>
      </c>
      <c r="N846" s="22" t="str">
        <f t="shared" si="68"/>
        <v>High Value</v>
      </c>
      <c r="O846" s="22" t="str">
        <f t="shared" si="69"/>
        <v>Aug-2024</v>
      </c>
      <c r="P846" s="22" t="s">
        <v>1682</v>
      </c>
      <c r="Q846" s="22" t="s">
        <v>1531</v>
      </c>
      <c r="R846" s="22" t="s">
        <v>1403</v>
      </c>
      <c r="S846" s="22"/>
      <c r="T846" s="22"/>
      <c r="V846" s="26" t="s">
        <v>1933</v>
      </c>
      <c r="W846" s="6">
        <v>4</v>
      </c>
    </row>
    <row r="847" spans="1:23">
      <c r="A847" t="s">
        <v>2784</v>
      </c>
      <c r="B847" s="8">
        <v>45265</v>
      </c>
      <c r="C847" t="s">
        <v>1002</v>
      </c>
      <c r="D847" t="s">
        <v>1668</v>
      </c>
      <c r="E847" t="s">
        <v>1904</v>
      </c>
      <c r="F847">
        <v>1</v>
      </c>
      <c r="G847" s="10">
        <v>529.84</v>
      </c>
      <c r="H847" s="13">
        <v>0.13</v>
      </c>
      <c r="I847" t="s">
        <v>1933</v>
      </c>
      <c r="J847" s="16">
        <v>460.96080000000001</v>
      </c>
      <c r="K847" s="19">
        <f t="shared" si="65"/>
        <v>1239676.1788999988</v>
      </c>
      <c r="L847" s="22">
        <f t="shared" si="66"/>
        <v>1073.3127090043279</v>
      </c>
      <c r="M847" s="22">
        <f t="shared" si="67"/>
        <v>400</v>
      </c>
      <c r="N847" s="22" t="str">
        <f t="shared" si="68"/>
        <v>Low Value</v>
      </c>
      <c r="O847" s="22" t="str">
        <f t="shared" si="69"/>
        <v>Dec-2023</v>
      </c>
      <c r="P847" s="22" t="s">
        <v>1669</v>
      </c>
      <c r="Q847" s="22" t="s">
        <v>1531</v>
      </c>
      <c r="R847" s="22" t="s">
        <v>1003</v>
      </c>
      <c r="S847" s="22"/>
      <c r="T847" s="22"/>
      <c r="V847" s="25" t="s">
        <v>760</v>
      </c>
      <c r="W847" s="6">
        <v>11</v>
      </c>
    </row>
    <row r="848" spans="1:23">
      <c r="A848" t="s">
        <v>2785</v>
      </c>
      <c r="B848" s="8">
        <v>45936</v>
      </c>
      <c r="C848" t="s">
        <v>1442</v>
      </c>
      <c r="D848" t="s">
        <v>1716</v>
      </c>
      <c r="E848" t="s">
        <v>1873</v>
      </c>
      <c r="F848">
        <v>3</v>
      </c>
      <c r="G848" s="10">
        <v>582.57000000000005</v>
      </c>
      <c r="H848" s="13">
        <v>0.11</v>
      </c>
      <c r="I848" t="s">
        <v>1933</v>
      </c>
      <c r="J848" s="16">
        <v>1555.4619</v>
      </c>
      <c r="K848" s="19">
        <f t="shared" si="65"/>
        <v>1239215.2180999988</v>
      </c>
      <c r="L848" s="22">
        <f t="shared" si="66"/>
        <v>1073.8433432409001</v>
      </c>
      <c r="M848" s="22">
        <f t="shared" si="67"/>
        <v>399</v>
      </c>
      <c r="N848" s="22" t="str">
        <f t="shared" si="68"/>
        <v>High Value</v>
      </c>
      <c r="O848" s="22" t="str">
        <f t="shared" si="69"/>
        <v>Oct-2025</v>
      </c>
      <c r="P848" s="22" t="s">
        <v>1717</v>
      </c>
      <c r="Q848" s="22" t="s">
        <v>1569</v>
      </c>
      <c r="R848" s="22" t="s">
        <v>1443</v>
      </c>
      <c r="S848" s="22"/>
      <c r="T848" s="22"/>
      <c r="V848" s="26" t="s">
        <v>1931</v>
      </c>
      <c r="W848" s="6">
        <v>7</v>
      </c>
    </row>
    <row r="849" spans="1:23">
      <c r="A849" t="s">
        <v>2786</v>
      </c>
      <c r="B849" s="8">
        <v>45242</v>
      </c>
      <c r="C849" t="s">
        <v>685</v>
      </c>
      <c r="D849" t="s">
        <v>1840</v>
      </c>
      <c r="E849" t="s">
        <v>1914</v>
      </c>
      <c r="F849">
        <v>1</v>
      </c>
      <c r="G849" s="10">
        <v>219.81</v>
      </c>
      <c r="H849" s="13">
        <v>0.22</v>
      </c>
      <c r="I849" t="s">
        <v>1936</v>
      </c>
      <c r="J849" s="16">
        <v>171.45179999999999</v>
      </c>
      <c r="K849" s="19">
        <f t="shared" si="65"/>
        <v>1237659.7561999988</v>
      </c>
      <c r="L849" s="22">
        <f t="shared" si="66"/>
        <v>1073.4256341717248</v>
      </c>
      <c r="M849" s="22">
        <f t="shared" si="67"/>
        <v>398</v>
      </c>
      <c r="N849" s="22" t="str">
        <f t="shared" si="68"/>
        <v>Low Value</v>
      </c>
      <c r="O849" s="22" t="str">
        <f t="shared" si="69"/>
        <v>Nov-2023</v>
      </c>
      <c r="P849" s="22" t="s">
        <v>1841</v>
      </c>
      <c r="Q849" s="22" t="s">
        <v>1569</v>
      </c>
      <c r="R849" s="22" t="s">
        <v>686</v>
      </c>
      <c r="S849" s="22"/>
      <c r="T849" s="22"/>
      <c r="V849" s="26" t="s">
        <v>1933</v>
      </c>
      <c r="W849" s="6">
        <v>4</v>
      </c>
    </row>
    <row r="850" spans="1:23">
      <c r="A850" t="s">
        <v>2787</v>
      </c>
      <c r="B850" s="8">
        <v>45437</v>
      </c>
      <c r="C850" t="s">
        <v>1514</v>
      </c>
      <c r="D850" t="s">
        <v>1765</v>
      </c>
      <c r="E850" t="s">
        <v>1917</v>
      </c>
      <c r="F850">
        <v>4</v>
      </c>
      <c r="G850" s="10">
        <v>883.31</v>
      </c>
      <c r="H850" s="13">
        <v>0.27</v>
      </c>
      <c r="I850" t="s">
        <v>1931</v>
      </c>
      <c r="J850" s="16">
        <v>2579.2651999999998</v>
      </c>
      <c r="K850" s="19">
        <f t="shared" si="65"/>
        <v>1237488.3043999986</v>
      </c>
      <c r="L850" s="22">
        <f t="shared" si="66"/>
        <v>1074.2085975694433</v>
      </c>
      <c r="M850" s="22">
        <f t="shared" si="67"/>
        <v>398</v>
      </c>
      <c r="N850" s="22" t="str">
        <f t="shared" si="68"/>
        <v>High Value</v>
      </c>
      <c r="O850" s="22" t="str">
        <f t="shared" si="69"/>
        <v>May-2024</v>
      </c>
      <c r="P850" s="22" t="s">
        <v>1766</v>
      </c>
      <c r="Q850" s="22" t="s">
        <v>1560</v>
      </c>
      <c r="R850" s="22" t="s">
        <v>1515</v>
      </c>
      <c r="S850" s="22"/>
      <c r="T850" s="22"/>
      <c r="V850" s="25" t="s">
        <v>707</v>
      </c>
      <c r="W850" s="6">
        <v>7</v>
      </c>
    </row>
    <row r="851" spans="1:23">
      <c r="A851" t="s">
        <v>2788</v>
      </c>
      <c r="B851" s="8">
        <v>45627</v>
      </c>
      <c r="C851" t="s">
        <v>753</v>
      </c>
      <c r="D851" t="s">
        <v>1597</v>
      </c>
      <c r="E851" t="s">
        <v>1906</v>
      </c>
      <c r="F851">
        <v>4</v>
      </c>
      <c r="G851" s="10">
        <v>329.06</v>
      </c>
      <c r="H851" s="13">
        <v>0.04</v>
      </c>
      <c r="I851" t="s">
        <v>1936</v>
      </c>
      <c r="J851" s="16">
        <v>1263.5904</v>
      </c>
      <c r="K851" s="19">
        <f t="shared" si="65"/>
        <v>1234909.0391999984</v>
      </c>
      <c r="L851" s="22">
        <f t="shared" si="66"/>
        <v>1072.9009897480437</v>
      </c>
      <c r="M851" s="22">
        <f t="shared" si="67"/>
        <v>398</v>
      </c>
      <c r="N851" s="22" t="str">
        <f t="shared" si="68"/>
        <v>High Value</v>
      </c>
      <c r="O851" s="22" t="str">
        <f t="shared" si="69"/>
        <v>Dec-2024</v>
      </c>
      <c r="P851" s="22" t="s">
        <v>1598</v>
      </c>
      <c r="Q851" s="22" t="s">
        <v>1569</v>
      </c>
      <c r="R851" s="22" t="s">
        <v>754</v>
      </c>
      <c r="S851" s="22"/>
      <c r="T851" s="22"/>
      <c r="V851" s="26" t="s">
        <v>1936</v>
      </c>
      <c r="W851" s="6">
        <v>4</v>
      </c>
    </row>
    <row r="852" spans="1:23">
      <c r="A852" t="s">
        <v>2789</v>
      </c>
      <c r="B852" s="8">
        <v>45678</v>
      </c>
      <c r="C852" t="s">
        <v>367</v>
      </c>
      <c r="D852" t="s">
        <v>1758</v>
      </c>
      <c r="E852" t="s">
        <v>1899</v>
      </c>
      <c r="F852">
        <v>1</v>
      </c>
      <c r="G852" s="10">
        <v>935.78</v>
      </c>
      <c r="H852" s="13">
        <v>0.03</v>
      </c>
      <c r="I852" t="s">
        <v>1933</v>
      </c>
      <c r="J852" s="16">
        <v>907.70659999999998</v>
      </c>
      <c r="K852" s="19">
        <f t="shared" si="65"/>
        <v>1233645.4487999985</v>
      </c>
      <c r="L852" s="22">
        <f t="shared" si="66"/>
        <v>1072.7351728695639</v>
      </c>
      <c r="M852" s="22">
        <f t="shared" si="67"/>
        <v>398</v>
      </c>
      <c r="N852" s="22" t="str">
        <f t="shared" si="68"/>
        <v>Low Value</v>
      </c>
      <c r="O852" s="22" t="str">
        <f t="shared" si="69"/>
        <v>Jan-2025</v>
      </c>
      <c r="P852" s="22" t="s">
        <v>1759</v>
      </c>
      <c r="Q852" s="22" t="s">
        <v>1560</v>
      </c>
      <c r="R852" s="22" t="s">
        <v>368</v>
      </c>
      <c r="S852" s="22"/>
      <c r="T852" s="22"/>
      <c r="V852" s="26" t="s">
        <v>1931</v>
      </c>
      <c r="W852" s="6">
        <v>2</v>
      </c>
    </row>
    <row r="853" spans="1:23">
      <c r="A853" t="s">
        <v>2790</v>
      </c>
      <c r="B853" s="8">
        <v>45484</v>
      </c>
      <c r="C853" t="s">
        <v>1005</v>
      </c>
      <c r="D853" t="s">
        <v>1734</v>
      </c>
      <c r="E853" t="s">
        <v>1896</v>
      </c>
      <c r="F853">
        <v>4</v>
      </c>
      <c r="G853" s="10">
        <v>597.79999999999995</v>
      </c>
      <c r="H853" s="13">
        <v>0.2</v>
      </c>
      <c r="I853" t="s">
        <v>1931</v>
      </c>
      <c r="J853" s="16">
        <v>1912.96</v>
      </c>
      <c r="K853" s="19">
        <f t="shared" si="65"/>
        <v>1232737.7421999983</v>
      </c>
      <c r="L853" s="22">
        <f t="shared" si="66"/>
        <v>1072.8788008703207</v>
      </c>
      <c r="M853" s="22">
        <f t="shared" si="67"/>
        <v>397</v>
      </c>
      <c r="N853" s="22" t="str">
        <f t="shared" si="68"/>
        <v>High Value</v>
      </c>
      <c r="O853" s="22" t="str">
        <f t="shared" si="69"/>
        <v>Jul-2024</v>
      </c>
      <c r="P853" s="22" t="s">
        <v>1735</v>
      </c>
      <c r="Q853" s="22" t="s">
        <v>1555</v>
      </c>
      <c r="R853" s="22" t="s">
        <v>1006</v>
      </c>
      <c r="S853" s="22"/>
      <c r="T853" s="22"/>
      <c r="V853" s="26" t="s">
        <v>1933</v>
      </c>
      <c r="W853" s="6">
        <v>1</v>
      </c>
    </row>
    <row r="854" spans="1:23">
      <c r="A854" t="s">
        <v>2791</v>
      </c>
      <c r="B854" s="8">
        <v>45700</v>
      </c>
      <c r="C854" t="s">
        <v>827</v>
      </c>
      <c r="D854" t="s">
        <v>1583</v>
      </c>
      <c r="E854" t="s">
        <v>1917</v>
      </c>
      <c r="F854">
        <v>4</v>
      </c>
      <c r="G854" s="10">
        <v>266.98</v>
      </c>
      <c r="H854" s="13">
        <v>0.16</v>
      </c>
      <c r="I854" t="s">
        <v>1931</v>
      </c>
      <c r="J854" s="16">
        <v>897.05280000000005</v>
      </c>
      <c r="K854" s="19">
        <f t="shared" si="65"/>
        <v>1230824.7821999984</v>
      </c>
      <c r="L854" s="22">
        <f t="shared" si="66"/>
        <v>1072.1470228222981</v>
      </c>
      <c r="M854" s="22">
        <f t="shared" si="67"/>
        <v>397</v>
      </c>
      <c r="N854" s="22" t="str">
        <f t="shared" si="68"/>
        <v>Low Value</v>
      </c>
      <c r="O854" s="22" t="str">
        <f t="shared" si="69"/>
        <v>Feb-2025</v>
      </c>
      <c r="P854" s="22" t="s">
        <v>1584</v>
      </c>
      <c r="Q854" s="22" t="s">
        <v>1531</v>
      </c>
      <c r="R854" s="22" t="s">
        <v>828</v>
      </c>
      <c r="S854" s="22"/>
      <c r="T854" s="22"/>
      <c r="V854" s="25" t="s">
        <v>386</v>
      </c>
      <c r="W854" s="6">
        <v>4</v>
      </c>
    </row>
    <row r="855" spans="1:23">
      <c r="A855" t="s">
        <v>2792</v>
      </c>
      <c r="B855" s="8">
        <v>45873</v>
      </c>
      <c r="C855" t="s">
        <v>1259</v>
      </c>
      <c r="D855" t="s">
        <v>1765</v>
      </c>
      <c r="E855" t="s">
        <v>1908</v>
      </c>
      <c r="F855">
        <v>3</v>
      </c>
      <c r="G855" s="10">
        <v>360.18</v>
      </c>
      <c r="H855" s="13">
        <v>0.03</v>
      </c>
      <c r="I855" t="s">
        <v>1931</v>
      </c>
      <c r="J855" s="16">
        <v>1048.1238000000001</v>
      </c>
      <c r="K855" s="19">
        <f t="shared" si="65"/>
        <v>1229927.7293999982</v>
      </c>
      <c r="L855" s="22">
        <f t="shared" si="66"/>
        <v>1072.2996768962496</v>
      </c>
      <c r="M855" s="22">
        <f t="shared" si="67"/>
        <v>397</v>
      </c>
      <c r="N855" s="22" t="str">
        <f t="shared" si="68"/>
        <v>High Value</v>
      </c>
      <c r="O855" s="22" t="str">
        <f t="shared" si="69"/>
        <v>Aug-2025</v>
      </c>
      <c r="P855" s="22" t="s">
        <v>1766</v>
      </c>
      <c r="Q855" s="22" t="s">
        <v>1560</v>
      </c>
      <c r="R855" s="22" t="s">
        <v>1260</v>
      </c>
      <c r="S855" s="22"/>
      <c r="T855" s="22"/>
      <c r="V855" s="26" t="s">
        <v>1933</v>
      </c>
      <c r="W855" s="6">
        <v>4</v>
      </c>
    </row>
    <row r="856" spans="1:23">
      <c r="A856" t="s">
        <v>2793</v>
      </c>
      <c r="B856" s="8">
        <v>45860</v>
      </c>
      <c r="C856" t="s">
        <v>1130</v>
      </c>
      <c r="D856" t="s">
        <v>1722</v>
      </c>
      <c r="E856" t="s">
        <v>1859</v>
      </c>
      <c r="F856">
        <v>3</v>
      </c>
      <c r="G856" s="10">
        <v>247.41</v>
      </c>
      <c r="H856" s="13">
        <v>0.05</v>
      </c>
      <c r="I856" t="s">
        <v>1936</v>
      </c>
      <c r="J856" s="16">
        <v>705.11850000000004</v>
      </c>
      <c r="K856" s="19">
        <f t="shared" si="65"/>
        <v>1228879.605599998</v>
      </c>
      <c r="L856" s="22">
        <f t="shared" si="66"/>
        <v>1072.3207727748675</v>
      </c>
      <c r="M856" s="22">
        <f t="shared" si="67"/>
        <v>397</v>
      </c>
      <c r="N856" s="22" t="str">
        <f t="shared" si="68"/>
        <v>Low Value</v>
      </c>
      <c r="O856" s="22" t="str">
        <f t="shared" si="69"/>
        <v>Jul-2025</v>
      </c>
      <c r="P856" s="22" t="s">
        <v>1723</v>
      </c>
      <c r="Q856" s="22" t="s">
        <v>1560</v>
      </c>
      <c r="R856" s="22" t="s">
        <v>1131</v>
      </c>
      <c r="S856" s="22"/>
      <c r="T856" s="22"/>
      <c r="V856" s="25" t="s">
        <v>516</v>
      </c>
      <c r="W856" s="6">
        <v>7</v>
      </c>
    </row>
    <row r="857" spans="1:23">
      <c r="A857" t="s">
        <v>2794</v>
      </c>
      <c r="B857" s="8">
        <v>45235</v>
      </c>
      <c r="C857" t="s">
        <v>281</v>
      </c>
      <c r="D857" t="s">
        <v>1687</v>
      </c>
      <c r="E857" t="s">
        <v>1908</v>
      </c>
      <c r="F857">
        <v>3</v>
      </c>
      <c r="G857" s="10">
        <v>674.66</v>
      </c>
      <c r="H857" s="13">
        <v>0.23</v>
      </c>
      <c r="I857" t="s">
        <v>1931</v>
      </c>
      <c r="J857" s="16">
        <v>1558.4646</v>
      </c>
      <c r="K857" s="19">
        <f t="shared" si="65"/>
        <v>1228174.4870999982</v>
      </c>
      <c r="L857" s="22">
        <f t="shared" si="66"/>
        <v>1072.6414734497801</v>
      </c>
      <c r="M857" s="22">
        <f t="shared" si="67"/>
        <v>397</v>
      </c>
      <c r="N857" s="22" t="str">
        <f t="shared" si="68"/>
        <v>High Value</v>
      </c>
      <c r="O857" s="22" t="str">
        <f t="shared" si="69"/>
        <v>Nov-2023</v>
      </c>
      <c r="P857" s="22" t="s">
        <v>1688</v>
      </c>
      <c r="Q857" s="22" t="s">
        <v>1569</v>
      </c>
      <c r="R857" s="22" t="s">
        <v>282</v>
      </c>
      <c r="S857" s="22"/>
      <c r="T857" s="22"/>
      <c r="V857" s="26" t="s">
        <v>1931</v>
      </c>
      <c r="W857" s="6">
        <v>2</v>
      </c>
    </row>
    <row r="858" spans="1:23">
      <c r="A858" t="s">
        <v>2795</v>
      </c>
      <c r="B858" s="8">
        <v>45874</v>
      </c>
      <c r="C858" t="s">
        <v>1282</v>
      </c>
      <c r="D858" t="s">
        <v>1678</v>
      </c>
      <c r="E858" t="s">
        <v>1876</v>
      </c>
      <c r="F858">
        <v>1</v>
      </c>
      <c r="G858" s="10">
        <v>913.98</v>
      </c>
      <c r="H858" s="13">
        <v>0.27</v>
      </c>
      <c r="I858" t="s">
        <v>1933</v>
      </c>
      <c r="J858" s="16">
        <v>667.20539999999994</v>
      </c>
      <c r="K858" s="19">
        <f t="shared" si="65"/>
        <v>1226616.0224999983</v>
      </c>
      <c r="L858" s="22">
        <f t="shared" si="66"/>
        <v>1072.216802884614</v>
      </c>
      <c r="M858" s="22">
        <f t="shared" si="67"/>
        <v>397</v>
      </c>
      <c r="N858" s="22" t="str">
        <f t="shared" si="68"/>
        <v>Low Value</v>
      </c>
      <c r="O858" s="22" t="str">
        <f t="shared" si="69"/>
        <v>Aug-2025</v>
      </c>
      <c r="P858" s="22" t="s">
        <v>1679</v>
      </c>
      <c r="Q858" s="22" t="s">
        <v>1531</v>
      </c>
      <c r="R858" s="22" t="s">
        <v>1283</v>
      </c>
      <c r="S858" s="22"/>
      <c r="T858" s="22"/>
      <c r="V858" s="26" t="s">
        <v>1933</v>
      </c>
      <c r="W858" s="6">
        <v>5</v>
      </c>
    </row>
    <row r="859" spans="1:23">
      <c r="A859" t="s">
        <v>2796</v>
      </c>
      <c r="B859" s="8">
        <v>45769</v>
      </c>
      <c r="C859" t="s">
        <v>987</v>
      </c>
      <c r="D859" t="s">
        <v>1834</v>
      </c>
      <c r="E859" t="s">
        <v>1896</v>
      </c>
      <c r="F859">
        <v>4</v>
      </c>
      <c r="G859" s="10">
        <v>370.5</v>
      </c>
      <c r="H859" s="13">
        <v>0.13</v>
      </c>
      <c r="I859" t="s">
        <v>1933</v>
      </c>
      <c r="J859" s="16">
        <v>1289.3399999999999</v>
      </c>
      <c r="K859" s="19">
        <f t="shared" si="65"/>
        <v>1225948.8170999982</v>
      </c>
      <c r="L859" s="22">
        <f t="shared" si="66"/>
        <v>1072.5711435695523</v>
      </c>
      <c r="M859" s="22">
        <f t="shared" si="67"/>
        <v>396</v>
      </c>
      <c r="N859" s="22" t="str">
        <f t="shared" si="68"/>
        <v>High Value</v>
      </c>
      <c r="O859" s="22" t="str">
        <f t="shared" si="69"/>
        <v>Apr-2025</v>
      </c>
      <c r="P859" s="22" t="s">
        <v>1835</v>
      </c>
      <c r="Q859" s="22" t="s">
        <v>1531</v>
      </c>
      <c r="R859" s="22" t="s">
        <v>988</v>
      </c>
      <c r="S859" s="22"/>
      <c r="T859" s="22"/>
      <c r="V859" s="25" t="s">
        <v>1400</v>
      </c>
      <c r="W859" s="6">
        <v>7</v>
      </c>
    </row>
    <row r="860" spans="1:23">
      <c r="A860" t="s">
        <v>2797</v>
      </c>
      <c r="B860" s="8">
        <v>45619</v>
      </c>
      <c r="C860" t="s">
        <v>1116</v>
      </c>
      <c r="D860" t="s">
        <v>1771</v>
      </c>
      <c r="E860" t="s">
        <v>1904</v>
      </c>
      <c r="F860">
        <v>1</v>
      </c>
      <c r="G860" s="10">
        <v>735.1</v>
      </c>
      <c r="H860" s="13">
        <v>0.1</v>
      </c>
      <c r="I860" t="s">
        <v>1933</v>
      </c>
      <c r="J860" s="16">
        <v>661.59</v>
      </c>
      <c r="K860" s="19">
        <f t="shared" si="65"/>
        <v>1224659.4770999984</v>
      </c>
      <c r="L860" s="22">
        <f t="shared" si="66"/>
        <v>1072.3813284588427</v>
      </c>
      <c r="M860" s="22">
        <f t="shared" si="67"/>
        <v>395</v>
      </c>
      <c r="N860" s="22" t="str">
        <f t="shared" si="68"/>
        <v>Low Value</v>
      </c>
      <c r="O860" s="22" t="str">
        <f t="shared" si="69"/>
        <v>Nov-2024</v>
      </c>
      <c r="P860" s="22" t="s">
        <v>1772</v>
      </c>
      <c r="Q860" s="22" t="s">
        <v>1569</v>
      </c>
      <c r="R860" s="22" t="s">
        <v>1117</v>
      </c>
      <c r="S860" s="22"/>
      <c r="T860" s="22"/>
      <c r="V860" s="26" t="s">
        <v>1931</v>
      </c>
      <c r="W860" s="6">
        <v>3</v>
      </c>
    </row>
    <row r="861" spans="1:23">
      <c r="A861" t="s">
        <v>2798</v>
      </c>
      <c r="B861" s="8">
        <v>45614</v>
      </c>
      <c r="C861" t="s">
        <v>459</v>
      </c>
      <c r="D861" t="s">
        <v>1792</v>
      </c>
      <c r="E861" t="s">
        <v>1868</v>
      </c>
      <c r="F861">
        <v>3</v>
      </c>
      <c r="G861" s="10">
        <v>448.55</v>
      </c>
      <c r="H861" s="13">
        <v>0.05</v>
      </c>
      <c r="I861" t="s">
        <v>1931</v>
      </c>
      <c r="J861" s="16">
        <v>1278.3675000000001</v>
      </c>
      <c r="K861" s="19">
        <f t="shared" si="65"/>
        <v>1223997.8870999985</v>
      </c>
      <c r="L861" s="22">
        <f t="shared" si="66"/>
        <v>1072.741355915862</v>
      </c>
      <c r="M861" s="22">
        <f t="shared" si="67"/>
        <v>394</v>
      </c>
      <c r="N861" s="22" t="str">
        <f t="shared" si="68"/>
        <v>High Value</v>
      </c>
      <c r="O861" s="22" t="str">
        <f t="shared" si="69"/>
        <v>Nov-2024</v>
      </c>
      <c r="P861" s="22" t="s">
        <v>1793</v>
      </c>
      <c r="Q861" s="22" t="s">
        <v>1560</v>
      </c>
      <c r="R861" s="22" t="s">
        <v>460</v>
      </c>
      <c r="S861" s="22"/>
      <c r="T861" s="22"/>
      <c r="V861" s="26" t="s">
        <v>1933</v>
      </c>
      <c r="W861" s="6">
        <v>4</v>
      </c>
    </row>
    <row r="862" spans="1:23">
      <c r="A862" t="s">
        <v>2799</v>
      </c>
      <c r="B862" s="8">
        <v>45691</v>
      </c>
      <c r="C862" t="s">
        <v>218</v>
      </c>
      <c r="D862" t="s">
        <v>1807</v>
      </c>
      <c r="E862" t="s">
        <v>1904</v>
      </c>
      <c r="F862">
        <v>3</v>
      </c>
      <c r="G862" s="10">
        <v>904.96</v>
      </c>
      <c r="H862" s="13">
        <v>7.0000000000000007E-2</v>
      </c>
      <c r="I862" t="s">
        <v>1936</v>
      </c>
      <c r="J862" s="16">
        <v>2524.8384000000001</v>
      </c>
      <c r="K862" s="19">
        <f t="shared" si="65"/>
        <v>1222719.5195999986</v>
      </c>
      <c r="L862" s="22">
        <f t="shared" si="66"/>
        <v>1072.5609821052619</v>
      </c>
      <c r="M862" s="22">
        <f t="shared" si="67"/>
        <v>394</v>
      </c>
      <c r="N862" s="22" t="str">
        <f t="shared" si="68"/>
        <v>High Value</v>
      </c>
      <c r="O862" s="22" t="str">
        <f t="shared" si="69"/>
        <v>Feb-2025</v>
      </c>
      <c r="P862" s="22" t="s">
        <v>1808</v>
      </c>
      <c r="Q862" s="22" t="s">
        <v>1560</v>
      </c>
      <c r="R862" s="22" t="s">
        <v>219</v>
      </c>
      <c r="S862" s="22"/>
      <c r="T862" s="22"/>
      <c r="V862" s="25" t="s">
        <v>486</v>
      </c>
      <c r="W862" s="6">
        <v>12</v>
      </c>
    </row>
    <row r="863" spans="1:23">
      <c r="A863" t="s">
        <v>2800</v>
      </c>
      <c r="B863" s="8">
        <v>45608</v>
      </c>
      <c r="C863" t="s">
        <v>1181</v>
      </c>
      <c r="D863" t="s">
        <v>1758</v>
      </c>
      <c r="E863" t="s">
        <v>1904</v>
      </c>
      <c r="F863">
        <v>4</v>
      </c>
      <c r="G863" s="10">
        <v>408.72</v>
      </c>
      <c r="H863" s="13">
        <v>0.16</v>
      </c>
      <c r="I863" t="s">
        <v>1936</v>
      </c>
      <c r="J863" s="16">
        <v>1373.2991999999999</v>
      </c>
      <c r="K863" s="19">
        <f t="shared" si="65"/>
        <v>1220194.6811999988</v>
      </c>
      <c r="L863" s="22">
        <f t="shared" si="66"/>
        <v>1071.2859360842833</v>
      </c>
      <c r="M863" s="22">
        <f t="shared" si="67"/>
        <v>394</v>
      </c>
      <c r="N863" s="22" t="str">
        <f t="shared" si="68"/>
        <v>High Value</v>
      </c>
      <c r="O863" s="22" t="str">
        <f t="shared" si="69"/>
        <v>Nov-2024</v>
      </c>
      <c r="P863" s="22" t="s">
        <v>1759</v>
      </c>
      <c r="Q863" s="22" t="s">
        <v>1560</v>
      </c>
      <c r="R863" s="22" t="s">
        <v>1182</v>
      </c>
      <c r="S863" s="22"/>
      <c r="T863" s="22"/>
      <c r="V863" s="26" t="s">
        <v>1936</v>
      </c>
      <c r="W863" s="6">
        <v>9</v>
      </c>
    </row>
    <row r="864" spans="1:23">
      <c r="A864" t="s">
        <v>2801</v>
      </c>
      <c r="B864" s="8">
        <v>45412</v>
      </c>
      <c r="C864" t="s">
        <v>895</v>
      </c>
      <c r="D864" t="s">
        <v>1768</v>
      </c>
      <c r="E864" t="s">
        <v>1873</v>
      </c>
      <c r="F864">
        <v>4</v>
      </c>
      <c r="G864" s="10">
        <v>770.65</v>
      </c>
      <c r="H864" s="13">
        <v>0.27</v>
      </c>
      <c r="I864" t="s">
        <v>1931</v>
      </c>
      <c r="J864" s="16">
        <v>2250.2979999999998</v>
      </c>
      <c r="K864" s="19">
        <f t="shared" si="65"/>
        <v>1218821.3819999986</v>
      </c>
      <c r="L864" s="22">
        <f t="shared" si="66"/>
        <v>1071.0205465729337</v>
      </c>
      <c r="M864" s="22">
        <f t="shared" si="67"/>
        <v>394</v>
      </c>
      <c r="N864" s="22" t="str">
        <f t="shared" si="68"/>
        <v>High Value</v>
      </c>
      <c r="O864" s="22" t="str">
        <f t="shared" si="69"/>
        <v>Apr-2024</v>
      </c>
      <c r="P864" s="22" t="s">
        <v>1769</v>
      </c>
      <c r="Q864" s="22" t="s">
        <v>1555</v>
      </c>
      <c r="R864" s="22" t="s">
        <v>896</v>
      </c>
      <c r="S864" s="22"/>
      <c r="T864" s="22"/>
      <c r="V864" s="26" t="s">
        <v>1931</v>
      </c>
      <c r="W864" s="6">
        <v>3</v>
      </c>
    </row>
    <row r="865" spans="1:23">
      <c r="A865" t="s">
        <v>2802</v>
      </c>
      <c r="B865" s="8">
        <v>45767</v>
      </c>
      <c r="C865" t="s">
        <v>661</v>
      </c>
      <c r="D865" t="s">
        <v>1639</v>
      </c>
      <c r="E865" t="s">
        <v>1883</v>
      </c>
      <c r="F865">
        <v>1</v>
      </c>
      <c r="G865" s="10">
        <v>649.22</v>
      </c>
      <c r="H865" s="13">
        <v>0.03</v>
      </c>
      <c r="I865" t="s">
        <v>1936</v>
      </c>
      <c r="J865" s="16">
        <v>629.74340000000007</v>
      </c>
      <c r="K865" s="19">
        <f t="shared" si="65"/>
        <v>1216571.0839999986</v>
      </c>
      <c r="L865" s="22">
        <f t="shared" si="66"/>
        <v>1069.9833632365862</v>
      </c>
      <c r="M865" s="22">
        <f t="shared" si="67"/>
        <v>394</v>
      </c>
      <c r="N865" s="22" t="str">
        <f t="shared" si="68"/>
        <v>Low Value</v>
      </c>
      <c r="O865" s="22" t="str">
        <f t="shared" si="69"/>
        <v>Apr-2025</v>
      </c>
      <c r="P865" s="22" t="s">
        <v>1640</v>
      </c>
      <c r="Q865" s="22" t="s">
        <v>1560</v>
      </c>
      <c r="R865" s="22" t="s">
        <v>662</v>
      </c>
      <c r="S865" s="22"/>
      <c r="T865" s="22"/>
      <c r="V865" s="25" t="s">
        <v>1248</v>
      </c>
      <c r="W865" s="6">
        <v>15</v>
      </c>
    </row>
    <row r="866" spans="1:23">
      <c r="A866" t="s">
        <v>2803</v>
      </c>
      <c r="B866" s="8">
        <v>45428</v>
      </c>
      <c r="C866" t="s">
        <v>1087</v>
      </c>
      <c r="D866" t="s">
        <v>1649</v>
      </c>
      <c r="E866" t="s">
        <v>1896</v>
      </c>
      <c r="F866">
        <v>2</v>
      </c>
      <c r="G866" s="10">
        <v>379.78</v>
      </c>
      <c r="H866" s="13">
        <v>0.2</v>
      </c>
      <c r="I866" t="s">
        <v>1931</v>
      </c>
      <c r="J866" s="16">
        <v>607.64800000000002</v>
      </c>
      <c r="K866" s="19">
        <f t="shared" si="65"/>
        <v>1215941.3405999988</v>
      </c>
      <c r="L866" s="22">
        <f t="shared" si="66"/>
        <v>1070.3708984154919</v>
      </c>
      <c r="M866" s="22">
        <f t="shared" si="67"/>
        <v>394</v>
      </c>
      <c r="N866" s="22" t="str">
        <f t="shared" si="68"/>
        <v>Low Value</v>
      </c>
      <c r="O866" s="22" t="str">
        <f t="shared" si="69"/>
        <v>May-2024</v>
      </c>
      <c r="P866" s="22" t="s">
        <v>1650</v>
      </c>
      <c r="Q866" s="22" t="s">
        <v>1560</v>
      </c>
      <c r="R866" s="22" t="s">
        <v>1088</v>
      </c>
      <c r="S866" s="22"/>
      <c r="T866" s="22"/>
      <c r="V866" s="26" t="s">
        <v>1936</v>
      </c>
      <c r="W866" s="6">
        <v>2</v>
      </c>
    </row>
    <row r="867" spans="1:23">
      <c r="A867" t="s">
        <v>2804</v>
      </c>
      <c r="B867" s="8">
        <v>45770</v>
      </c>
      <c r="C867" t="s">
        <v>795</v>
      </c>
      <c r="D867" t="s">
        <v>1681</v>
      </c>
      <c r="E867" t="s">
        <v>1889</v>
      </c>
      <c r="F867">
        <v>3</v>
      </c>
      <c r="G867" s="10">
        <v>924.15</v>
      </c>
      <c r="H867" s="13">
        <v>0.1</v>
      </c>
      <c r="I867" t="s">
        <v>1933</v>
      </c>
      <c r="J867" s="16">
        <v>2495.2049999999999</v>
      </c>
      <c r="K867" s="19">
        <f t="shared" si="65"/>
        <v>1215333.6925999986</v>
      </c>
      <c r="L867" s="22">
        <f t="shared" si="66"/>
        <v>1070.7785837885449</v>
      </c>
      <c r="M867" s="22">
        <f t="shared" si="67"/>
        <v>394</v>
      </c>
      <c r="N867" s="22" t="str">
        <f t="shared" si="68"/>
        <v>High Value</v>
      </c>
      <c r="O867" s="22" t="str">
        <f t="shared" si="69"/>
        <v>Apr-2025</v>
      </c>
      <c r="P867" s="22" t="s">
        <v>1682</v>
      </c>
      <c r="Q867" s="22" t="s">
        <v>1531</v>
      </c>
      <c r="R867" s="22" t="s">
        <v>796</v>
      </c>
      <c r="S867" s="22"/>
      <c r="T867" s="22"/>
      <c r="V867" s="26" t="s">
        <v>1933</v>
      </c>
      <c r="W867" s="6">
        <v>13</v>
      </c>
    </row>
    <row r="868" spans="1:23">
      <c r="A868" t="s">
        <v>2805</v>
      </c>
      <c r="B868" s="8">
        <v>45571</v>
      </c>
      <c r="C868" t="s">
        <v>1436</v>
      </c>
      <c r="D868" t="s">
        <v>1687</v>
      </c>
      <c r="E868" t="s">
        <v>1914</v>
      </c>
      <c r="F868">
        <v>3</v>
      </c>
      <c r="G868" s="10">
        <v>144.66999999999999</v>
      </c>
      <c r="H868" s="13">
        <v>0.28999999999999998</v>
      </c>
      <c r="I868" t="s">
        <v>1936</v>
      </c>
      <c r="J868" s="16">
        <v>308.14710000000002</v>
      </c>
      <c r="K868" s="19">
        <f t="shared" si="65"/>
        <v>1212838.4875999987</v>
      </c>
      <c r="L868" s="22">
        <f t="shared" si="66"/>
        <v>1069.5224758377415</v>
      </c>
      <c r="M868" s="22">
        <f t="shared" si="67"/>
        <v>393</v>
      </c>
      <c r="N868" s="22" t="str">
        <f t="shared" si="68"/>
        <v>Low Value</v>
      </c>
      <c r="O868" s="22" t="str">
        <f t="shared" si="69"/>
        <v>Oct-2024</v>
      </c>
      <c r="P868" s="22" t="s">
        <v>1688</v>
      </c>
      <c r="Q868" s="22" t="s">
        <v>1569</v>
      </c>
      <c r="R868" s="22" t="s">
        <v>1437</v>
      </c>
      <c r="S868" s="22"/>
      <c r="T868" s="22"/>
      <c r="V868" s="25" t="s">
        <v>1411</v>
      </c>
      <c r="W868" s="6">
        <v>3</v>
      </c>
    </row>
    <row r="869" spans="1:23">
      <c r="A869" t="s">
        <v>2806</v>
      </c>
      <c r="B869" s="8">
        <v>45700</v>
      </c>
      <c r="C869" t="s">
        <v>415</v>
      </c>
      <c r="D869" t="s">
        <v>1649</v>
      </c>
      <c r="E869" t="s">
        <v>1908</v>
      </c>
      <c r="F869">
        <v>2</v>
      </c>
      <c r="G869" s="10">
        <v>667.17</v>
      </c>
      <c r="H869" s="13">
        <v>0.1</v>
      </c>
      <c r="I869" t="s">
        <v>1933</v>
      </c>
      <c r="J869" s="16">
        <v>1200.9059999999999</v>
      </c>
      <c r="K869" s="19">
        <f t="shared" si="65"/>
        <v>1212530.3404999988</v>
      </c>
      <c r="L869" s="22">
        <f t="shared" si="66"/>
        <v>1070.194475286848</v>
      </c>
      <c r="M869" s="22">
        <f t="shared" si="67"/>
        <v>393</v>
      </c>
      <c r="N869" s="22" t="str">
        <f t="shared" si="68"/>
        <v>High Value</v>
      </c>
      <c r="O869" s="22" t="str">
        <f t="shared" si="69"/>
        <v>Feb-2025</v>
      </c>
      <c r="P869" s="22" t="s">
        <v>1650</v>
      </c>
      <c r="Q869" s="22" t="s">
        <v>1560</v>
      </c>
      <c r="R869" s="22" t="s">
        <v>416</v>
      </c>
      <c r="S869" s="22"/>
      <c r="T869" s="22"/>
      <c r="V869" s="26" t="s">
        <v>1936</v>
      </c>
      <c r="W869" s="6">
        <v>3</v>
      </c>
    </row>
    <row r="870" spans="1:23">
      <c r="A870" t="s">
        <v>2807</v>
      </c>
      <c r="B870" s="8">
        <v>45382</v>
      </c>
      <c r="C870" t="s">
        <v>1245</v>
      </c>
      <c r="D870" t="s">
        <v>1752</v>
      </c>
      <c r="E870" t="s">
        <v>1873</v>
      </c>
      <c r="F870">
        <v>1</v>
      </c>
      <c r="G870" s="10">
        <v>984.6</v>
      </c>
      <c r="H870" s="13">
        <v>0.22</v>
      </c>
      <c r="I870" t="s">
        <v>1931</v>
      </c>
      <c r="J870" s="16">
        <v>767.98800000000006</v>
      </c>
      <c r="K870" s="19">
        <f t="shared" si="65"/>
        <v>1211329.4344999988</v>
      </c>
      <c r="L870" s="22">
        <f t="shared" si="66"/>
        <v>1070.0790057420484</v>
      </c>
      <c r="M870" s="22">
        <f t="shared" si="67"/>
        <v>392</v>
      </c>
      <c r="N870" s="22" t="str">
        <f t="shared" si="68"/>
        <v>Low Value</v>
      </c>
      <c r="O870" s="22" t="str">
        <f t="shared" si="69"/>
        <v>Mar-2024</v>
      </c>
      <c r="P870" s="22" t="s">
        <v>1753</v>
      </c>
      <c r="Q870" s="22" t="s">
        <v>1555</v>
      </c>
      <c r="R870" s="22" t="s">
        <v>1246</v>
      </c>
      <c r="S870" s="22"/>
      <c r="T870" s="22"/>
      <c r="V870" s="25" t="s">
        <v>1506</v>
      </c>
      <c r="W870" s="6">
        <v>10</v>
      </c>
    </row>
    <row r="871" spans="1:23">
      <c r="A871" t="s">
        <v>2808</v>
      </c>
      <c r="B871" s="8">
        <v>45260</v>
      </c>
      <c r="C871" t="s">
        <v>886</v>
      </c>
      <c r="D871" t="s">
        <v>1583</v>
      </c>
      <c r="E871" t="s">
        <v>1889</v>
      </c>
      <c r="F871">
        <v>1</v>
      </c>
      <c r="G871" s="10">
        <v>139.29</v>
      </c>
      <c r="H871" s="13">
        <v>0</v>
      </c>
      <c r="I871" t="s">
        <v>1931</v>
      </c>
      <c r="J871" s="16">
        <v>139.29</v>
      </c>
      <c r="K871" s="19">
        <f t="shared" si="65"/>
        <v>1210561.4464999989</v>
      </c>
      <c r="L871" s="22">
        <f t="shared" si="66"/>
        <v>1070.3461065428814</v>
      </c>
      <c r="M871" s="22">
        <f t="shared" si="67"/>
        <v>392</v>
      </c>
      <c r="N871" s="22" t="str">
        <f t="shared" si="68"/>
        <v>Low Value</v>
      </c>
      <c r="O871" s="22" t="str">
        <f t="shared" si="69"/>
        <v>Nov-2023</v>
      </c>
      <c r="P871" s="22" t="s">
        <v>1584</v>
      </c>
      <c r="Q871" s="22" t="s">
        <v>1531</v>
      </c>
      <c r="R871" s="22" t="s">
        <v>887</v>
      </c>
      <c r="S871" s="22"/>
      <c r="T871" s="22"/>
      <c r="V871" s="26" t="s">
        <v>1936</v>
      </c>
      <c r="W871" s="6">
        <v>5</v>
      </c>
    </row>
    <row r="872" spans="1:23">
      <c r="A872" t="s">
        <v>2809</v>
      </c>
      <c r="B872" s="8">
        <v>45702</v>
      </c>
      <c r="C872" t="s">
        <v>134</v>
      </c>
      <c r="D872" t="s">
        <v>1970</v>
      </c>
      <c r="E872" t="s">
        <v>1889</v>
      </c>
      <c r="F872">
        <v>3</v>
      </c>
      <c r="G872" s="10">
        <v>459.57</v>
      </c>
      <c r="H872" s="13">
        <v>0.1</v>
      </c>
      <c r="I872" t="s">
        <v>1936</v>
      </c>
      <c r="J872" s="16">
        <v>1240.8389999999999</v>
      </c>
      <c r="K872" s="19">
        <f t="shared" si="65"/>
        <v>1210422.1564999989</v>
      </c>
      <c r="L872" s="22">
        <f t="shared" si="66"/>
        <v>1071.170049999999</v>
      </c>
      <c r="M872" s="22">
        <f t="shared" si="67"/>
        <v>392</v>
      </c>
      <c r="N872" s="22" t="str">
        <f t="shared" si="68"/>
        <v>High Value</v>
      </c>
      <c r="O872" s="22" t="str">
        <f t="shared" si="69"/>
        <v>Feb-2025</v>
      </c>
      <c r="P872" s="22" t="s">
        <v>1594</v>
      </c>
      <c r="Q872" s="22" t="s">
        <v>1555</v>
      </c>
      <c r="R872" s="22" t="s">
        <v>3943</v>
      </c>
      <c r="S872" s="22"/>
      <c r="T872" s="22"/>
      <c r="V872" s="26" t="s">
        <v>1933</v>
      </c>
      <c r="W872" s="6">
        <v>5</v>
      </c>
    </row>
    <row r="873" spans="1:23">
      <c r="A873" t="s">
        <v>2810</v>
      </c>
      <c r="B873" s="8">
        <v>45302</v>
      </c>
      <c r="C873" t="s">
        <v>241</v>
      </c>
      <c r="D873" t="s">
        <v>1672</v>
      </c>
      <c r="E873" t="s">
        <v>1908</v>
      </c>
      <c r="F873">
        <v>1</v>
      </c>
      <c r="G873" s="10">
        <v>517.82000000000005</v>
      </c>
      <c r="H873" s="13">
        <v>0.28999999999999998</v>
      </c>
      <c r="I873" t="s">
        <v>1931</v>
      </c>
      <c r="J873" s="16">
        <v>367.65219999999999</v>
      </c>
      <c r="K873" s="19">
        <f t="shared" si="65"/>
        <v>1209181.317499999</v>
      </c>
      <c r="L873" s="22">
        <f t="shared" si="66"/>
        <v>1071.0197674933561</v>
      </c>
      <c r="M873" s="22">
        <f t="shared" si="67"/>
        <v>392</v>
      </c>
      <c r="N873" s="22" t="str">
        <f t="shared" si="68"/>
        <v>Low Value</v>
      </c>
      <c r="O873" s="22" t="str">
        <f t="shared" si="69"/>
        <v>Jan-2024</v>
      </c>
      <c r="P873" s="22" t="s">
        <v>1673</v>
      </c>
      <c r="Q873" s="22" t="s">
        <v>1531</v>
      </c>
      <c r="R873" s="22" t="s">
        <v>242</v>
      </c>
      <c r="S873" s="22"/>
      <c r="T873" s="22"/>
      <c r="V873" s="25" t="s">
        <v>3954</v>
      </c>
      <c r="W873" s="6">
        <v>12</v>
      </c>
    </row>
    <row r="874" spans="1:23">
      <c r="A874" t="s">
        <v>2811</v>
      </c>
      <c r="B874" s="8">
        <v>45653</v>
      </c>
      <c r="C874" t="s">
        <v>1178</v>
      </c>
      <c r="D874" t="s">
        <v>1783</v>
      </c>
      <c r="E874" t="s">
        <v>1883</v>
      </c>
      <c r="F874">
        <v>4</v>
      </c>
      <c r="G874" s="10">
        <v>282.45</v>
      </c>
      <c r="H874" s="13">
        <v>0.28999999999999998</v>
      </c>
      <c r="I874" t="s">
        <v>1936</v>
      </c>
      <c r="J874" s="16">
        <v>802.1579999999999</v>
      </c>
      <c r="K874" s="19">
        <f t="shared" si="65"/>
        <v>1208813.6652999988</v>
      </c>
      <c r="L874" s="22">
        <f t="shared" si="66"/>
        <v>1071.6433203014174</v>
      </c>
      <c r="M874" s="22">
        <f t="shared" si="67"/>
        <v>392</v>
      </c>
      <c r="N874" s="22" t="str">
        <f t="shared" si="68"/>
        <v>Low Value</v>
      </c>
      <c r="O874" s="22" t="str">
        <f t="shared" si="69"/>
        <v>Dec-2024</v>
      </c>
      <c r="P874" s="22" t="s">
        <v>1784</v>
      </c>
      <c r="Q874" s="22" t="s">
        <v>1531</v>
      </c>
      <c r="R874" s="22" t="s">
        <v>1179</v>
      </c>
      <c r="S874" s="22"/>
      <c r="T874" s="22"/>
      <c r="V874" s="26" t="s">
        <v>1936</v>
      </c>
      <c r="W874" s="6">
        <v>4</v>
      </c>
    </row>
    <row r="875" spans="1:23">
      <c r="A875" t="s">
        <v>2812</v>
      </c>
      <c r="B875" s="8">
        <v>45250</v>
      </c>
      <c r="C875" t="s">
        <v>1396</v>
      </c>
      <c r="D875" t="s">
        <v>1816</v>
      </c>
      <c r="E875" t="s">
        <v>1886</v>
      </c>
      <c r="F875">
        <v>2</v>
      </c>
      <c r="G875" s="10">
        <v>386.46</v>
      </c>
      <c r="H875" s="13">
        <v>0.23</v>
      </c>
      <c r="I875" t="s">
        <v>1936</v>
      </c>
      <c r="J875" s="16">
        <v>595.14840000000004</v>
      </c>
      <c r="K875" s="19">
        <f t="shared" si="65"/>
        <v>1208011.5072999988</v>
      </c>
      <c r="L875" s="22">
        <f t="shared" si="66"/>
        <v>1071.8824377107353</v>
      </c>
      <c r="M875" s="22">
        <f t="shared" si="67"/>
        <v>392</v>
      </c>
      <c r="N875" s="22" t="str">
        <f t="shared" si="68"/>
        <v>Low Value</v>
      </c>
      <c r="O875" s="22" t="str">
        <f t="shared" si="69"/>
        <v>Nov-2023</v>
      </c>
      <c r="P875" s="22" t="s">
        <v>1817</v>
      </c>
      <c r="Q875" s="22" t="s">
        <v>1560</v>
      </c>
      <c r="R875" s="22" t="s">
        <v>1397</v>
      </c>
      <c r="S875" s="22"/>
      <c r="T875" s="22"/>
      <c r="V875" s="26" t="s">
        <v>1933</v>
      </c>
      <c r="W875" s="6">
        <v>8</v>
      </c>
    </row>
    <row r="876" spans="1:23">
      <c r="A876" t="s">
        <v>2813</v>
      </c>
      <c r="B876" s="8">
        <v>45661</v>
      </c>
      <c r="C876" t="s">
        <v>638</v>
      </c>
      <c r="D876" t="s">
        <v>1603</v>
      </c>
      <c r="E876" t="s">
        <v>1873</v>
      </c>
      <c r="F876">
        <v>1</v>
      </c>
      <c r="G876" s="10">
        <v>270.45</v>
      </c>
      <c r="H876" s="13">
        <v>0.15</v>
      </c>
      <c r="I876" t="s">
        <v>1936</v>
      </c>
      <c r="J876" s="16">
        <v>229.88249999999999</v>
      </c>
      <c r="K876" s="19">
        <f t="shared" si="65"/>
        <v>1207416.3588999989</v>
      </c>
      <c r="L876" s="22">
        <f t="shared" si="66"/>
        <v>1072.3058249555941</v>
      </c>
      <c r="M876" s="22">
        <f t="shared" si="67"/>
        <v>392</v>
      </c>
      <c r="N876" s="22" t="str">
        <f t="shared" si="68"/>
        <v>Low Value</v>
      </c>
      <c r="O876" s="22" t="str">
        <f t="shared" si="69"/>
        <v>Jan-2025</v>
      </c>
      <c r="P876" s="22" t="s">
        <v>1604</v>
      </c>
      <c r="Q876" s="22" t="s">
        <v>1569</v>
      </c>
      <c r="R876" s="22" t="s">
        <v>639</v>
      </c>
      <c r="S876" s="22"/>
      <c r="T876" s="22"/>
      <c r="V876" s="25" t="s">
        <v>1498</v>
      </c>
      <c r="W876" s="6">
        <v>8</v>
      </c>
    </row>
    <row r="877" spans="1:23">
      <c r="A877" t="s">
        <v>2814</v>
      </c>
      <c r="B877" s="8">
        <v>45493</v>
      </c>
      <c r="C877" t="s">
        <v>159</v>
      </c>
      <c r="D877" t="s">
        <v>1783</v>
      </c>
      <c r="E877" t="s">
        <v>1896</v>
      </c>
      <c r="F877">
        <v>4</v>
      </c>
      <c r="G877" s="10">
        <v>762.94</v>
      </c>
      <c r="H877" s="13">
        <v>0.09</v>
      </c>
      <c r="I877" t="s">
        <v>1936</v>
      </c>
      <c r="J877" s="16">
        <v>2777.1016</v>
      </c>
      <c r="K877" s="19">
        <f t="shared" si="65"/>
        <v>1207186.4763999989</v>
      </c>
      <c r="L877" s="22">
        <f t="shared" si="66"/>
        <v>1073.0546456888878</v>
      </c>
      <c r="M877" s="22">
        <f t="shared" si="67"/>
        <v>392</v>
      </c>
      <c r="N877" s="22" t="str">
        <f t="shared" si="68"/>
        <v>High Value</v>
      </c>
      <c r="O877" s="22" t="str">
        <f t="shared" si="69"/>
        <v>Jul-2024</v>
      </c>
      <c r="P877" s="22" t="s">
        <v>1784</v>
      </c>
      <c r="Q877" s="22" t="s">
        <v>1531</v>
      </c>
      <c r="R877" s="22" t="s">
        <v>160</v>
      </c>
      <c r="S877" s="22"/>
      <c r="T877" s="22"/>
      <c r="V877" s="26" t="s">
        <v>1936</v>
      </c>
      <c r="W877" s="6">
        <v>7</v>
      </c>
    </row>
    <row r="878" spans="1:23">
      <c r="A878" t="s">
        <v>2815</v>
      </c>
      <c r="B878" s="8">
        <v>45242</v>
      </c>
      <c r="C878" t="s">
        <v>1505</v>
      </c>
      <c r="D878" t="s">
        <v>1675</v>
      </c>
      <c r="E878" t="s">
        <v>1904</v>
      </c>
      <c r="F878">
        <v>1</v>
      </c>
      <c r="G878" s="10">
        <v>409.03</v>
      </c>
      <c r="H878" s="13">
        <v>0.25</v>
      </c>
      <c r="I878" t="s">
        <v>1936</v>
      </c>
      <c r="J878" s="16">
        <v>306.77249999999998</v>
      </c>
      <c r="K878" s="19">
        <f t="shared" si="65"/>
        <v>1204409.3747999989</v>
      </c>
      <c r="L878" s="22">
        <f t="shared" si="66"/>
        <v>1071.5385896797143</v>
      </c>
      <c r="M878" s="22">
        <f t="shared" si="67"/>
        <v>392</v>
      </c>
      <c r="N878" s="22" t="str">
        <f t="shared" si="68"/>
        <v>Low Value</v>
      </c>
      <c r="O878" s="22" t="str">
        <f t="shared" si="69"/>
        <v>Nov-2023</v>
      </c>
      <c r="P878" s="22" t="s">
        <v>1676</v>
      </c>
      <c r="Q878" s="22" t="s">
        <v>1569</v>
      </c>
      <c r="R878" s="22" t="s">
        <v>1506</v>
      </c>
      <c r="S878" s="22"/>
      <c r="T878" s="22"/>
      <c r="V878" s="26" t="s">
        <v>1933</v>
      </c>
      <c r="W878" s="6">
        <v>1</v>
      </c>
    </row>
    <row r="879" spans="1:23">
      <c r="A879" t="s">
        <v>2816</v>
      </c>
      <c r="B879" s="8">
        <v>45411</v>
      </c>
      <c r="C879" t="s">
        <v>709</v>
      </c>
      <c r="D879" t="s">
        <v>1843</v>
      </c>
      <c r="E879" t="s">
        <v>1917</v>
      </c>
      <c r="F879">
        <v>2</v>
      </c>
      <c r="G879" s="10">
        <v>891.13</v>
      </c>
      <c r="H879" s="13">
        <v>0.13</v>
      </c>
      <c r="I879" t="s">
        <v>1931</v>
      </c>
      <c r="J879" s="16">
        <v>1550.5662</v>
      </c>
      <c r="K879" s="19">
        <f t="shared" si="65"/>
        <v>1204102.602299999</v>
      </c>
      <c r="L879" s="22">
        <f t="shared" si="66"/>
        <v>1072.2195924309874</v>
      </c>
      <c r="M879" s="22">
        <f t="shared" si="67"/>
        <v>392</v>
      </c>
      <c r="N879" s="22" t="str">
        <f t="shared" si="68"/>
        <v>High Value</v>
      </c>
      <c r="O879" s="22" t="str">
        <f t="shared" si="69"/>
        <v>Apr-2024</v>
      </c>
      <c r="P879" s="22" t="s">
        <v>1844</v>
      </c>
      <c r="Q879" s="22" t="s">
        <v>1536</v>
      </c>
      <c r="R879" s="22" t="s">
        <v>710</v>
      </c>
      <c r="S879" s="22"/>
      <c r="T879" s="22"/>
      <c r="V879" s="25" t="s">
        <v>976</v>
      </c>
      <c r="W879" s="6">
        <v>9</v>
      </c>
    </row>
    <row r="880" spans="1:23">
      <c r="A880" t="s">
        <v>2817</v>
      </c>
      <c r="B880" s="8">
        <v>45593</v>
      </c>
      <c r="C880" t="s">
        <v>130</v>
      </c>
      <c r="D880" t="s">
        <v>1831</v>
      </c>
      <c r="E880" t="s">
        <v>1911</v>
      </c>
      <c r="F880">
        <v>1</v>
      </c>
      <c r="G880" s="10">
        <v>553.38</v>
      </c>
      <c r="H880" s="13">
        <v>0.21</v>
      </c>
      <c r="I880" t="s">
        <v>1933</v>
      </c>
      <c r="J880" s="16">
        <v>437.17020000000002</v>
      </c>
      <c r="K880" s="19">
        <f t="shared" si="65"/>
        <v>1202552.0360999987</v>
      </c>
      <c r="L880" s="22">
        <f t="shared" si="66"/>
        <v>1071.7932585561487</v>
      </c>
      <c r="M880" s="22">
        <f t="shared" si="67"/>
        <v>392</v>
      </c>
      <c r="N880" s="22" t="str">
        <f t="shared" si="68"/>
        <v>Low Value</v>
      </c>
      <c r="O880" s="22" t="str">
        <f t="shared" si="69"/>
        <v>Oct-2024</v>
      </c>
      <c r="P880" s="22" t="s">
        <v>1832</v>
      </c>
      <c r="Q880" s="22" t="s">
        <v>1560</v>
      </c>
      <c r="R880" s="22" t="s">
        <v>131</v>
      </c>
      <c r="S880" s="22"/>
      <c r="T880" s="22"/>
      <c r="V880" s="26" t="s">
        <v>1936</v>
      </c>
      <c r="W880" s="6">
        <v>2</v>
      </c>
    </row>
    <row r="881" spans="1:23">
      <c r="A881" t="s">
        <v>2818</v>
      </c>
      <c r="B881" s="8">
        <v>45281</v>
      </c>
      <c r="C881" t="s">
        <v>533</v>
      </c>
      <c r="D881" t="s">
        <v>1810</v>
      </c>
      <c r="E881" t="s">
        <v>1904</v>
      </c>
      <c r="F881">
        <v>2</v>
      </c>
      <c r="G881" s="10">
        <v>652.29999999999995</v>
      </c>
      <c r="H881" s="13">
        <v>0.16</v>
      </c>
      <c r="I881" t="s">
        <v>1936</v>
      </c>
      <c r="J881" s="16">
        <v>1095.864</v>
      </c>
      <c r="K881" s="19">
        <f t="shared" si="65"/>
        <v>1202114.8658999987</v>
      </c>
      <c r="L881" s="22">
        <f t="shared" si="66"/>
        <v>1072.3593808206947</v>
      </c>
      <c r="M881" s="22">
        <f t="shared" si="67"/>
        <v>391</v>
      </c>
      <c r="N881" s="22" t="str">
        <f t="shared" si="68"/>
        <v>High Value</v>
      </c>
      <c r="O881" s="22" t="str">
        <f t="shared" si="69"/>
        <v>Dec-2023</v>
      </c>
      <c r="P881" s="22" t="s">
        <v>1811</v>
      </c>
      <c r="Q881" s="22" t="s">
        <v>1536</v>
      </c>
      <c r="R881" s="22" t="s">
        <v>534</v>
      </c>
      <c r="S881" s="22"/>
      <c r="T881" s="22"/>
      <c r="V881" s="26" t="s">
        <v>1931</v>
      </c>
      <c r="W881" s="6">
        <v>5</v>
      </c>
    </row>
    <row r="882" spans="1:23">
      <c r="A882" t="s">
        <v>2819</v>
      </c>
      <c r="B882" s="8">
        <v>45575</v>
      </c>
      <c r="C882" t="s">
        <v>418</v>
      </c>
      <c r="D882" t="s">
        <v>1678</v>
      </c>
      <c r="E882" t="s">
        <v>1893</v>
      </c>
      <c r="F882">
        <v>4</v>
      </c>
      <c r="G882" s="10">
        <v>194.36</v>
      </c>
      <c r="H882" s="13">
        <v>0.18</v>
      </c>
      <c r="I882" t="s">
        <v>1936</v>
      </c>
      <c r="J882" s="16">
        <v>637.50080000000014</v>
      </c>
      <c r="K882" s="19">
        <f t="shared" si="65"/>
        <v>1201019.0018999989</v>
      </c>
      <c r="L882" s="22">
        <f t="shared" si="66"/>
        <v>1072.3383945535704</v>
      </c>
      <c r="M882" s="22">
        <f t="shared" si="67"/>
        <v>391</v>
      </c>
      <c r="N882" s="22" t="str">
        <f t="shared" si="68"/>
        <v>Low Value</v>
      </c>
      <c r="O882" s="22" t="str">
        <f t="shared" si="69"/>
        <v>Oct-2024</v>
      </c>
      <c r="P882" s="22" t="s">
        <v>1679</v>
      </c>
      <c r="Q882" s="22" t="s">
        <v>1531</v>
      </c>
      <c r="R882" s="22" t="s">
        <v>419</v>
      </c>
      <c r="S882" s="22"/>
      <c r="T882" s="22"/>
      <c r="V882" s="26" t="s">
        <v>1933</v>
      </c>
      <c r="W882" s="6">
        <v>2</v>
      </c>
    </row>
    <row r="883" spans="1:23">
      <c r="A883" t="s">
        <v>2820</v>
      </c>
      <c r="B883" s="8">
        <v>45660</v>
      </c>
      <c r="C883" t="s">
        <v>512</v>
      </c>
      <c r="D883" t="s">
        <v>1831</v>
      </c>
      <c r="E883" t="s">
        <v>1864</v>
      </c>
      <c r="F883">
        <v>3</v>
      </c>
      <c r="G883" s="10">
        <v>476.37</v>
      </c>
      <c r="H883" s="13">
        <v>0.21</v>
      </c>
      <c r="I883" t="s">
        <v>1936</v>
      </c>
      <c r="J883" s="16">
        <v>1128.9969000000001</v>
      </c>
      <c r="K883" s="19">
        <f t="shared" si="65"/>
        <v>1200381.5010999988</v>
      </c>
      <c r="L883" s="22">
        <f t="shared" si="66"/>
        <v>1072.7269893655039</v>
      </c>
      <c r="M883" s="22">
        <f t="shared" si="67"/>
        <v>391</v>
      </c>
      <c r="N883" s="22" t="str">
        <f t="shared" si="68"/>
        <v>High Value</v>
      </c>
      <c r="O883" s="22" t="str">
        <f t="shared" si="69"/>
        <v>Jan-2025</v>
      </c>
      <c r="P883" s="22" t="s">
        <v>1832</v>
      </c>
      <c r="Q883" s="22" t="s">
        <v>1560</v>
      </c>
      <c r="R883" s="22" t="s">
        <v>513</v>
      </c>
      <c r="S883" s="22"/>
      <c r="T883" s="22"/>
      <c r="V883" s="25" t="s">
        <v>1289</v>
      </c>
      <c r="W883" s="6">
        <v>14</v>
      </c>
    </row>
    <row r="884" spans="1:23">
      <c r="A884" t="s">
        <v>2821</v>
      </c>
      <c r="B884" s="8">
        <v>45360</v>
      </c>
      <c r="C884" t="s">
        <v>1136</v>
      </c>
      <c r="D884" t="s">
        <v>1672</v>
      </c>
      <c r="E884" t="s">
        <v>1880</v>
      </c>
      <c r="F884">
        <v>3</v>
      </c>
      <c r="G884" s="10">
        <v>174.57</v>
      </c>
      <c r="H884" s="13">
        <v>0</v>
      </c>
      <c r="I884" t="s">
        <v>1933</v>
      </c>
      <c r="J884" s="16">
        <v>523.71</v>
      </c>
      <c r="K884" s="19">
        <f t="shared" si="65"/>
        <v>1199252.5041999987</v>
      </c>
      <c r="L884" s="22">
        <f t="shared" si="66"/>
        <v>1072.6766584973154</v>
      </c>
      <c r="M884" s="22">
        <f t="shared" si="67"/>
        <v>391</v>
      </c>
      <c r="N884" s="22" t="str">
        <f t="shared" si="68"/>
        <v>Low Value</v>
      </c>
      <c r="O884" s="22" t="str">
        <f t="shared" si="69"/>
        <v>Mar-2024</v>
      </c>
      <c r="P884" s="22" t="s">
        <v>1673</v>
      </c>
      <c r="Q884" s="22" t="s">
        <v>1531</v>
      </c>
      <c r="R884" s="22" t="s">
        <v>1137</v>
      </c>
      <c r="S884" s="22"/>
      <c r="T884" s="22"/>
      <c r="V884" s="26" t="s">
        <v>1936</v>
      </c>
      <c r="W884" s="6">
        <v>7</v>
      </c>
    </row>
    <row r="885" spans="1:23">
      <c r="A885" t="s">
        <v>2822</v>
      </c>
      <c r="B885" s="8">
        <v>45526</v>
      </c>
      <c r="C885" t="s">
        <v>409</v>
      </c>
      <c r="D885" t="s">
        <v>1810</v>
      </c>
      <c r="E885" t="s">
        <v>1859</v>
      </c>
      <c r="F885">
        <v>3</v>
      </c>
      <c r="G885" s="10">
        <v>762</v>
      </c>
      <c r="H885" s="13">
        <v>0.02</v>
      </c>
      <c r="I885" t="s">
        <v>1933</v>
      </c>
      <c r="J885" s="16">
        <v>2240.2800000000002</v>
      </c>
      <c r="K885" s="19">
        <f t="shared" si="65"/>
        <v>1198728.7941999987</v>
      </c>
      <c r="L885" s="22">
        <f t="shared" si="66"/>
        <v>1073.1681237242603</v>
      </c>
      <c r="M885" s="22">
        <f t="shared" si="67"/>
        <v>390</v>
      </c>
      <c r="N885" s="22" t="str">
        <f t="shared" si="68"/>
        <v>High Value</v>
      </c>
      <c r="O885" s="22" t="str">
        <f t="shared" si="69"/>
        <v>Aug-2024</v>
      </c>
      <c r="P885" s="22" t="s">
        <v>1811</v>
      </c>
      <c r="Q885" s="22" t="s">
        <v>1536</v>
      </c>
      <c r="R885" s="22" t="s">
        <v>410</v>
      </c>
      <c r="S885" s="22"/>
      <c r="T885" s="22"/>
      <c r="V885" s="26" t="s">
        <v>1931</v>
      </c>
      <c r="W885" s="6">
        <v>1</v>
      </c>
    </row>
    <row r="886" spans="1:23">
      <c r="A886" t="s">
        <v>2823</v>
      </c>
      <c r="B886" s="8">
        <v>45395</v>
      </c>
      <c r="C886" t="s">
        <v>1310</v>
      </c>
      <c r="D886" t="s">
        <v>1771</v>
      </c>
      <c r="E886" t="s">
        <v>1920</v>
      </c>
      <c r="F886">
        <v>1</v>
      </c>
      <c r="G886" s="10">
        <v>44.08</v>
      </c>
      <c r="H886" s="13">
        <v>0.05</v>
      </c>
      <c r="I886" t="s">
        <v>1931</v>
      </c>
      <c r="J886" s="16">
        <v>41.875999999999998</v>
      </c>
      <c r="K886" s="19">
        <f t="shared" si="65"/>
        <v>1196488.5141999987</v>
      </c>
      <c r="L886" s="22">
        <f t="shared" si="66"/>
        <v>1072.1223245519702</v>
      </c>
      <c r="M886" s="22">
        <f t="shared" si="67"/>
        <v>389</v>
      </c>
      <c r="N886" s="22" t="str">
        <f t="shared" si="68"/>
        <v>Low Value</v>
      </c>
      <c r="O886" s="22" t="str">
        <f t="shared" si="69"/>
        <v>Apr-2024</v>
      </c>
      <c r="P886" s="22" t="s">
        <v>1772</v>
      </c>
      <c r="Q886" s="22" t="s">
        <v>1569</v>
      </c>
      <c r="R886" s="22" t="s">
        <v>1311</v>
      </c>
      <c r="S886" s="22"/>
      <c r="T886" s="22"/>
      <c r="V886" s="26" t="s">
        <v>1933</v>
      </c>
      <c r="W886" s="6">
        <v>6</v>
      </c>
    </row>
    <row r="887" spans="1:23">
      <c r="A887" t="s">
        <v>2824</v>
      </c>
      <c r="B887" s="8">
        <v>45466</v>
      </c>
      <c r="C887" t="s">
        <v>1508</v>
      </c>
      <c r="D887" t="s">
        <v>1731</v>
      </c>
      <c r="E887" t="s">
        <v>1904</v>
      </c>
      <c r="F887">
        <v>1</v>
      </c>
      <c r="G887" s="10">
        <v>992.37</v>
      </c>
      <c r="H887" s="13">
        <v>0.24</v>
      </c>
      <c r="I887" t="s">
        <v>1936</v>
      </c>
      <c r="J887" s="16">
        <v>754.20119999999997</v>
      </c>
      <c r="K887" s="19">
        <f t="shared" si="65"/>
        <v>1196446.6381999988</v>
      </c>
      <c r="L887" s="22">
        <f t="shared" si="66"/>
        <v>1073.0463122869944</v>
      </c>
      <c r="M887" s="22">
        <f t="shared" si="67"/>
        <v>389</v>
      </c>
      <c r="N887" s="22" t="str">
        <f t="shared" si="68"/>
        <v>Low Value</v>
      </c>
      <c r="O887" s="22" t="str">
        <f t="shared" si="69"/>
        <v>Jun-2024</v>
      </c>
      <c r="P887" s="22" t="s">
        <v>1732</v>
      </c>
      <c r="Q887" s="22" t="s">
        <v>1555</v>
      </c>
      <c r="R887" s="22" t="s">
        <v>1509</v>
      </c>
      <c r="S887" s="22"/>
      <c r="T887" s="22"/>
      <c r="V887" s="25" t="s">
        <v>837</v>
      </c>
      <c r="W887" s="6">
        <v>6</v>
      </c>
    </row>
    <row r="888" spans="1:23">
      <c r="A888" t="s">
        <v>2825</v>
      </c>
      <c r="B888" s="8">
        <v>45876</v>
      </c>
      <c r="C888" t="s">
        <v>655</v>
      </c>
      <c r="D888" t="s">
        <v>1642</v>
      </c>
      <c r="E888" t="s">
        <v>1896</v>
      </c>
      <c r="F888">
        <v>3</v>
      </c>
      <c r="G888" s="10">
        <v>465.4</v>
      </c>
      <c r="H888" s="13">
        <v>0.28999999999999998</v>
      </c>
      <c r="I888" t="s">
        <v>1936</v>
      </c>
      <c r="J888" s="16">
        <v>991.30199999999979</v>
      </c>
      <c r="K888" s="19">
        <f t="shared" si="65"/>
        <v>1195692.4369999988</v>
      </c>
      <c r="L888" s="22">
        <f t="shared" si="66"/>
        <v>1073.3325287253131</v>
      </c>
      <c r="M888" s="22">
        <f t="shared" si="67"/>
        <v>389</v>
      </c>
      <c r="N888" s="22" t="str">
        <f t="shared" si="68"/>
        <v>Low Value</v>
      </c>
      <c r="O888" s="22" t="str">
        <f t="shared" si="69"/>
        <v>Aug-2025</v>
      </c>
      <c r="P888" s="22" t="s">
        <v>1643</v>
      </c>
      <c r="Q888" s="22" t="s">
        <v>1569</v>
      </c>
      <c r="R888" s="22" t="s">
        <v>656</v>
      </c>
      <c r="S888" s="22"/>
      <c r="T888" s="22"/>
      <c r="V888" s="26" t="s">
        <v>1936</v>
      </c>
      <c r="W888" s="6">
        <v>3</v>
      </c>
    </row>
    <row r="889" spans="1:23">
      <c r="A889" t="s">
        <v>2826</v>
      </c>
      <c r="B889" s="8">
        <v>45724</v>
      </c>
      <c r="C889" t="s">
        <v>1055</v>
      </c>
      <c r="D889" t="s">
        <v>1970</v>
      </c>
      <c r="E889" t="s">
        <v>1896</v>
      </c>
      <c r="F889">
        <v>2</v>
      </c>
      <c r="G889" s="10">
        <v>693.61</v>
      </c>
      <c r="H889" s="13">
        <v>0.15</v>
      </c>
      <c r="I889" t="s">
        <v>1933</v>
      </c>
      <c r="J889" s="16">
        <v>1179.1369999999999</v>
      </c>
      <c r="K889" s="19">
        <f t="shared" si="65"/>
        <v>1194701.1349999986</v>
      </c>
      <c r="L889" s="22">
        <f t="shared" si="66"/>
        <v>1073.4062309074561</v>
      </c>
      <c r="M889" s="22">
        <f t="shared" si="67"/>
        <v>389</v>
      </c>
      <c r="N889" s="22" t="str">
        <f t="shared" si="68"/>
        <v>High Value</v>
      </c>
      <c r="O889" s="22" t="str">
        <f t="shared" si="69"/>
        <v>Mar-2025</v>
      </c>
      <c r="P889" s="22" t="s">
        <v>1594</v>
      </c>
      <c r="Q889" s="22" t="s">
        <v>1555</v>
      </c>
      <c r="R889" s="22" t="s">
        <v>1056</v>
      </c>
      <c r="S889" s="22"/>
      <c r="T889" s="22"/>
      <c r="V889" s="26" t="s">
        <v>1933</v>
      </c>
      <c r="W889" s="6">
        <v>3</v>
      </c>
    </row>
    <row r="890" spans="1:23">
      <c r="A890" t="s">
        <v>2827</v>
      </c>
      <c r="B890" s="8">
        <v>45801</v>
      </c>
      <c r="C890" t="s">
        <v>1424</v>
      </c>
      <c r="D890" t="s">
        <v>1755</v>
      </c>
      <c r="E890" t="s">
        <v>1889</v>
      </c>
      <c r="F890">
        <v>2</v>
      </c>
      <c r="G890" s="10">
        <v>995.11</v>
      </c>
      <c r="H890" s="13">
        <v>0.13</v>
      </c>
      <c r="I890" t="s">
        <v>1933</v>
      </c>
      <c r="J890" s="16">
        <v>1731.4914000000001</v>
      </c>
      <c r="K890" s="19">
        <f t="shared" si="65"/>
        <v>1193521.9979999987</v>
      </c>
      <c r="L890" s="22">
        <f t="shared" si="66"/>
        <v>1073.3111492805745</v>
      </c>
      <c r="M890" s="22">
        <f t="shared" si="67"/>
        <v>388</v>
      </c>
      <c r="N890" s="22" t="str">
        <f t="shared" si="68"/>
        <v>High Value</v>
      </c>
      <c r="O890" s="22" t="str">
        <f t="shared" si="69"/>
        <v>May-2025</v>
      </c>
      <c r="P890" s="22" t="s">
        <v>1756</v>
      </c>
      <c r="Q890" s="22" t="s">
        <v>1531</v>
      </c>
      <c r="R890" s="22" t="s">
        <v>1425</v>
      </c>
      <c r="S890" s="22"/>
      <c r="T890" s="22"/>
      <c r="V890" s="25" t="s">
        <v>203</v>
      </c>
      <c r="W890" s="6">
        <v>30</v>
      </c>
    </row>
    <row r="891" spans="1:23">
      <c r="A891" t="s">
        <v>2828</v>
      </c>
      <c r="B891" s="8">
        <v>45749</v>
      </c>
      <c r="C891" t="s">
        <v>1184</v>
      </c>
      <c r="D891" t="s">
        <v>1617</v>
      </c>
      <c r="E891" t="s">
        <v>1876</v>
      </c>
      <c r="F891">
        <v>3</v>
      </c>
      <c r="G891" s="10">
        <v>70.97</v>
      </c>
      <c r="H891" s="13">
        <v>0.06</v>
      </c>
      <c r="I891" t="s">
        <v>1936</v>
      </c>
      <c r="J891" s="16">
        <v>200.1354</v>
      </c>
      <c r="K891" s="19">
        <f t="shared" si="65"/>
        <v>1191790.5065999988</v>
      </c>
      <c r="L891" s="22">
        <f t="shared" si="66"/>
        <v>1072.7187278127801</v>
      </c>
      <c r="M891" s="22">
        <f t="shared" si="67"/>
        <v>387</v>
      </c>
      <c r="N891" s="22" t="str">
        <f t="shared" si="68"/>
        <v>Low Value</v>
      </c>
      <c r="O891" s="22" t="str">
        <f t="shared" si="69"/>
        <v>Apr-2025</v>
      </c>
      <c r="P891" s="22" t="s">
        <v>1618</v>
      </c>
      <c r="Q891" s="22" t="s">
        <v>1536</v>
      </c>
      <c r="R891" s="22" t="s">
        <v>1185</v>
      </c>
      <c r="S891" s="22"/>
      <c r="T891" s="22"/>
      <c r="V891" s="26" t="s">
        <v>1936</v>
      </c>
      <c r="W891" s="6">
        <v>12</v>
      </c>
    </row>
    <row r="892" spans="1:23">
      <c r="A892" t="s">
        <v>2829</v>
      </c>
      <c r="B892" s="8">
        <v>45325</v>
      </c>
      <c r="C892" t="s">
        <v>391</v>
      </c>
      <c r="D892" t="s">
        <v>1804</v>
      </c>
      <c r="E892" t="s">
        <v>1893</v>
      </c>
      <c r="F892">
        <v>3</v>
      </c>
      <c r="G892" s="10">
        <v>470.42</v>
      </c>
      <c r="H892" s="13">
        <v>0.16</v>
      </c>
      <c r="I892" t="s">
        <v>1931</v>
      </c>
      <c r="J892" s="16">
        <v>1185.4584</v>
      </c>
      <c r="K892" s="19">
        <f t="shared" si="65"/>
        <v>1191590.3711999988</v>
      </c>
      <c r="L892" s="22">
        <f t="shared" si="66"/>
        <v>1073.5048389189178</v>
      </c>
      <c r="M892" s="22">
        <f t="shared" si="67"/>
        <v>387</v>
      </c>
      <c r="N892" s="22" t="str">
        <f t="shared" si="68"/>
        <v>High Value</v>
      </c>
      <c r="O892" s="22" t="str">
        <f t="shared" si="69"/>
        <v>Feb-2024</v>
      </c>
      <c r="P892" s="22" t="s">
        <v>1805</v>
      </c>
      <c r="Q892" s="22" t="s">
        <v>1555</v>
      </c>
      <c r="R892" s="22" t="s">
        <v>392</v>
      </c>
      <c r="S892" s="22"/>
      <c r="T892" s="22"/>
      <c r="V892" s="26" t="s">
        <v>1931</v>
      </c>
      <c r="W892" s="6">
        <v>14</v>
      </c>
    </row>
    <row r="893" spans="1:23">
      <c r="A893" t="s">
        <v>2830</v>
      </c>
      <c r="B893" s="8">
        <v>45932</v>
      </c>
      <c r="C893" t="s">
        <v>987</v>
      </c>
      <c r="D893" t="s">
        <v>1813</v>
      </c>
      <c r="E893" t="s">
        <v>1911</v>
      </c>
      <c r="F893">
        <v>2</v>
      </c>
      <c r="G893" s="10">
        <v>215.59</v>
      </c>
      <c r="H893" s="13">
        <v>0.18</v>
      </c>
      <c r="I893" t="s">
        <v>1931</v>
      </c>
      <c r="J893" s="16">
        <v>353.56760000000003</v>
      </c>
      <c r="K893" s="19">
        <f t="shared" si="65"/>
        <v>1190404.9127999989</v>
      </c>
      <c r="L893" s="22">
        <f t="shared" si="66"/>
        <v>1073.4038889089259</v>
      </c>
      <c r="M893" s="22">
        <f t="shared" si="67"/>
        <v>387</v>
      </c>
      <c r="N893" s="22" t="str">
        <f t="shared" si="68"/>
        <v>Low Value</v>
      </c>
      <c r="O893" s="22" t="str">
        <f t="shared" si="69"/>
        <v>Oct-2025</v>
      </c>
      <c r="P893" s="22" t="s">
        <v>1814</v>
      </c>
      <c r="Q893" s="22" t="s">
        <v>1560</v>
      </c>
      <c r="R893" s="22" t="s">
        <v>988</v>
      </c>
      <c r="S893" s="22"/>
      <c r="T893" s="22"/>
      <c r="V893" s="26" t="s">
        <v>1933</v>
      </c>
      <c r="W893" s="6">
        <v>4</v>
      </c>
    </row>
    <row r="894" spans="1:23">
      <c r="A894" t="s">
        <v>2831</v>
      </c>
      <c r="B894" s="8">
        <v>45895</v>
      </c>
      <c r="C894" t="s">
        <v>768</v>
      </c>
      <c r="D894" t="s">
        <v>1831</v>
      </c>
      <c r="E894" t="s">
        <v>1859</v>
      </c>
      <c r="F894">
        <v>1</v>
      </c>
      <c r="G894" s="10">
        <v>533.79999999999995</v>
      </c>
      <c r="H894" s="13">
        <v>0.27</v>
      </c>
      <c r="I894" t="s">
        <v>1936</v>
      </c>
      <c r="J894" s="16">
        <v>389.67399999999998</v>
      </c>
      <c r="K894" s="19">
        <f t="shared" si="65"/>
        <v>1190051.3451999989</v>
      </c>
      <c r="L894" s="22">
        <f t="shared" si="66"/>
        <v>1074.0535606498186</v>
      </c>
      <c r="M894" s="22">
        <f t="shared" si="67"/>
        <v>387</v>
      </c>
      <c r="N894" s="22" t="str">
        <f t="shared" si="68"/>
        <v>Low Value</v>
      </c>
      <c r="O894" s="22" t="str">
        <f t="shared" si="69"/>
        <v>Aug-2025</v>
      </c>
      <c r="P894" s="22" t="s">
        <v>1832</v>
      </c>
      <c r="Q894" s="22" t="s">
        <v>1560</v>
      </c>
      <c r="R894" s="22" t="s">
        <v>769</v>
      </c>
      <c r="S894" s="22"/>
      <c r="T894" s="22"/>
      <c r="V894" s="25" t="s">
        <v>279</v>
      </c>
      <c r="W894" s="6">
        <v>13</v>
      </c>
    </row>
    <row r="895" spans="1:23">
      <c r="A895" t="s">
        <v>2832</v>
      </c>
      <c r="B895" s="8">
        <v>45614</v>
      </c>
      <c r="C895" t="s">
        <v>330</v>
      </c>
      <c r="D895" t="s">
        <v>1646</v>
      </c>
      <c r="E895" t="s">
        <v>1873</v>
      </c>
      <c r="F895">
        <v>2</v>
      </c>
      <c r="G895" s="10">
        <v>732.67</v>
      </c>
      <c r="H895" s="13">
        <v>0.24</v>
      </c>
      <c r="I895" t="s">
        <v>1933</v>
      </c>
      <c r="J895" s="16">
        <v>1113.6584</v>
      </c>
      <c r="K895" s="19">
        <f t="shared" si="65"/>
        <v>1189661.6711999991</v>
      </c>
      <c r="L895" s="22">
        <f t="shared" si="66"/>
        <v>1074.6717897018962</v>
      </c>
      <c r="M895" s="22">
        <f t="shared" si="67"/>
        <v>387</v>
      </c>
      <c r="N895" s="22" t="str">
        <f t="shared" si="68"/>
        <v>High Value</v>
      </c>
      <c r="O895" s="22" t="str">
        <f t="shared" si="69"/>
        <v>Nov-2024</v>
      </c>
      <c r="P895" s="22" t="s">
        <v>1647</v>
      </c>
      <c r="Q895" s="22" t="s">
        <v>1555</v>
      </c>
      <c r="R895" s="22" t="s">
        <v>331</v>
      </c>
      <c r="S895" s="22"/>
      <c r="T895" s="22"/>
      <c r="V895" s="26" t="s">
        <v>1936</v>
      </c>
      <c r="W895" s="6">
        <v>11</v>
      </c>
    </row>
    <row r="896" spans="1:23">
      <c r="A896" t="s">
        <v>2833</v>
      </c>
      <c r="B896" s="8">
        <v>45247</v>
      </c>
      <c r="C896" t="s">
        <v>1492</v>
      </c>
      <c r="D896" t="s">
        <v>1734</v>
      </c>
      <c r="E896" t="s">
        <v>1904</v>
      </c>
      <c r="F896">
        <v>4</v>
      </c>
      <c r="G896" s="10">
        <v>106.48</v>
      </c>
      <c r="H896" s="13">
        <v>0.1</v>
      </c>
      <c r="I896" t="s">
        <v>1936</v>
      </c>
      <c r="J896" s="16">
        <v>383.32799999999997</v>
      </c>
      <c r="K896" s="19">
        <f t="shared" si="65"/>
        <v>1188548.012799999</v>
      </c>
      <c r="L896" s="22">
        <f t="shared" si="66"/>
        <v>1074.636539602169</v>
      </c>
      <c r="M896" s="22">
        <f t="shared" si="67"/>
        <v>386</v>
      </c>
      <c r="N896" s="22" t="str">
        <f t="shared" si="68"/>
        <v>Low Value</v>
      </c>
      <c r="O896" s="22" t="str">
        <f t="shared" si="69"/>
        <v>Nov-2023</v>
      </c>
      <c r="P896" s="22" t="s">
        <v>1735</v>
      </c>
      <c r="Q896" s="22" t="s">
        <v>1555</v>
      </c>
      <c r="R896" s="22" t="s">
        <v>1493</v>
      </c>
      <c r="S896" s="22"/>
      <c r="T896" s="22"/>
      <c r="V896" s="26" t="s">
        <v>1933</v>
      </c>
      <c r="W896" s="6">
        <v>2</v>
      </c>
    </row>
    <row r="897" spans="1:23">
      <c r="A897" t="s">
        <v>2834</v>
      </c>
      <c r="B897" s="8">
        <v>45696</v>
      </c>
      <c r="C897" t="s">
        <v>367</v>
      </c>
      <c r="D897" t="s">
        <v>1725</v>
      </c>
      <c r="E897" t="s">
        <v>1873</v>
      </c>
      <c r="F897">
        <v>1</v>
      </c>
      <c r="G897" s="10">
        <v>38.950000000000003</v>
      </c>
      <c r="H897" s="13">
        <v>0.28000000000000003</v>
      </c>
      <c r="I897" t="s">
        <v>1931</v>
      </c>
      <c r="J897" s="16">
        <v>28.044</v>
      </c>
      <c r="K897" s="19">
        <f t="shared" si="65"/>
        <v>1188164.684799999</v>
      </c>
      <c r="L897" s="22">
        <f t="shared" si="66"/>
        <v>1075.2621581900444</v>
      </c>
      <c r="M897" s="22">
        <f t="shared" si="67"/>
        <v>386</v>
      </c>
      <c r="N897" s="22" t="str">
        <f t="shared" si="68"/>
        <v>Low Value</v>
      </c>
      <c r="O897" s="22" t="str">
        <f t="shared" si="69"/>
        <v>Feb-2025</v>
      </c>
      <c r="P897" s="22" t="s">
        <v>1726</v>
      </c>
      <c r="Q897" s="22" t="s">
        <v>1569</v>
      </c>
      <c r="R897" s="22" t="s">
        <v>368</v>
      </c>
      <c r="S897" s="22"/>
      <c r="T897" s="22"/>
      <c r="V897" s="25" t="s">
        <v>701</v>
      </c>
      <c r="W897" s="6">
        <v>7</v>
      </c>
    </row>
    <row r="898" spans="1:23">
      <c r="A898" t="s">
        <v>2835</v>
      </c>
      <c r="B898" s="8">
        <v>45294</v>
      </c>
      <c r="C898" t="s">
        <v>1328</v>
      </c>
      <c r="D898" t="s">
        <v>1843</v>
      </c>
      <c r="E898" t="s">
        <v>1911</v>
      </c>
      <c r="F898">
        <v>1</v>
      </c>
      <c r="G898" s="10">
        <v>835.17</v>
      </c>
      <c r="H898" s="13">
        <v>0.02</v>
      </c>
      <c r="I898" t="s">
        <v>1936</v>
      </c>
      <c r="J898" s="16">
        <v>818.46659999999997</v>
      </c>
      <c r="K898" s="19">
        <f t="shared" ref="K898:K961" si="70">SUM(J898:J2897)</f>
        <v>1188136.640799999</v>
      </c>
      <c r="L898" s="22">
        <f t="shared" ref="L898:L961" si="71">AVERAGE(J898:J2897)</f>
        <v>1076.210725362318</v>
      </c>
      <c r="M898" s="22">
        <f t="shared" ref="M898:M961" si="72">COUNTIF(I898:I2897,"PayPal")</f>
        <v>386</v>
      </c>
      <c r="N898" s="22" t="str">
        <f t="shared" ref="N898:N961" si="73">IF(J898&gt;=1000,"High Value","Low Value")</f>
        <v>Low Value</v>
      </c>
      <c r="O898" s="22" t="str">
        <f t="shared" ref="O898:O961" si="74">TEXT(B898,"mmm-yyyy")</f>
        <v>Jan-2024</v>
      </c>
      <c r="P898" s="22" t="s">
        <v>1844</v>
      </c>
      <c r="Q898" s="22" t="s">
        <v>1536</v>
      </c>
      <c r="R898" s="22" t="s">
        <v>1329</v>
      </c>
      <c r="S898" s="22"/>
      <c r="T898" s="22"/>
      <c r="V898" s="26" t="s">
        <v>1936</v>
      </c>
      <c r="W898" s="6">
        <v>4</v>
      </c>
    </row>
    <row r="899" spans="1:23">
      <c r="A899" t="s">
        <v>2836</v>
      </c>
      <c r="B899" s="8">
        <v>45389</v>
      </c>
      <c r="C899" t="s">
        <v>456</v>
      </c>
      <c r="D899" t="s">
        <v>1804</v>
      </c>
      <c r="E899" t="s">
        <v>1873</v>
      </c>
      <c r="F899">
        <v>1</v>
      </c>
      <c r="G899" s="10">
        <v>113.07</v>
      </c>
      <c r="H899" s="13">
        <v>0.24</v>
      </c>
      <c r="I899" t="s">
        <v>1931</v>
      </c>
      <c r="J899" s="16">
        <v>85.933199999999999</v>
      </c>
      <c r="K899" s="19">
        <f t="shared" si="70"/>
        <v>1187318.1741999991</v>
      </c>
      <c r="L899" s="22">
        <f t="shared" si="71"/>
        <v>1076.4444009066174</v>
      </c>
      <c r="M899" s="22">
        <f t="shared" si="72"/>
        <v>386</v>
      </c>
      <c r="N899" s="22" t="str">
        <f t="shared" si="73"/>
        <v>Low Value</v>
      </c>
      <c r="O899" s="22" t="str">
        <f t="shared" si="74"/>
        <v>Apr-2024</v>
      </c>
      <c r="P899" s="22" t="s">
        <v>1805</v>
      </c>
      <c r="Q899" s="22" t="s">
        <v>1555</v>
      </c>
      <c r="R899" s="22" t="s">
        <v>457</v>
      </c>
      <c r="S899" s="22"/>
      <c r="T899" s="22"/>
      <c r="V899" s="26" t="s">
        <v>1933</v>
      </c>
      <c r="W899" s="6">
        <v>3</v>
      </c>
    </row>
    <row r="900" spans="1:23">
      <c r="A900" t="s">
        <v>2837</v>
      </c>
      <c r="B900" s="8">
        <v>45930</v>
      </c>
      <c r="C900" t="s">
        <v>1427</v>
      </c>
      <c r="D900" t="s">
        <v>1837</v>
      </c>
      <c r="E900" t="s">
        <v>1901</v>
      </c>
      <c r="F900">
        <v>2</v>
      </c>
      <c r="G900" s="10">
        <v>451.33</v>
      </c>
      <c r="H900" s="13">
        <v>0.23</v>
      </c>
      <c r="I900" t="s">
        <v>1936</v>
      </c>
      <c r="J900" s="16">
        <v>695.04819999999995</v>
      </c>
      <c r="K900" s="19">
        <f t="shared" si="70"/>
        <v>1187232.240999999</v>
      </c>
      <c r="L900" s="22">
        <f t="shared" si="71"/>
        <v>1077.3432313974583</v>
      </c>
      <c r="M900" s="22">
        <f t="shared" si="72"/>
        <v>386</v>
      </c>
      <c r="N900" s="22" t="str">
        <f t="shared" si="73"/>
        <v>Low Value</v>
      </c>
      <c r="O900" s="22" t="str">
        <f t="shared" si="74"/>
        <v>Sep-2025</v>
      </c>
      <c r="P900" s="22" t="s">
        <v>1838</v>
      </c>
      <c r="Q900" s="22" t="s">
        <v>1555</v>
      </c>
      <c r="R900" s="22" t="s">
        <v>1428</v>
      </c>
      <c r="S900" s="22"/>
      <c r="T900" s="22"/>
      <c r="V900" s="25" t="s">
        <v>704</v>
      </c>
      <c r="W900" s="6">
        <v>3</v>
      </c>
    </row>
    <row r="901" spans="1:23">
      <c r="A901" t="s">
        <v>2838</v>
      </c>
      <c r="B901" s="8">
        <v>45456</v>
      </c>
      <c r="C901" t="s">
        <v>1157</v>
      </c>
      <c r="D901" t="s">
        <v>1813</v>
      </c>
      <c r="E901" t="s">
        <v>1883</v>
      </c>
      <c r="F901">
        <v>3</v>
      </c>
      <c r="G901" s="10">
        <v>619.80999999999995</v>
      </c>
      <c r="H901" s="13">
        <v>0.16</v>
      </c>
      <c r="I901" t="s">
        <v>1936</v>
      </c>
      <c r="J901" s="16">
        <v>1561.9212</v>
      </c>
      <c r="K901" s="19">
        <f t="shared" si="70"/>
        <v>1186537.1927999989</v>
      </c>
      <c r="L901" s="22">
        <f t="shared" si="71"/>
        <v>1077.6904566757482</v>
      </c>
      <c r="M901" s="22">
        <f t="shared" si="72"/>
        <v>386</v>
      </c>
      <c r="N901" s="22" t="str">
        <f t="shared" si="73"/>
        <v>High Value</v>
      </c>
      <c r="O901" s="22" t="str">
        <f t="shared" si="74"/>
        <v>Jun-2024</v>
      </c>
      <c r="P901" s="22" t="s">
        <v>1814</v>
      </c>
      <c r="Q901" s="22" t="s">
        <v>1560</v>
      </c>
      <c r="R901" s="22" t="s">
        <v>1158</v>
      </c>
      <c r="S901" s="22"/>
      <c r="T901" s="22"/>
      <c r="V901" s="26" t="s">
        <v>1933</v>
      </c>
      <c r="W901" s="6">
        <v>3</v>
      </c>
    </row>
    <row r="902" spans="1:23">
      <c r="A902" t="s">
        <v>2839</v>
      </c>
      <c r="B902" s="8">
        <v>45713</v>
      </c>
      <c r="C902" t="s">
        <v>376</v>
      </c>
      <c r="D902" t="s">
        <v>1740</v>
      </c>
      <c r="E902" t="s">
        <v>1886</v>
      </c>
      <c r="F902">
        <v>4</v>
      </c>
      <c r="G902" s="10">
        <v>46.97</v>
      </c>
      <c r="H902" s="13">
        <v>0.26</v>
      </c>
      <c r="I902" t="s">
        <v>1933</v>
      </c>
      <c r="J902" s="16">
        <v>139.03120000000001</v>
      </c>
      <c r="K902" s="19">
        <f t="shared" si="70"/>
        <v>1184975.2715999989</v>
      </c>
      <c r="L902" s="22">
        <f t="shared" si="71"/>
        <v>1077.25024690909</v>
      </c>
      <c r="M902" s="22">
        <f t="shared" si="72"/>
        <v>386</v>
      </c>
      <c r="N902" s="22" t="str">
        <f t="shared" si="73"/>
        <v>Low Value</v>
      </c>
      <c r="O902" s="22" t="str">
        <f t="shared" si="74"/>
        <v>Feb-2025</v>
      </c>
      <c r="P902" s="22" t="s">
        <v>1741</v>
      </c>
      <c r="Q902" s="22" t="s">
        <v>1531</v>
      </c>
      <c r="R902" s="22" t="s">
        <v>377</v>
      </c>
      <c r="S902" s="22"/>
      <c r="T902" s="22"/>
      <c r="V902" s="25" t="s">
        <v>1272</v>
      </c>
      <c r="W902" s="6">
        <v>1</v>
      </c>
    </row>
    <row r="903" spans="1:23">
      <c r="A903" t="s">
        <v>2840</v>
      </c>
      <c r="B903" s="8">
        <v>45784</v>
      </c>
      <c r="C903" t="s">
        <v>605</v>
      </c>
      <c r="D903" t="s">
        <v>1690</v>
      </c>
      <c r="E903" t="s">
        <v>1868</v>
      </c>
      <c r="F903">
        <v>2</v>
      </c>
      <c r="G903" s="10">
        <v>71.48</v>
      </c>
      <c r="H903" s="13">
        <v>0.14000000000000001</v>
      </c>
      <c r="I903" t="s">
        <v>1936</v>
      </c>
      <c r="J903" s="16">
        <v>122.9456</v>
      </c>
      <c r="K903" s="19">
        <f t="shared" si="70"/>
        <v>1184836.2403999988</v>
      </c>
      <c r="L903" s="22">
        <f t="shared" si="71"/>
        <v>1078.1039494085521</v>
      </c>
      <c r="M903" s="22">
        <f t="shared" si="72"/>
        <v>385</v>
      </c>
      <c r="N903" s="22" t="str">
        <f t="shared" si="73"/>
        <v>Low Value</v>
      </c>
      <c r="O903" s="22" t="str">
        <f t="shared" si="74"/>
        <v>May-2025</v>
      </c>
      <c r="P903" s="22" t="s">
        <v>1691</v>
      </c>
      <c r="Q903" s="22" t="s">
        <v>1536</v>
      </c>
      <c r="R903" s="22" t="s">
        <v>606</v>
      </c>
      <c r="S903" s="22"/>
      <c r="T903" s="22"/>
      <c r="V903" s="26" t="s">
        <v>1936</v>
      </c>
      <c r="W903" s="6">
        <v>1</v>
      </c>
    </row>
    <row r="904" spans="1:23">
      <c r="A904" t="s">
        <v>2841</v>
      </c>
      <c r="B904" s="8">
        <v>45812</v>
      </c>
      <c r="C904" t="s">
        <v>8</v>
      </c>
      <c r="D904" t="s">
        <v>1722</v>
      </c>
      <c r="E904" t="s">
        <v>1920</v>
      </c>
      <c r="F904">
        <v>2</v>
      </c>
      <c r="G904" s="10">
        <v>404.08</v>
      </c>
      <c r="H904" s="13">
        <v>7.0000000000000007E-2</v>
      </c>
      <c r="I904" t="s">
        <v>1931</v>
      </c>
      <c r="J904" s="16">
        <v>751.58879999999988</v>
      </c>
      <c r="K904" s="19">
        <f t="shared" si="70"/>
        <v>1184713.2947999989</v>
      </c>
      <c r="L904" s="22">
        <f t="shared" si="71"/>
        <v>1078.9738568306</v>
      </c>
      <c r="M904" s="22">
        <f t="shared" si="72"/>
        <v>385</v>
      </c>
      <c r="N904" s="22" t="str">
        <f t="shared" si="73"/>
        <v>Low Value</v>
      </c>
      <c r="O904" s="22" t="str">
        <f t="shared" si="74"/>
        <v>Jun-2025</v>
      </c>
      <c r="P904" s="22" t="s">
        <v>1723</v>
      </c>
      <c r="Q904" s="22" t="s">
        <v>1560</v>
      </c>
      <c r="R904" s="22" t="s">
        <v>3939</v>
      </c>
      <c r="S904" s="22"/>
      <c r="T904" s="22"/>
      <c r="V904" s="25" t="s">
        <v>428</v>
      </c>
      <c r="W904" s="6">
        <v>4</v>
      </c>
    </row>
    <row r="905" spans="1:23">
      <c r="A905" t="s">
        <v>2842</v>
      </c>
      <c r="B905" s="8">
        <v>45653</v>
      </c>
      <c r="C905" t="s">
        <v>842</v>
      </c>
      <c r="D905" t="s">
        <v>1597</v>
      </c>
      <c r="E905" t="s">
        <v>1911</v>
      </c>
      <c r="F905">
        <v>1</v>
      </c>
      <c r="G905" s="10">
        <v>519.91</v>
      </c>
      <c r="H905" s="13">
        <v>0.05</v>
      </c>
      <c r="I905" t="s">
        <v>1936</v>
      </c>
      <c r="J905" s="16">
        <v>493.91449999999992</v>
      </c>
      <c r="K905" s="19">
        <f t="shared" si="70"/>
        <v>1183961.7059999991</v>
      </c>
      <c r="L905" s="22">
        <f t="shared" si="71"/>
        <v>1079.2722935278023</v>
      </c>
      <c r="M905" s="22">
        <f t="shared" si="72"/>
        <v>385</v>
      </c>
      <c r="N905" s="22" t="str">
        <f t="shared" si="73"/>
        <v>Low Value</v>
      </c>
      <c r="O905" s="22" t="str">
        <f t="shared" si="74"/>
        <v>Dec-2024</v>
      </c>
      <c r="P905" s="22" t="s">
        <v>1598</v>
      </c>
      <c r="Q905" s="22" t="s">
        <v>1569</v>
      </c>
      <c r="R905" s="22" t="s">
        <v>843</v>
      </c>
      <c r="S905" s="22"/>
      <c r="T905" s="22"/>
      <c r="V905" s="26" t="s">
        <v>1936</v>
      </c>
      <c r="W905" s="6">
        <v>4</v>
      </c>
    </row>
    <row r="906" spans="1:23">
      <c r="A906" t="s">
        <v>2843</v>
      </c>
      <c r="B906" s="8">
        <v>45672</v>
      </c>
      <c r="C906" t="s">
        <v>488</v>
      </c>
      <c r="D906" t="s">
        <v>1697</v>
      </c>
      <c r="E906" t="s">
        <v>1904</v>
      </c>
      <c r="F906">
        <v>3</v>
      </c>
      <c r="G906" s="10">
        <v>566.16</v>
      </c>
      <c r="H906" s="13">
        <v>0.05</v>
      </c>
      <c r="I906" t="s">
        <v>1933</v>
      </c>
      <c r="J906" s="16">
        <v>1613.556</v>
      </c>
      <c r="K906" s="19">
        <f t="shared" si="70"/>
        <v>1183467.7914999991</v>
      </c>
      <c r="L906" s="22">
        <f t="shared" si="71"/>
        <v>1079.8063791058387</v>
      </c>
      <c r="M906" s="22">
        <f t="shared" si="72"/>
        <v>385</v>
      </c>
      <c r="N906" s="22" t="str">
        <f t="shared" si="73"/>
        <v>High Value</v>
      </c>
      <c r="O906" s="22" t="str">
        <f t="shared" si="74"/>
        <v>Jan-2025</v>
      </c>
      <c r="P906" s="22" t="s">
        <v>1698</v>
      </c>
      <c r="Q906" s="22" t="s">
        <v>1531</v>
      </c>
      <c r="R906" s="22" t="s">
        <v>489</v>
      </c>
      <c r="S906" s="22"/>
      <c r="T906" s="22"/>
      <c r="V906" s="25" t="s">
        <v>1360</v>
      </c>
      <c r="W906" s="6">
        <v>13</v>
      </c>
    </row>
    <row r="907" spans="1:23">
      <c r="A907" t="s">
        <v>2844</v>
      </c>
      <c r="B907" s="8">
        <v>45799</v>
      </c>
      <c r="C907" t="s">
        <v>1217</v>
      </c>
      <c r="D907" t="s">
        <v>1710</v>
      </c>
      <c r="E907" t="s">
        <v>1896</v>
      </c>
      <c r="F907">
        <v>2</v>
      </c>
      <c r="G907" s="10">
        <v>295.12</v>
      </c>
      <c r="H907" s="13">
        <v>0.09</v>
      </c>
      <c r="I907" t="s">
        <v>1936</v>
      </c>
      <c r="J907" s="16">
        <v>537.11840000000007</v>
      </c>
      <c r="K907" s="19">
        <f t="shared" si="70"/>
        <v>1181854.2354999993</v>
      </c>
      <c r="L907" s="22">
        <f t="shared" si="71"/>
        <v>1079.3189365296796</v>
      </c>
      <c r="M907" s="22">
        <f t="shared" si="72"/>
        <v>384</v>
      </c>
      <c r="N907" s="22" t="str">
        <f t="shared" si="73"/>
        <v>Low Value</v>
      </c>
      <c r="O907" s="22" t="str">
        <f t="shared" si="74"/>
        <v>May-2025</v>
      </c>
      <c r="P907" s="22" t="s">
        <v>1711</v>
      </c>
      <c r="Q907" s="22" t="s">
        <v>1569</v>
      </c>
      <c r="R907" s="22" t="s">
        <v>1218</v>
      </c>
      <c r="S907" s="22"/>
      <c r="T907" s="22"/>
      <c r="V907" s="26" t="s">
        <v>1936</v>
      </c>
      <c r="W907" s="6">
        <v>4</v>
      </c>
    </row>
    <row r="908" spans="1:23">
      <c r="A908" t="s">
        <v>2845</v>
      </c>
      <c r="B908" s="8">
        <v>45848</v>
      </c>
      <c r="C908" t="s">
        <v>379</v>
      </c>
      <c r="D908" t="s">
        <v>1652</v>
      </c>
      <c r="E908" t="s">
        <v>1899</v>
      </c>
      <c r="F908">
        <v>2</v>
      </c>
      <c r="G908" s="10">
        <v>414.18</v>
      </c>
      <c r="H908" s="13">
        <v>0.25</v>
      </c>
      <c r="I908" t="s">
        <v>1933</v>
      </c>
      <c r="J908" s="16">
        <v>621.27</v>
      </c>
      <c r="K908" s="19">
        <f t="shared" si="70"/>
        <v>1181317.1170999992</v>
      </c>
      <c r="L908" s="22">
        <f t="shared" si="71"/>
        <v>1079.8145494515531</v>
      </c>
      <c r="M908" s="22">
        <f t="shared" si="72"/>
        <v>384</v>
      </c>
      <c r="N908" s="22" t="str">
        <f t="shared" si="73"/>
        <v>Low Value</v>
      </c>
      <c r="O908" s="22" t="str">
        <f t="shared" si="74"/>
        <v>Jul-2025</v>
      </c>
      <c r="P908" s="22" t="s">
        <v>1653</v>
      </c>
      <c r="Q908" s="22" t="s">
        <v>1531</v>
      </c>
      <c r="R908" s="22" t="s">
        <v>380</v>
      </c>
      <c r="S908" s="22"/>
      <c r="T908" s="22"/>
      <c r="V908" s="26" t="s">
        <v>1931</v>
      </c>
      <c r="W908" s="6">
        <v>8</v>
      </c>
    </row>
    <row r="909" spans="1:23">
      <c r="A909" t="s">
        <v>2846</v>
      </c>
      <c r="B909" s="8">
        <v>45918</v>
      </c>
      <c r="C909" t="s">
        <v>854</v>
      </c>
      <c r="D909" t="s">
        <v>1728</v>
      </c>
      <c r="E909" t="s">
        <v>1889</v>
      </c>
      <c r="F909">
        <v>2</v>
      </c>
      <c r="G909" s="10">
        <v>433.75</v>
      </c>
      <c r="H909" s="13">
        <v>0</v>
      </c>
      <c r="I909" t="s">
        <v>1931</v>
      </c>
      <c r="J909" s="16">
        <v>867.5</v>
      </c>
      <c r="K909" s="19">
        <f t="shared" si="70"/>
        <v>1180695.8470999992</v>
      </c>
      <c r="L909" s="22">
        <f t="shared" si="71"/>
        <v>1080.2340778591026</v>
      </c>
      <c r="M909" s="22">
        <f t="shared" si="72"/>
        <v>383</v>
      </c>
      <c r="N909" s="22" t="str">
        <f t="shared" si="73"/>
        <v>Low Value</v>
      </c>
      <c r="O909" s="22" t="str">
        <f t="shared" si="74"/>
        <v>Sep-2025</v>
      </c>
      <c r="P909" s="22" t="s">
        <v>1729</v>
      </c>
      <c r="Q909" s="22" t="s">
        <v>1536</v>
      </c>
      <c r="R909" s="22" t="s">
        <v>855</v>
      </c>
      <c r="S909" s="22"/>
      <c r="T909" s="22"/>
      <c r="V909" s="26" t="s">
        <v>1933</v>
      </c>
      <c r="W909" s="6">
        <v>1</v>
      </c>
    </row>
    <row r="910" spans="1:23">
      <c r="A910" t="s">
        <v>2847</v>
      </c>
      <c r="B910" s="8">
        <v>45288</v>
      </c>
      <c r="C910" t="s">
        <v>892</v>
      </c>
      <c r="D910" t="s">
        <v>1810</v>
      </c>
      <c r="E910" t="s">
        <v>1920</v>
      </c>
      <c r="F910">
        <v>3</v>
      </c>
      <c r="G910" s="10">
        <v>104.33</v>
      </c>
      <c r="H910" s="13">
        <v>0.13</v>
      </c>
      <c r="I910" t="s">
        <v>1936</v>
      </c>
      <c r="J910" s="16">
        <v>272.30130000000003</v>
      </c>
      <c r="K910" s="19">
        <f t="shared" si="70"/>
        <v>1179828.3470999992</v>
      </c>
      <c r="L910" s="22">
        <f t="shared" si="71"/>
        <v>1080.4288892857135</v>
      </c>
      <c r="M910" s="22">
        <f t="shared" si="72"/>
        <v>383</v>
      </c>
      <c r="N910" s="22" t="str">
        <f t="shared" si="73"/>
        <v>Low Value</v>
      </c>
      <c r="O910" s="22" t="str">
        <f t="shared" si="74"/>
        <v>Dec-2023</v>
      </c>
      <c r="P910" s="22" t="s">
        <v>1811</v>
      </c>
      <c r="Q910" s="22" t="s">
        <v>1536</v>
      </c>
      <c r="R910" s="22" t="s">
        <v>893</v>
      </c>
      <c r="S910" s="22"/>
      <c r="T910" s="22"/>
      <c r="V910" s="25" t="s">
        <v>1406</v>
      </c>
      <c r="W910" s="6">
        <v>8</v>
      </c>
    </row>
    <row r="911" spans="1:23">
      <c r="A911" t="s">
        <v>2848</v>
      </c>
      <c r="B911" s="8">
        <v>45477</v>
      </c>
      <c r="C911" t="s">
        <v>1943</v>
      </c>
      <c r="D911" t="s">
        <v>1545</v>
      </c>
      <c r="E911" t="s">
        <v>1901</v>
      </c>
      <c r="F911">
        <v>1</v>
      </c>
      <c r="G911" s="10">
        <v>221.7</v>
      </c>
      <c r="H911" s="13">
        <v>0.04</v>
      </c>
      <c r="I911" t="s">
        <v>1931</v>
      </c>
      <c r="J911" s="16">
        <v>212.83199999999999</v>
      </c>
      <c r="K911" s="19">
        <f t="shared" si="70"/>
        <v>1179556.0457999993</v>
      </c>
      <c r="L911" s="22">
        <f t="shared" si="71"/>
        <v>1081.1696111824008</v>
      </c>
      <c r="M911" s="22">
        <f t="shared" si="72"/>
        <v>383</v>
      </c>
      <c r="N911" s="22" t="str">
        <f t="shared" si="73"/>
        <v>Low Value</v>
      </c>
      <c r="O911" s="22" t="str">
        <f t="shared" si="74"/>
        <v>Jul-2024</v>
      </c>
      <c r="P911" s="22" t="s">
        <v>1546</v>
      </c>
      <c r="Q911" s="22" t="s">
        <v>1536</v>
      </c>
      <c r="R911" s="22" t="s">
        <v>1422</v>
      </c>
      <c r="S911" s="22"/>
      <c r="T911" s="22"/>
      <c r="V911" s="26" t="s">
        <v>1931</v>
      </c>
      <c r="W911" s="6">
        <v>3</v>
      </c>
    </row>
    <row r="912" spans="1:23">
      <c r="A912" t="s">
        <v>2849</v>
      </c>
      <c r="B912" s="8">
        <v>45796</v>
      </c>
      <c r="C912" t="s">
        <v>685</v>
      </c>
      <c r="D912" t="s">
        <v>1755</v>
      </c>
      <c r="E912" t="s">
        <v>1880</v>
      </c>
      <c r="F912">
        <v>2</v>
      </c>
      <c r="G912" s="10">
        <v>491.26</v>
      </c>
      <c r="H912" s="13">
        <v>0.14000000000000001</v>
      </c>
      <c r="I912" t="s">
        <v>1936</v>
      </c>
      <c r="J912" s="16">
        <v>844.96719999999993</v>
      </c>
      <c r="K912" s="19">
        <f t="shared" si="70"/>
        <v>1179343.2137999991</v>
      </c>
      <c r="L912" s="22">
        <f t="shared" si="71"/>
        <v>1081.9662511926597</v>
      </c>
      <c r="M912" s="22">
        <f t="shared" si="72"/>
        <v>383</v>
      </c>
      <c r="N912" s="22" t="str">
        <f t="shared" si="73"/>
        <v>Low Value</v>
      </c>
      <c r="O912" s="22" t="str">
        <f t="shared" si="74"/>
        <v>May-2025</v>
      </c>
      <c r="P912" s="22" t="s">
        <v>1756</v>
      </c>
      <c r="Q912" s="22" t="s">
        <v>1531</v>
      </c>
      <c r="R912" s="22" t="s">
        <v>686</v>
      </c>
      <c r="S912" s="22"/>
      <c r="T912" s="22"/>
      <c r="V912" s="26" t="s">
        <v>1933</v>
      </c>
      <c r="W912" s="6">
        <v>5</v>
      </c>
    </row>
    <row r="913" spans="1:23">
      <c r="A913" t="s">
        <v>2850</v>
      </c>
      <c r="B913" s="8">
        <v>45630</v>
      </c>
      <c r="C913" t="s">
        <v>596</v>
      </c>
      <c r="D913" t="s">
        <v>1661</v>
      </c>
      <c r="E913" t="s">
        <v>1889</v>
      </c>
      <c r="F913">
        <v>4</v>
      </c>
      <c r="G913" s="10">
        <v>923.14</v>
      </c>
      <c r="H913" s="13">
        <v>0.15</v>
      </c>
      <c r="I913" t="s">
        <v>1931</v>
      </c>
      <c r="J913" s="16">
        <v>3138.6759999999999</v>
      </c>
      <c r="K913" s="19">
        <f t="shared" si="70"/>
        <v>1178498.2465999995</v>
      </c>
      <c r="L913" s="22">
        <f t="shared" si="71"/>
        <v>1082.1838811753898</v>
      </c>
      <c r="M913" s="22">
        <f t="shared" si="72"/>
        <v>383</v>
      </c>
      <c r="N913" s="22" t="str">
        <f t="shared" si="73"/>
        <v>High Value</v>
      </c>
      <c r="O913" s="22" t="str">
        <f t="shared" si="74"/>
        <v>Dec-2024</v>
      </c>
      <c r="P913" s="22" t="s">
        <v>1662</v>
      </c>
      <c r="Q913" s="22" t="s">
        <v>1536</v>
      </c>
      <c r="R913" s="22" t="s">
        <v>597</v>
      </c>
      <c r="S913" s="22"/>
      <c r="T913" s="22"/>
      <c r="V913" s="25" t="s">
        <v>60</v>
      </c>
      <c r="W913" s="6">
        <v>17</v>
      </c>
    </row>
    <row r="914" spans="1:23">
      <c r="A914" t="s">
        <v>2851</v>
      </c>
      <c r="B914" s="8">
        <v>45625</v>
      </c>
      <c r="C914" t="s">
        <v>632</v>
      </c>
      <c r="D914" t="s">
        <v>1746</v>
      </c>
      <c r="E914" t="s">
        <v>1886</v>
      </c>
      <c r="F914">
        <v>2</v>
      </c>
      <c r="G914" s="10">
        <v>747.65</v>
      </c>
      <c r="H914" s="13">
        <v>0.08</v>
      </c>
      <c r="I914" t="s">
        <v>1931</v>
      </c>
      <c r="J914" s="16">
        <v>1375.6759999999999</v>
      </c>
      <c r="K914" s="19">
        <f t="shared" si="70"/>
        <v>1175359.5705999997</v>
      </c>
      <c r="L914" s="22">
        <f t="shared" si="71"/>
        <v>1080.2937229779409</v>
      </c>
      <c r="M914" s="22">
        <f t="shared" si="72"/>
        <v>383</v>
      </c>
      <c r="N914" s="22" t="str">
        <f t="shared" si="73"/>
        <v>High Value</v>
      </c>
      <c r="O914" s="22" t="str">
        <f t="shared" si="74"/>
        <v>Nov-2024</v>
      </c>
      <c r="P914" s="22" t="s">
        <v>1747</v>
      </c>
      <c r="Q914" s="22" t="s">
        <v>1555</v>
      </c>
      <c r="R914" s="22" t="s">
        <v>633</v>
      </c>
      <c r="S914" s="22"/>
      <c r="T914" s="22"/>
      <c r="V914" s="26" t="s">
        <v>1936</v>
      </c>
      <c r="W914" s="6">
        <v>17</v>
      </c>
    </row>
    <row r="915" spans="1:23">
      <c r="A915" t="s">
        <v>2852</v>
      </c>
      <c r="B915" s="8">
        <v>45773</v>
      </c>
      <c r="C915" t="s">
        <v>379</v>
      </c>
      <c r="D915" t="s">
        <v>1678</v>
      </c>
      <c r="E915" t="s">
        <v>1886</v>
      </c>
      <c r="F915">
        <v>3</v>
      </c>
      <c r="G915" s="10">
        <v>94.55</v>
      </c>
      <c r="H915" s="13">
        <v>0.13</v>
      </c>
      <c r="I915" t="s">
        <v>1936</v>
      </c>
      <c r="J915" s="16">
        <v>246.77549999999999</v>
      </c>
      <c r="K915" s="19">
        <f t="shared" si="70"/>
        <v>1173983.8945999995</v>
      </c>
      <c r="L915" s="22">
        <f t="shared" si="71"/>
        <v>1080.0219821527135</v>
      </c>
      <c r="M915" s="22">
        <f t="shared" si="72"/>
        <v>383</v>
      </c>
      <c r="N915" s="22" t="str">
        <f t="shared" si="73"/>
        <v>Low Value</v>
      </c>
      <c r="O915" s="22" t="str">
        <f t="shared" si="74"/>
        <v>Apr-2025</v>
      </c>
      <c r="P915" s="22" t="s">
        <v>1679</v>
      </c>
      <c r="Q915" s="22" t="s">
        <v>1531</v>
      </c>
      <c r="R915" s="22" t="s">
        <v>380</v>
      </c>
      <c r="S915" s="22"/>
      <c r="T915" s="22"/>
      <c r="V915" s="25" t="s">
        <v>979</v>
      </c>
      <c r="W915" s="6">
        <v>2</v>
      </c>
    </row>
    <row r="916" spans="1:23">
      <c r="A916" t="s">
        <v>2853</v>
      </c>
      <c r="B916" s="8">
        <v>45308</v>
      </c>
      <c r="C916" t="s">
        <v>152</v>
      </c>
      <c r="D916" t="s">
        <v>1590</v>
      </c>
      <c r="E916" t="s">
        <v>1920</v>
      </c>
      <c r="F916">
        <v>3</v>
      </c>
      <c r="G916" s="10">
        <v>620.12</v>
      </c>
      <c r="H916" s="13">
        <v>0.06</v>
      </c>
      <c r="I916" t="s">
        <v>1931</v>
      </c>
      <c r="J916" s="16">
        <v>1748.7384</v>
      </c>
      <c r="K916" s="19">
        <f t="shared" si="70"/>
        <v>1173737.1190999995</v>
      </c>
      <c r="L916" s="22">
        <f t="shared" si="71"/>
        <v>1080.7892441068136</v>
      </c>
      <c r="M916" s="22">
        <f t="shared" si="72"/>
        <v>383</v>
      </c>
      <c r="N916" s="22" t="str">
        <f t="shared" si="73"/>
        <v>High Value</v>
      </c>
      <c r="O916" s="22" t="str">
        <f t="shared" si="74"/>
        <v>Jan-2024</v>
      </c>
      <c r="P916" s="22" t="s">
        <v>1591</v>
      </c>
      <c r="Q916" s="22" t="s">
        <v>1531</v>
      </c>
      <c r="R916" s="22" t="s">
        <v>153</v>
      </c>
      <c r="S916" s="22"/>
      <c r="T916" s="22"/>
      <c r="V916" s="26" t="s">
        <v>1931</v>
      </c>
      <c r="W916" s="6">
        <v>2</v>
      </c>
    </row>
    <row r="917" spans="1:23">
      <c r="A917" t="s">
        <v>2854</v>
      </c>
      <c r="B917" s="8">
        <v>45869</v>
      </c>
      <c r="C917" t="s">
        <v>2611</v>
      </c>
      <c r="D917" t="s">
        <v>1762</v>
      </c>
      <c r="E917" t="s">
        <v>1883</v>
      </c>
      <c r="F917">
        <v>2</v>
      </c>
      <c r="G917" s="10">
        <v>354.09</v>
      </c>
      <c r="H917" s="13">
        <v>0.12</v>
      </c>
      <c r="I917" t="s">
        <v>1936</v>
      </c>
      <c r="J917" s="16">
        <v>623.19839999999999</v>
      </c>
      <c r="K917" s="19">
        <f t="shared" si="70"/>
        <v>1171988.3806999996</v>
      </c>
      <c r="L917" s="22">
        <f t="shared" si="71"/>
        <v>1080.1736227649767</v>
      </c>
      <c r="M917" s="22">
        <f t="shared" si="72"/>
        <v>383</v>
      </c>
      <c r="N917" s="22" t="str">
        <f t="shared" si="73"/>
        <v>Low Value</v>
      </c>
      <c r="O917" s="22" t="str">
        <f t="shared" si="74"/>
        <v>Jul-2025</v>
      </c>
      <c r="P917" s="22" t="s">
        <v>1763</v>
      </c>
      <c r="Q917" s="22" t="s">
        <v>1536</v>
      </c>
      <c r="R917" s="22" t="s">
        <v>1484</v>
      </c>
      <c r="S917" s="22"/>
      <c r="T917" s="22"/>
      <c r="V917" s="25" t="s">
        <v>855</v>
      </c>
      <c r="W917" s="6">
        <v>2</v>
      </c>
    </row>
    <row r="918" spans="1:23">
      <c r="A918" t="s">
        <v>2855</v>
      </c>
      <c r="B918" s="8">
        <v>45621</v>
      </c>
      <c r="C918" t="s">
        <v>443</v>
      </c>
      <c r="D918" t="s">
        <v>1713</v>
      </c>
      <c r="E918" t="s">
        <v>1880</v>
      </c>
      <c r="F918">
        <v>3</v>
      </c>
      <c r="G918" s="10">
        <v>214.94</v>
      </c>
      <c r="H918" s="13">
        <v>0.22</v>
      </c>
      <c r="I918" t="s">
        <v>1936</v>
      </c>
      <c r="J918" s="16">
        <v>502.95960000000002</v>
      </c>
      <c r="K918" s="19">
        <f t="shared" si="70"/>
        <v>1171365.1822999998</v>
      </c>
      <c r="L918" s="22">
        <f t="shared" si="71"/>
        <v>1080.595186623616</v>
      </c>
      <c r="M918" s="22">
        <f t="shared" si="72"/>
        <v>383</v>
      </c>
      <c r="N918" s="22" t="str">
        <f t="shared" si="73"/>
        <v>Low Value</v>
      </c>
      <c r="O918" s="22" t="str">
        <f t="shared" si="74"/>
        <v>Nov-2024</v>
      </c>
      <c r="P918" s="22" t="s">
        <v>1714</v>
      </c>
      <c r="Q918" s="22" t="s">
        <v>1536</v>
      </c>
      <c r="R918" s="22" t="s">
        <v>444</v>
      </c>
      <c r="S918" s="22"/>
      <c r="T918" s="22"/>
      <c r="V918" s="26" t="s">
        <v>1931</v>
      </c>
      <c r="W918" s="6">
        <v>2</v>
      </c>
    </row>
    <row r="919" spans="1:23">
      <c r="A919" t="s">
        <v>2856</v>
      </c>
      <c r="B919" s="8">
        <v>45428</v>
      </c>
      <c r="C919" t="s">
        <v>649</v>
      </c>
      <c r="D919" t="s">
        <v>1567</v>
      </c>
      <c r="E919" t="s">
        <v>1901</v>
      </c>
      <c r="F919">
        <v>2</v>
      </c>
      <c r="G919" s="10">
        <v>309.77999999999997</v>
      </c>
      <c r="H919" s="13">
        <v>0.16</v>
      </c>
      <c r="I919" t="s">
        <v>1931</v>
      </c>
      <c r="J919" s="16">
        <v>520.43039999999996</v>
      </c>
      <c r="K919" s="19">
        <f t="shared" si="70"/>
        <v>1170862.2226999998</v>
      </c>
      <c r="L919" s="22">
        <f t="shared" si="71"/>
        <v>1081.1285528162509</v>
      </c>
      <c r="M919" s="22">
        <f t="shared" si="72"/>
        <v>383</v>
      </c>
      <c r="N919" s="22" t="str">
        <f t="shared" si="73"/>
        <v>Low Value</v>
      </c>
      <c r="O919" s="22" t="str">
        <f t="shared" si="74"/>
        <v>May-2024</v>
      </c>
      <c r="P919" s="22" t="s">
        <v>1568</v>
      </c>
      <c r="Q919" s="22" t="s">
        <v>1569</v>
      </c>
      <c r="R919" s="22" t="s">
        <v>650</v>
      </c>
      <c r="S919" s="22"/>
      <c r="T919" s="22"/>
      <c r="V919" s="25" t="s">
        <v>618</v>
      </c>
      <c r="W919" s="6">
        <v>12</v>
      </c>
    </row>
    <row r="920" spans="1:23">
      <c r="A920" t="s">
        <v>2857</v>
      </c>
      <c r="B920" s="8">
        <v>45807</v>
      </c>
      <c r="C920" t="s">
        <v>252</v>
      </c>
      <c r="D920" t="s">
        <v>1583</v>
      </c>
      <c r="E920" t="s">
        <v>1873</v>
      </c>
      <c r="F920">
        <v>2</v>
      </c>
      <c r="G920" s="10">
        <v>183.85</v>
      </c>
      <c r="H920" s="13">
        <v>0.14000000000000001</v>
      </c>
      <c r="I920" t="s">
        <v>1933</v>
      </c>
      <c r="J920" s="16">
        <v>316.22199999999998</v>
      </c>
      <c r="K920" s="19">
        <f t="shared" si="70"/>
        <v>1170341.7922999999</v>
      </c>
      <c r="L920" s="22">
        <f t="shared" si="71"/>
        <v>1081.6467581330867</v>
      </c>
      <c r="M920" s="22">
        <f t="shared" si="72"/>
        <v>383</v>
      </c>
      <c r="N920" s="22" t="str">
        <f t="shared" si="73"/>
        <v>Low Value</v>
      </c>
      <c r="O920" s="22" t="str">
        <f t="shared" si="74"/>
        <v>May-2025</v>
      </c>
      <c r="P920" s="22" t="s">
        <v>1584</v>
      </c>
      <c r="Q920" s="22" t="s">
        <v>1531</v>
      </c>
      <c r="R920" s="22" t="s">
        <v>253</v>
      </c>
      <c r="S920" s="22"/>
      <c r="T920" s="22"/>
      <c r="V920" s="26" t="s">
        <v>1931</v>
      </c>
      <c r="W920" s="6">
        <v>12</v>
      </c>
    </row>
    <row r="921" spans="1:23">
      <c r="A921" t="s">
        <v>2858</v>
      </c>
      <c r="B921" s="8">
        <v>45238</v>
      </c>
      <c r="C921" t="s">
        <v>1265</v>
      </c>
      <c r="D921" t="s">
        <v>1765</v>
      </c>
      <c r="E921" t="s">
        <v>1859</v>
      </c>
      <c r="F921">
        <v>1</v>
      </c>
      <c r="G921" s="10">
        <v>550.05999999999995</v>
      </c>
      <c r="H921" s="13">
        <v>0.01</v>
      </c>
      <c r="I921" t="s">
        <v>1931</v>
      </c>
      <c r="J921" s="16">
        <v>544.55939999999998</v>
      </c>
      <c r="K921" s="19">
        <f t="shared" si="70"/>
        <v>1170025.5702999998</v>
      </c>
      <c r="L921" s="22">
        <f t="shared" si="71"/>
        <v>1082.3548291396853</v>
      </c>
      <c r="M921" s="22">
        <f t="shared" si="72"/>
        <v>382</v>
      </c>
      <c r="N921" s="22" t="str">
        <f t="shared" si="73"/>
        <v>Low Value</v>
      </c>
      <c r="O921" s="22" t="str">
        <f t="shared" si="74"/>
        <v>Nov-2023</v>
      </c>
      <c r="P921" s="22" t="s">
        <v>1766</v>
      </c>
      <c r="Q921" s="22" t="s">
        <v>1560</v>
      </c>
      <c r="R921" s="22" t="s">
        <v>1266</v>
      </c>
      <c r="S921" s="22"/>
      <c r="T921" s="22"/>
      <c r="V921" s="25" t="s">
        <v>1326</v>
      </c>
      <c r="W921" s="6">
        <v>6</v>
      </c>
    </row>
    <row r="922" spans="1:23">
      <c r="A922" t="s">
        <v>2859</v>
      </c>
      <c r="B922" s="8">
        <v>45253</v>
      </c>
      <c r="C922" t="s">
        <v>121</v>
      </c>
      <c r="D922" t="s">
        <v>1792</v>
      </c>
      <c r="E922" t="s">
        <v>1876</v>
      </c>
      <c r="F922">
        <v>2</v>
      </c>
      <c r="G922" s="10">
        <v>32.19</v>
      </c>
      <c r="H922" s="13">
        <v>0.13</v>
      </c>
      <c r="I922" t="s">
        <v>1936</v>
      </c>
      <c r="J922" s="16">
        <v>56.010599999999997</v>
      </c>
      <c r="K922" s="19">
        <f t="shared" si="70"/>
        <v>1169481.0108999999</v>
      </c>
      <c r="L922" s="22">
        <f t="shared" si="71"/>
        <v>1082.8527878703703</v>
      </c>
      <c r="M922" s="22">
        <f t="shared" si="72"/>
        <v>382</v>
      </c>
      <c r="N922" s="22" t="str">
        <f t="shared" si="73"/>
        <v>Low Value</v>
      </c>
      <c r="O922" s="22" t="str">
        <f t="shared" si="74"/>
        <v>Nov-2023</v>
      </c>
      <c r="P922" s="22" t="s">
        <v>1793</v>
      </c>
      <c r="Q922" s="22" t="s">
        <v>1560</v>
      </c>
      <c r="R922" s="22" t="s">
        <v>122</v>
      </c>
      <c r="S922" s="22"/>
      <c r="T922" s="22"/>
      <c r="V922" s="26" t="s">
        <v>1936</v>
      </c>
      <c r="W922" s="6">
        <v>3</v>
      </c>
    </row>
    <row r="923" spans="1:23">
      <c r="A923" t="s">
        <v>2860</v>
      </c>
      <c r="B923" s="8">
        <v>45460</v>
      </c>
      <c r="C923" t="s">
        <v>468</v>
      </c>
      <c r="D923" t="s">
        <v>1649</v>
      </c>
      <c r="E923" t="s">
        <v>1920</v>
      </c>
      <c r="F923">
        <v>2</v>
      </c>
      <c r="G923" s="10">
        <v>892.06</v>
      </c>
      <c r="H923" s="13">
        <v>0.08</v>
      </c>
      <c r="I923" t="s">
        <v>1931</v>
      </c>
      <c r="J923" s="16">
        <v>1641.3904</v>
      </c>
      <c r="K923" s="19">
        <f t="shared" si="70"/>
        <v>1169425.0003</v>
      </c>
      <c r="L923" s="22">
        <f t="shared" si="71"/>
        <v>1083.8044488415198</v>
      </c>
      <c r="M923" s="22">
        <f t="shared" si="72"/>
        <v>382</v>
      </c>
      <c r="N923" s="22" t="str">
        <f t="shared" si="73"/>
        <v>High Value</v>
      </c>
      <c r="O923" s="22" t="str">
        <f t="shared" si="74"/>
        <v>Jun-2024</v>
      </c>
      <c r="P923" s="22" t="s">
        <v>1650</v>
      </c>
      <c r="Q923" s="22" t="s">
        <v>1560</v>
      </c>
      <c r="R923" s="22" t="s">
        <v>469</v>
      </c>
      <c r="S923" s="22"/>
      <c r="T923" s="22"/>
      <c r="V923" s="26" t="s">
        <v>1931</v>
      </c>
      <c r="W923" s="6">
        <v>3</v>
      </c>
    </row>
    <row r="924" spans="1:23">
      <c r="A924" t="s">
        <v>2861</v>
      </c>
      <c r="B924" s="8">
        <v>45628</v>
      </c>
      <c r="C924" t="s">
        <v>1445</v>
      </c>
      <c r="D924" t="s">
        <v>1728</v>
      </c>
      <c r="E924" t="s">
        <v>1883</v>
      </c>
      <c r="F924">
        <v>1</v>
      </c>
      <c r="G924" s="10">
        <v>127.47</v>
      </c>
      <c r="H924" s="13">
        <v>0.16</v>
      </c>
      <c r="I924" t="s">
        <v>1936</v>
      </c>
      <c r="J924" s="16">
        <v>107.0748</v>
      </c>
      <c r="K924" s="19">
        <f t="shared" si="70"/>
        <v>1167783.6099</v>
      </c>
      <c r="L924" s="22">
        <f t="shared" si="71"/>
        <v>1083.2872076994433</v>
      </c>
      <c r="M924" s="22">
        <f t="shared" si="72"/>
        <v>382</v>
      </c>
      <c r="N924" s="22" t="str">
        <f t="shared" si="73"/>
        <v>Low Value</v>
      </c>
      <c r="O924" s="22" t="str">
        <f t="shared" si="74"/>
        <v>Dec-2024</v>
      </c>
      <c r="P924" s="22" t="s">
        <v>1729</v>
      </c>
      <c r="Q924" s="22" t="s">
        <v>1536</v>
      </c>
      <c r="R924" s="22" t="s">
        <v>1446</v>
      </c>
      <c r="S924" s="22"/>
      <c r="T924" s="22"/>
      <c r="V924" s="25" t="s">
        <v>819</v>
      </c>
      <c r="W924" s="6">
        <v>4</v>
      </c>
    </row>
    <row r="925" spans="1:23">
      <c r="A925" t="s">
        <v>2862</v>
      </c>
      <c r="B925" s="8">
        <v>45778</v>
      </c>
      <c r="C925" t="s">
        <v>1205</v>
      </c>
      <c r="D925" t="s">
        <v>1786</v>
      </c>
      <c r="E925" t="s">
        <v>1906</v>
      </c>
      <c r="F925">
        <v>3</v>
      </c>
      <c r="G925" s="10">
        <v>212.87</v>
      </c>
      <c r="H925" s="13">
        <v>0.18</v>
      </c>
      <c r="I925" t="s">
        <v>1931</v>
      </c>
      <c r="J925" s="16">
        <v>523.66020000000003</v>
      </c>
      <c r="K925" s="19">
        <f t="shared" si="70"/>
        <v>1167676.5351</v>
      </c>
      <c r="L925" s="22">
        <f t="shared" si="71"/>
        <v>1084.1936259052925</v>
      </c>
      <c r="M925" s="22">
        <f t="shared" si="72"/>
        <v>382</v>
      </c>
      <c r="N925" s="22" t="str">
        <f t="shared" si="73"/>
        <v>Low Value</v>
      </c>
      <c r="O925" s="22" t="str">
        <f t="shared" si="74"/>
        <v>May-2025</v>
      </c>
      <c r="P925" s="22" t="s">
        <v>1787</v>
      </c>
      <c r="Q925" s="22" t="s">
        <v>1531</v>
      </c>
      <c r="R925" s="22" t="s">
        <v>1206</v>
      </c>
      <c r="S925" s="22"/>
      <c r="T925" s="22"/>
      <c r="V925" s="26" t="s">
        <v>1936</v>
      </c>
      <c r="W925" s="6">
        <v>2</v>
      </c>
    </row>
    <row r="926" spans="1:23">
      <c r="A926" t="s">
        <v>2863</v>
      </c>
      <c r="B926" s="8">
        <v>45471</v>
      </c>
      <c r="C926" t="s">
        <v>596</v>
      </c>
      <c r="D926" t="s">
        <v>1798</v>
      </c>
      <c r="E926" t="s">
        <v>1886</v>
      </c>
      <c r="F926">
        <v>1</v>
      </c>
      <c r="G926" s="10">
        <v>26.37</v>
      </c>
      <c r="H926" s="13">
        <v>0.3</v>
      </c>
      <c r="I926" t="s">
        <v>1936</v>
      </c>
      <c r="J926" s="16">
        <v>18.459</v>
      </c>
      <c r="K926" s="19">
        <f t="shared" si="70"/>
        <v>1167152.8748999999</v>
      </c>
      <c r="L926" s="22">
        <f t="shared" si="71"/>
        <v>1084.7145677509293</v>
      </c>
      <c r="M926" s="22">
        <f t="shared" si="72"/>
        <v>382</v>
      </c>
      <c r="N926" s="22" t="str">
        <f t="shared" si="73"/>
        <v>Low Value</v>
      </c>
      <c r="O926" s="22" t="str">
        <f t="shared" si="74"/>
        <v>Jun-2024</v>
      </c>
      <c r="P926" s="22" t="s">
        <v>1799</v>
      </c>
      <c r="Q926" s="22" t="s">
        <v>1569</v>
      </c>
      <c r="R926" s="22" t="s">
        <v>597</v>
      </c>
      <c r="S926" s="22"/>
      <c r="T926" s="22"/>
      <c r="V926" s="26" t="s">
        <v>1933</v>
      </c>
      <c r="W926" s="6">
        <v>2</v>
      </c>
    </row>
    <row r="927" spans="1:23">
      <c r="A927" t="s">
        <v>2864</v>
      </c>
      <c r="B927" s="8">
        <v>45770</v>
      </c>
      <c r="C927" t="s">
        <v>1427</v>
      </c>
      <c r="D927" t="s">
        <v>1652</v>
      </c>
      <c r="E927" t="s">
        <v>1917</v>
      </c>
      <c r="F927">
        <v>4</v>
      </c>
      <c r="G927" s="10">
        <v>953.98</v>
      </c>
      <c r="H927" s="13">
        <v>0.16</v>
      </c>
      <c r="I927" t="s">
        <v>1931</v>
      </c>
      <c r="J927" s="16">
        <v>3205.3728000000001</v>
      </c>
      <c r="K927" s="19">
        <f t="shared" si="70"/>
        <v>1167134.4158999999</v>
      </c>
      <c r="L927" s="22">
        <f t="shared" si="71"/>
        <v>1085.7064333953488</v>
      </c>
      <c r="M927" s="22">
        <f t="shared" si="72"/>
        <v>382</v>
      </c>
      <c r="N927" s="22" t="str">
        <f t="shared" si="73"/>
        <v>High Value</v>
      </c>
      <c r="O927" s="22" t="str">
        <f t="shared" si="74"/>
        <v>Apr-2025</v>
      </c>
      <c r="P927" s="22" t="s">
        <v>1653</v>
      </c>
      <c r="Q927" s="22" t="s">
        <v>1531</v>
      </c>
      <c r="R927" s="22" t="s">
        <v>1428</v>
      </c>
      <c r="S927" s="22"/>
      <c r="T927" s="22"/>
      <c r="V927" s="25" t="s">
        <v>896</v>
      </c>
      <c r="W927" s="6">
        <v>9</v>
      </c>
    </row>
    <row r="928" spans="1:23">
      <c r="A928" t="s">
        <v>2865</v>
      </c>
      <c r="B928" s="8">
        <v>45369</v>
      </c>
      <c r="C928" t="s">
        <v>697</v>
      </c>
      <c r="D928" t="s">
        <v>1755</v>
      </c>
      <c r="E928" t="s">
        <v>1920</v>
      </c>
      <c r="F928">
        <v>3</v>
      </c>
      <c r="G928" s="10">
        <v>968.88</v>
      </c>
      <c r="H928" s="13">
        <v>0.15</v>
      </c>
      <c r="I928" t="s">
        <v>1931</v>
      </c>
      <c r="J928" s="16">
        <v>2470.6439999999998</v>
      </c>
      <c r="K928" s="19">
        <f t="shared" si="70"/>
        <v>1163929.0431000001</v>
      </c>
      <c r="L928" s="22">
        <f t="shared" si="71"/>
        <v>1083.7328148044694</v>
      </c>
      <c r="M928" s="22">
        <f t="shared" si="72"/>
        <v>382</v>
      </c>
      <c r="N928" s="22" t="str">
        <f t="shared" si="73"/>
        <v>High Value</v>
      </c>
      <c r="O928" s="22" t="str">
        <f t="shared" si="74"/>
        <v>Mar-2024</v>
      </c>
      <c r="P928" s="22" t="s">
        <v>1756</v>
      </c>
      <c r="Q928" s="22" t="s">
        <v>1531</v>
      </c>
      <c r="R928" s="22" t="s">
        <v>698</v>
      </c>
      <c r="S928" s="22"/>
      <c r="T928" s="22"/>
      <c r="V928" s="26" t="s">
        <v>1936</v>
      </c>
      <c r="W928" s="6">
        <v>2</v>
      </c>
    </row>
    <row r="929" spans="1:23">
      <c r="A929" t="s">
        <v>2866</v>
      </c>
      <c r="B929" s="8">
        <v>45910</v>
      </c>
      <c r="C929" t="s">
        <v>614</v>
      </c>
      <c r="D929" t="s">
        <v>1783</v>
      </c>
      <c r="E929" t="s">
        <v>1917</v>
      </c>
      <c r="F929">
        <v>1</v>
      </c>
      <c r="G929" s="10">
        <v>533.04999999999995</v>
      </c>
      <c r="H929" s="13">
        <v>0.11</v>
      </c>
      <c r="I929" t="s">
        <v>1933</v>
      </c>
      <c r="J929" s="16">
        <v>474.41449999999998</v>
      </c>
      <c r="K929" s="19">
        <f t="shared" si="70"/>
        <v>1161458.3991</v>
      </c>
      <c r="L929" s="22">
        <f t="shared" si="71"/>
        <v>1082.4402601118361</v>
      </c>
      <c r="M929" s="22">
        <f t="shared" si="72"/>
        <v>382</v>
      </c>
      <c r="N929" s="22" t="str">
        <f t="shared" si="73"/>
        <v>Low Value</v>
      </c>
      <c r="O929" s="22" t="str">
        <f t="shared" si="74"/>
        <v>Sep-2025</v>
      </c>
      <c r="P929" s="22" t="s">
        <v>1784</v>
      </c>
      <c r="Q929" s="22" t="s">
        <v>1531</v>
      </c>
      <c r="R929" s="22" t="s">
        <v>615</v>
      </c>
      <c r="S929" s="22"/>
      <c r="T929" s="22"/>
      <c r="V929" s="26" t="s">
        <v>1931</v>
      </c>
      <c r="W929" s="6">
        <v>4</v>
      </c>
    </row>
    <row r="930" spans="1:23">
      <c r="A930" t="s">
        <v>2867</v>
      </c>
      <c r="B930" s="8">
        <v>45637</v>
      </c>
      <c r="C930" t="s">
        <v>1184</v>
      </c>
      <c r="D930" t="s">
        <v>1798</v>
      </c>
      <c r="E930" t="s">
        <v>1864</v>
      </c>
      <c r="F930">
        <v>3</v>
      </c>
      <c r="G930" s="10">
        <v>138.86000000000001</v>
      </c>
      <c r="H930" s="13">
        <v>0.11</v>
      </c>
      <c r="I930" t="s">
        <v>1933</v>
      </c>
      <c r="J930" s="16">
        <v>370.75619999999998</v>
      </c>
      <c r="K930" s="19">
        <f t="shared" si="70"/>
        <v>1160983.9846000001</v>
      </c>
      <c r="L930" s="22">
        <f t="shared" si="71"/>
        <v>1083.0074483208955</v>
      </c>
      <c r="M930" s="22">
        <f t="shared" si="72"/>
        <v>381</v>
      </c>
      <c r="N930" s="22" t="str">
        <f t="shared" si="73"/>
        <v>Low Value</v>
      </c>
      <c r="O930" s="22" t="str">
        <f t="shared" si="74"/>
        <v>Dec-2024</v>
      </c>
      <c r="P930" s="22" t="s">
        <v>1799</v>
      </c>
      <c r="Q930" s="22" t="s">
        <v>1569</v>
      </c>
      <c r="R930" s="22" t="s">
        <v>1185</v>
      </c>
      <c r="S930" s="22"/>
      <c r="T930" s="22"/>
      <c r="V930" s="26" t="s">
        <v>1933</v>
      </c>
      <c r="W930" s="6">
        <v>3</v>
      </c>
    </row>
    <row r="931" spans="1:23">
      <c r="A931" t="s">
        <v>2868</v>
      </c>
      <c r="B931" s="8">
        <v>45706</v>
      </c>
      <c r="C931" t="s">
        <v>530</v>
      </c>
      <c r="D931" t="s">
        <v>1614</v>
      </c>
      <c r="E931" t="s">
        <v>1859</v>
      </c>
      <c r="F931">
        <v>1</v>
      </c>
      <c r="G931" s="10">
        <v>588.92999999999995</v>
      </c>
      <c r="H931" s="13">
        <v>0.03</v>
      </c>
      <c r="I931" t="s">
        <v>1936</v>
      </c>
      <c r="J931" s="16">
        <v>571.26209999999992</v>
      </c>
      <c r="K931" s="19">
        <f t="shared" si="70"/>
        <v>1160613.2284000001</v>
      </c>
      <c r="L931" s="22">
        <f t="shared" si="71"/>
        <v>1083.6724821661999</v>
      </c>
      <c r="M931" s="22">
        <f t="shared" si="72"/>
        <v>380</v>
      </c>
      <c r="N931" s="22" t="str">
        <f t="shared" si="73"/>
        <v>Low Value</v>
      </c>
      <c r="O931" s="22" t="str">
        <f t="shared" si="74"/>
        <v>Feb-2025</v>
      </c>
      <c r="P931" s="22" t="s">
        <v>1615</v>
      </c>
      <c r="Q931" s="22" t="s">
        <v>1569</v>
      </c>
      <c r="R931" s="22" t="s">
        <v>531</v>
      </c>
      <c r="S931" s="22"/>
      <c r="T931" s="22"/>
      <c r="V931" s="25" t="s">
        <v>225</v>
      </c>
      <c r="W931" s="6">
        <v>8</v>
      </c>
    </row>
    <row r="932" spans="1:23">
      <c r="A932" t="s">
        <v>2869</v>
      </c>
      <c r="B932" s="8">
        <v>45557</v>
      </c>
      <c r="C932" t="s">
        <v>1247</v>
      </c>
      <c r="D932" t="s">
        <v>1710</v>
      </c>
      <c r="E932" t="s">
        <v>1880</v>
      </c>
      <c r="F932">
        <v>2</v>
      </c>
      <c r="G932" s="10">
        <v>576.83000000000004</v>
      </c>
      <c r="H932" s="13">
        <v>0.19</v>
      </c>
      <c r="I932" t="s">
        <v>1933</v>
      </c>
      <c r="J932" s="16">
        <v>934.46460000000013</v>
      </c>
      <c r="K932" s="19">
        <f t="shared" si="70"/>
        <v>1160041.9663</v>
      </c>
      <c r="L932" s="22">
        <f t="shared" si="71"/>
        <v>1084.1513703738317</v>
      </c>
      <c r="M932" s="22">
        <f t="shared" si="72"/>
        <v>380</v>
      </c>
      <c r="N932" s="22" t="str">
        <f t="shared" si="73"/>
        <v>Low Value</v>
      </c>
      <c r="O932" s="22" t="str">
        <f t="shared" si="74"/>
        <v>Sep-2024</v>
      </c>
      <c r="P932" s="22" t="s">
        <v>1711</v>
      </c>
      <c r="Q932" s="22" t="s">
        <v>1569</v>
      </c>
      <c r="R932" s="22" t="s">
        <v>1248</v>
      </c>
      <c r="S932" s="22"/>
      <c r="T932" s="22"/>
      <c r="V932" s="26" t="s">
        <v>1936</v>
      </c>
      <c r="W932" s="6">
        <v>4</v>
      </c>
    </row>
    <row r="933" spans="1:23">
      <c r="A933" t="s">
        <v>2870</v>
      </c>
      <c r="B933" s="8">
        <v>45338</v>
      </c>
      <c r="C933" t="s">
        <v>1014</v>
      </c>
      <c r="D933" t="s">
        <v>1749</v>
      </c>
      <c r="E933" t="s">
        <v>1901</v>
      </c>
      <c r="F933">
        <v>1</v>
      </c>
      <c r="G933" s="10">
        <v>681.3</v>
      </c>
      <c r="H933" s="13">
        <v>0.05</v>
      </c>
      <c r="I933" t="s">
        <v>1931</v>
      </c>
      <c r="J933" s="16">
        <v>647.2349999999999</v>
      </c>
      <c r="K933" s="19">
        <f t="shared" si="70"/>
        <v>1159107.5017000001</v>
      </c>
      <c r="L933" s="22">
        <f t="shared" si="71"/>
        <v>1084.2913954162771</v>
      </c>
      <c r="M933" s="22">
        <f t="shared" si="72"/>
        <v>379</v>
      </c>
      <c r="N933" s="22" t="str">
        <f t="shared" si="73"/>
        <v>Low Value</v>
      </c>
      <c r="O933" s="22" t="str">
        <f t="shared" si="74"/>
        <v>Feb-2024</v>
      </c>
      <c r="P933" s="22" t="s">
        <v>1750</v>
      </c>
      <c r="Q933" s="22" t="s">
        <v>1569</v>
      </c>
      <c r="R933" s="22" t="s">
        <v>1015</v>
      </c>
      <c r="S933" s="22"/>
      <c r="T933" s="22"/>
      <c r="V933" s="26" t="s">
        <v>1931</v>
      </c>
      <c r="W933" s="6">
        <v>4</v>
      </c>
    </row>
    <row r="934" spans="1:23">
      <c r="A934" t="s">
        <v>2871</v>
      </c>
      <c r="B934" s="8">
        <v>45441</v>
      </c>
      <c r="C934" t="s">
        <v>1402</v>
      </c>
      <c r="D934" t="s">
        <v>1624</v>
      </c>
      <c r="E934" t="s">
        <v>1908</v>
      </c>
      <c r="F934">
        <v>3</v>
      </c>
      <c r="G934" s="10">
        <v>504.97</v>
      </c>
      <c r="H934" s="13">
        <v>0.3</v>
      </c>
      <c r="I934" t="s">
        <v>1931</v>
      </c>
      <c r="J934" s="16">
        <v>1060.4369999999999</v>
      </c>
      <c r="K934" s="19">
        <f t="shared" si="70"/>
        <v>1158460.2667</v>
      </c>
      <c r="L934" s="22">
        <f t="shared" si="71"/>
        <v>1084.7006242509365</v>
      </c>
      <c r="M934" s="22">
        <f t="shared" si="72"/>
        <v>379</v>
      </c>
      <c r="N934" s="22" t="str">
        <f t="shared" si="73"/>
        <v>High Value</v>
      </c>
      <c r="O934" s="22" t="str">
        <f t="shared" si="74"/>
        <v>May-2024</v>
      </c>
      <c r="P934" s="22" t="s">
        <v>1625</v>
      </c>
      <c r="Q934" s="22" t="s">
        <v>1536</v>
      </c>
      <c r="R934" s="22" t="s">
        <v>1403</v>
      </c>
      <c r="S934" s="22"/>
      <c r="T934" s="22"/>
      <c r="V934" s="25" t="s">
        <v>1191</v>
      </c>
      <c r="W934" s="6">
        <v>16</v>
      </c>
    </row>
    <row r="935" spans="1:23">
      <c r="A935" t="s">
        <v>2872</v>
      </c>
      <c r="B935" s="8">
        <v>45396</v>
      </c>
      <c r="C935" t="s">
        <v>221</v>
      </c>
      <c r="D935" t="s">
        <v>1665</v>
      </c>
      <c r="E935" t="s">
        <v>1899</v>
      </c>
      <c r="F935">
        <v>3</v>
      </c>
      <c r="G935" s="10">
        <v>649.78</v>
      </c>
      <c r="H935" s="13">
        <v>0.1</v>
      </c>
      <c r="I935" t="s">
        <v>1933</v>
      </c>
      <c r="J935" s="16">
        <v>1754.4059999999999</v>
      </c>
      <c r="K935" s="19">
        <f t="shared" si="70"/>
        <v>1157399.8297000001</v>
      </c>
      <c r="L935" s="22">
        <f t="shared" si="71"/>
        <v>1084.7233642924086</v>
      </c>
      <c r="M935" s="22">
        <f t="shared" si="72"/>
        <v>379</v>
      </c>
      <c r="N935" s="22" t="str">
        <f t="shared" si="73"/>
        <v>High Value</v>
      </c>
      <c r="O935" s="22" t="str">
        <f t="shared" si="74"/>
        <v>Apr-2024</v>
      </c>
      <c r="P935" s="22" t="s">
        <v>1666</v>
      </c>
      <c r="Q935" s="22" t="s">
        <v>1569</v>
      </c>
      <c r="R935" s="22" t="s">
        <v>222</v>
      </c>
      <c r="S935" s="22"/>
      <c r="T935" s="22"/>
      <c r="V935" s="26" t="s">
        <v>1931</v>
      </c>
      <c r="W935" s="6">
        <v>8</v>
      </c>
    </row>
    <row r="936" spans="1:23">
      <c r="A936" t="s">
        <v>2873</v>
      </c>
      <c r="B936" s="8">
        <v>45317</v>
      </c>
      <c r="C936" t="s">
        <v>786</v>
      </c>
      <c r="D936" t="s">
        <v>1668</v>
      </c>
      <c r="E936" t="s">
        <v>1893</v>
      </c>
      <c r="F936">
        <v>2</v>
      </c>
      <c r="G936" s="10">
        <v>986.73</v>
      </c>
      <c r="H936" s="13">
        <v>0.05</v>
      </c>
      <c r="I936" t="s">
        <v>1933</v>
      </c>
      <c r="J936" s="16">
        <v>1874.787</v>
      </c>
      <c r="K936" s="19">
        <f t="shared" si="70"/>
        <v>1155645.4236999999</v>
      </c>
      <c r="L936" s="22">
        <f t="shared" si="71"/>
        <v>1084.0951441838649</v>
      </c>
      <c r="M936" s="22">
        <f t="shared" si="72"/>
        <v>378</v>
      </c>
      <c r="N936" s="22" t="str">
        <f t="shared" si="73"/>
        <v>High Value</v>
      </c>
      <c r="O936" s="22" t="str">
        <f t="shared" si="74"/>
        <v>Jan-2024</v>
      </c>
      <c r="P936" s="22" t="s">
        <v>1669</v>
      </c>
      <c r="Q936" s="22" t="s">
        <v>1531</v>
      </c>
      <c r="R936" s="22" t="s">
        <v>787</v>
      </c>
      <c r="S936" s="22"/>
      <c r="T936" s="22"/>
      <c r="V936" s="26" t="s">
        <v>1933</v>
      </c>
      <c r="W936" s="6">
        <v>8</v>
      </c>
    </row>
    <row r="937" spans="1:23">
      <c r="A937" t="s">
        <v>2874</v>
      </c>
      <c r="B937" s="8">
        <v>45235</v>
      </c>
      <c r="C937" t="s">
        <v>409</v>
      </c>
      <c r="D937" t="s">
        <v>1583</v>
      </c>
      <c r="E937" t="s">
        <v>1908</v>
      </c>
      <c r="F937">
        <v>2</v>
      </c>
      <c r="G937" s="10">
        <v>65.44</v>
      </c>
      <c r="H937" s="13">
        <v>0.05</v>
      </c>
      <c r="I937" t="s">
        <v>1933</v>
      </c>
      <c r="J937" s="16">
        <v>124.336</v>
      </c>
      <c r="K937" s="19">
        <f t="shared" si="70"/>
        <v>1153770.6366999999</v>
      </c>
      <c r="L937" s="22">
        <f t="shared" si="71"/>
        <v>1083.3527105164319</v>
      </c>
      <c r="M937" s="22">
        <f t="shared" si="72"/>
        <v>377</v>
      </c>
      <c r="N937" s="22" t="str">
        <f t="shared" si="73"/>
        <v>Low Value</v>
      </c>
      <c r="O937" s="22" t="str">
        <f t="shared" si="74"/>
        <v>Nov-2023</v>
      </c>
      <c r="P937" s="22" t="s">
        <v>1584</v>
      </c>
      <c r="Q937" s="22" t="s">
        <v>1531</v>
      </c>
      <c r="R937" s="22" t="s">
        <v>410</v>
      </c>
      <c r="S937" s="22"/>
      <c r="T937" s="22"/>
      <c r="V937" s="25" t="s">
        <v>1015</v>
      </c>
      <c r="W937" s="6">
        <v>17</v>
      </c>
    </row>
    <row r="938" spans="1:23">
      <c r="A938" t="s">
        <v>2875</v>
      </c>
      <c r="B938" s="8">
        <v>45824</v>
      </c>
      <c r="C938" t="s">
        <v>1190</v>
      </c>
      <c r="D938" t="s">
        <v>1743</v>
      </c>
      <c r="E938" t="s">
        <v>1904</v>
      </c>
      <c r="F938">
        <v>3</v>
      </c>
      <c r="G938" s="10">
        <v>953.74</v>
      </c>
      <c r="H938" s="13">
        <v>0.04</v>
      </c>
      <c r="I938" t="s">
        <v>1931</v>
      </c>
      <c r="J938" s="16">
        <v>2746.7712000000001</v>
      </c>
      <c r="K938" s="19">
        <f t="shared" si="70"/>
        <v>1153646.3007</v>
      </c>
      <c r="L938" s="22">
        <f t="shared" si="71"/>
        <v>1084.2540420112782</v>
      </c>
      <c r="M938" s="22">
        <f t="shared" si="72"/>
        <v>376</v>
      </c>
      <c r="N938" s="22" t="str">
        <f t="shared" si="73"/>
        <v>High Value</v>
      </c>
      <c r="O938" s="22" t="str">
        <f t="shared" si="74"/>
        <v>Jun-2025</v>
      </c>
      <c r="P938" s="22" t="s">
        <v>1744</v>
      </c>
      <c r="Q938" s="22" t="s">
        <v>1555</v>
      </c>
      <c r="R938" s="22" t="s">
        <v>1191</v>
      </c>
      <c r="S938" s="22"/>
      <c r="T938" s="22"/>
      <c r="V938" s="26" t="s">
        <v>1936</v>
      </c>
      <c r="W938" s="6">
        <v>4</v>
      </c>
    </row>
    <row r="939" spans="1:23">
      <c r="A939" t="s">
        <v>2876</v>
      </c>
      <c r="B939" s="8">
        <v>45543</v>
      </c>
      <c r="C939" t="s">
        <v>244</v>
      </c>
      <c r="D939" t="s">
        <v>1783</v>
      </c>
      <c r="E939" t="s">
        <v>1896</v>
      </c>
      <c r="F939">
        <v>3</v>
      </c>
      <c r="G939" s="10">
        <v>904.48</v>
      </c>
      <c r="H939" s="13">
        <v>0.21</v>
      </c>
      <c r="I939" t="s">
        <v>1933</v>
      </c>
      <c r="J939" s="16">
        <v>2143.6176</v>
      </c>
      <c r="K939" s="19">
        <f t="shared" si="70"/>
        <v>1150899.5294999997</v>
      </c>
      <c r="L939" s="22">
        <f t="shared" si="71"/>
        <v>1082.6900559736591</v>
      </c>
      <c r="M939" s="22">
        <f t="shared" si="72"/>
        <v>376</v>
      </c>
      <c r="N939" s="22" t="str">
        <f t="shared" si="73"/>
        <v>High Value</v>
      </c>
      <c r="O939" s="22" t="str">
        <f t="shared" si="74"/>
        <v>Sep-2024</v>
      </c>
      <c r="P939" s="22" t="s">
        <v>1784</v>
      </c>
      <c r="Q939" s="22" t="s">
        <v>1531</v>
      </c>
      <c r="R939" s="22" t="s">
        <v>245</v>
      </c>
      <c r="S939" s="22"/>
      <c r="T939" s="22"/>
      <c r="V939" s="26" t="s">
        <v>1931</v>
      </c>
      <c r="W939" s="6">
        <v>6</v>
      </c>
    </row>
    <row r="940" spans="1:23">
      <c r="A940" t="s">
        <v>2877</v>
      </c>
      <c r="B940" s="8">
        <v>45595</v>
      </c>
      <c r="C940" t="s">
        <v>1500</v>
      </c>
      <c r="D940" t="s">
        <v>1740</v>
      </c>
      <c r="E940" t="s">
        <v>1908</v>
      </c>
      <c r="F940">
        <v>3</v>
      </c>
      <c r="G940" s="10">
        <v>920.82</v>
      </c>
      <c r="H940" s="13">
        <v>0.1</v>
      </c>
      <c r="I940" t="s">
        <v>1933</v>
      </c>
      <c r="J940" s="16">
        <v>2486.2139999999999</v>
      </c>
      <c r="K940" s="19">
        <f t="shared" si="70"/>
        <v>1148755.9118999999</v>
      </c>
      <c r="L940" s="22">
        <f t="shared" si="71"/>
        <v>1081.6910658192089</v>
      </c>
      <c r="M940" s="22">
        <f t="shared" si="72"/>
        <v>375</v>
      </c>
      <c r="N940" s="22" t="str">
        <f t="shared" si="73"/>
        <v>High Value</v>
      </c>
      <c r="O940" s="22" t="str">
        <f t="shared" si="74"/>
        <v>Oct-2024</v>
      </c>
      <c r="P940" s="22" t="s">
        <v>1741</v>
      </c>
      <c r="Q940" s="22" t="s">
        <v>1531</v>
      </c>
      <c r="R940" s="22" t="s">
        <v>1501</v>
      </c>
      <c r="S940" s="22"/>
      <c r="T940" s="22"/>
      <c r="V940" s="26" t="s">
        <v>1933</v>
      </c>
      <c r="W940" s="6">
        <v>7</v>
      </c>
    </row>
    <row r="941" spans="1:23">
      <c r="A941" t="s">
        <v>2878</v>
      </c>
      <c r="B941" s="8">
        <v>45803</v>
      </c>
      <c r="C941" t="s">
        <v>960</v>
      </c>
      <c r="D941" t="s">
        <v>1633</v>
      </c>
      <c r="E941" t="s">
        <v>1864</v>
      </c>
      <c r="F941">
        <v>1</v>
      </c>
      <c r="G941" s="10">
        <v>182.28</v>
      </c>
      <c r="H941" s="13">
        <v>0.15</v>
      </c>
      <c r="I941" t="s">
        <v>1936</v>
      </c>
      <c r="J941" s="16">
        <v>154.93799999999999</v>
      </c>
      <c r="K941" s="19">
        <f t="shared" si="70"/>
        <v>1146269.6978999996</v>
      </c>
      <c r="L941" s="22">
        <f t="shared" si="71"/>
        <v>1080.3672930254472</v>
      </c>
      <c r="M941" s="22">
        <f t="shared" si="72"/>
        <v>374</v>
      </c>
      <c r="N941" s="22" t="str">
        <f t="shared" si="73"/>
        <v>Low Value</v>
      </c>
      <c r="O941" s="22" t="str">
        <f t="shared" si="74"/>
        <v>May-2025</v>
      </c>
      <c r="P941" s="22" t="s">
        <v>1634</v>
      </c>
      <c r="Q941" s="22" t="s">
        <v>1569</v>
      </c>
      <c r="R941" s="22" t="s">
        <v>961</v>
      </c>
      <c r="S941" s="22"/>
      <c r="T941" s="22"/>
      <c r="V941" s="25" t="s">
        <v>293</v>
      </c>
      <c r="W941" s="6">
        <v>15</v>
      </c>
    </row>
    <row r="942" spans="1:23">
      <c r="A942" t="s">
        <v>2879</v>
      </c>
      <c r="B942" s="8">
        <v>45880</v>
      </c>
      <c r="C942" t="s">
        <v>1368</v>
      </c>
      <c r="D942" t="s">
        <v>1642</v>
      </c>
      <c r="E942" t="s">
        <v>1911</v>
      </c>
      <c r="F942">
        <v>3</v>
      </c>
      <c r="G942" s="10">
        <v>938.68</v>
      </c>
      <c r="H942" s="13">
        <v>0.14000000000000001</v>
      </c>
      <c r="I942" t="s">
        <v>1931</v>
      </c>
      <c r="J942" s="16">
        <v>2421.7944000000002</v>
      </c>
      <c r="K942" s="19">
        <f t="shared" si="70"/>
        <v>1146114.7598999995</v>
      </c>
      <c r="L942" s="22">
        <f t="shared" si="71"/>
        <v>1081.2403395283013</v>
      </c>
      <c r="M942" s="22">
        <f t="shared" si="72"/>
        <v>374</v>
      </c>
      <c r="N942" s="22" t="str">
        <f t="shared" si="73"/>
        <v>High Value</v>
      </c>
      <c r="O942" s="22" t="str">
        <f t="shared" si="74"/>
        <v>Aug-2025</v>
      </c>
      <c r="P942" s="22" t="s">
        <v>1643</v>
      </c>
      <c r="Q942" s="22" t="s">
        <v>1569</v>
      </c>
      <c r="R942" s="22" t="s">
        <v>1369</v>
      </c>
      <c r="S942" s="22"/>
      <c r="T942" s="22"/>
      <c r="V942" s="26" t="s">
        <v>1936</v>
      </c>
      <c r="W942" s="6">
        <v>4</v>
      </c>
    </row>
    <row r="943" spans="1:23">
      <c r="A943" t="s">
        <v>2880</v>
      </c>
      <c r="B943" s="8">
        <v>45690</v>
      </c>
      <c r="C943" t="s">
        <v>292</v>
      </c>
      <c r="D943" t="s">
        <v>1828</v>
      </c>
      <c r="E943" t="s">
        <v>1880</v>
      </c>
      <c r="F943">
        <v>3</v>
      </c>
      <c r="G943" s="10">
        <v>219.96</v>
      </c>
      <c r="H943" s="13">
        <v>0.18</v>
      </c>
      <c r="I943" t="s">
        <v>1933</v>
      </c>
      <c r="J943" s="16">
        <v>541.10160000000008</v>
      </c>
      <c r="K943" s="19">
        <f t="shared" si="70"/>
        <v>1143692.9654999995</v>
      </c>
      <c r="L943" s="22">
        <f t="shared" si="71"/>
        <v>1079.9744716713876</v>
      </c>
      <c r="M943" s="22">
        <f t="shared" si="72"/>
        <v>374</v>
      </c>
      <c r="N943" s="22" t="str">
        <f t="shared" si="73"/>
        <v>Low Value</v>
      </c>
      <c r="O943" s="22" t="str">
        <f t="shared" si="74"/>
        <v>Feb-2025</v>
      </c>
      <c r="P943" s="22" t="s">
        <v>1829</v>
      </c>
      <c r="Q943" s="22" t="s">
        <v>1536</v>
      </c>
      <c r="R943" s="22" t="s">
        <v>293</v>
      </c>
      <c r="S943" s="22"/>
      <c r="T943" s="22"/>
      <c r="V943" s="26" t="s">
        <v>1931</v>
      </c>
      <c r="W943" s="6">
        <v>2</v>
      </c>
    </row>
    <row r="944" spans="1:23">
      <c r="A944" t="s">
        <v>2881</v>
      </c>
      <c r="B944" s="8">
        <v>45841</v>
      </c>
      <c r="C944" t="s">
        <v>1448</v>
      </c>
      <c r="D944" t="s">
        <v>1768</v>
      </c>
      <c r="E944" t="s">
        <v>1917</v>
      </c>
      <c r="F944">
        <v>3</v>
      </c>
      <c r="G944" s="10">
        <v>385.74</v>
      </c>
      <c r="H944" s="13">
        <v>0.27</v>
      </c>
      <c r="I944" t="s">
        <v>1931</v>
      </c>
      <c r="J944" s="16">
        <v>844.77059999999994</v>
      </c>
      <c r="K944" s="19">
        <f t="shared" si="70"/>
        <v>1143151.8638999995</v>
      </c>
      <c r="L944" s="22">
        <f t="shared" si="71"/>
        <v>1080.483803308128</v>
      </c>
      <c r="M944" s="22">
        <f t="shared" si="72"/>
        <v>373</v>
      </c>
      <c r="N944" s="22" t="str">
        <f t="shared" si="73"/>
        <v>Low Value</v>
      </c>
      <c r="O944" s="22" t="str">
        <f t="shared" si="74"/>
        <v>Jul-2025</v>
      </c>
      <c r="P944" s="22" t="s">
        <v>1769</v>
      </c>
      <c r="Q944" s="22" t="s">
        <v>1555</v>
      </c>
      <c r="R944" s="22" t="s">
        <v>1449</v>
      </c>
      <c r="S944" s="22"/>
      <c r="T944" s="22"/>
      <c r="V944" s="26" t="s">
        <v>1933</v>
      </c>
      <c r="W944" s="6">
        <v>9</v>
      </c>
    </row>
    <row r="945" spans="1:23">
      <c r="A945" t="s">
        <v>2882</v>
      </c>
      <c r="B945" s="8">
        <v>45380</v>
      </c>
      <c r="C945" t="s">
        <v>1391</v>
      </c>
      <c r="D945" t="s">
        <v>1798</v>
      </c>
      <c r="E945" t="s">
        <v>1917</v>
      </c>
      <c r="F945">
        <v>2</v>
      </c>
      <c r="G945" s="10">
        <v>830.94</v>
      </c>
      <c r="H945" s="13">
        <v>0.28000000000000003</v>
      </c>
      <c r="I945" t="s">
        <v>1933</v>
      </c>
      <c r="J945" s="16">
        <v>1196.5536</v>
      </c>
      <c r="K945" s="19">
        <f t="shared" si="70"/>
        <v>1142307.0932999994</v>
      </c>
      <c r="L945" s="22">
        <f t="shared" si="71"/>
        <v>1080.70680539262</v>
      </c>
      <c r="M945" s="22">
        <f t="shared" si="72"/>
        <v>373</v>
      </c>
      <c r="N945" s="22" t="str">
        <f t="shared" si="73"/>
        <v>High Value</v>
      </c>
      <c r="O945" s="22" t="str">
        <f t="shared" si="74"/>
        <v>Mar-2024</v>
      </c>
      <c r="P945" s="22" t="s">
        <v>1799</v>
      </c>
      <c r="Q945" s="22" t="s">
        <v>1569</v>
      </c>
      <c r="R945" s="22" t="s">
        <v>1392</v>
      </c>
      <c r="S945" s="22"/>
      <c r="T945" s="22"/>
      <c r="V945" s="25" t="s">
        <v>368</v>
      </c>
      <c r="W945" s="6">
        <v>17</v>
      </c>
    </row>
    <row r="946" spans="1:23">
      <c r="A946" t="s">
        <v>2883</v>
      </c>
      <c r="B946" s="8">
        <v>45503</v>
      </c>
      <c r="C946" t="s">
        <v>1190</v>
      </c>
      <c r="D946" t="s">
        <v>2033</v>
      </c>
      <c r="E946" t="s">
        <v>1893</v>
      </c>
      <c r="F946">
        <v>3</v>
      </c>
      <c r="G946" s="10">
        <v>462.75</v>
      </c>
      <c r="H946" s="13">
        <v>0.22</v>
      </c>
      <c r="I946" t="s">
        <v>1933</v>
      </c>
      <c r="J946" s="16">
        <v>1082.835</v>
      </c>
      <c r="K946" s="19">
        <f t="shared" si="70"/>
        <v>1141110.5396999996</v>
      </c>
      <c r="L946" s="22">
        <f t="shared" si="71"/>
        <v>1080.597101988636</v>
      </c>
      <c r="M946" s="22">
        <f t="shared" si="72"/>
        <v>372</v>
      </c>
      <c r="N946" s="22" t="str">
        <f t="shared" si="73"/>
        <v>High Value</v>
      </c>
      <c r="O946" s="22" t="str">
        <f t="shared" si="74"/>
        <v>Jul-2024</v>
      </c>
      <c r="P946" s="22" t="s">
        <v>1543</v>
      </c>
      <c r="Q946" s="22" t="s">
        <v>1536</v>
      </c>
      <c r="R946" s="22" t="s">
        <v>1191</v>
      </c>
      <c r="S946" s="22"/>
      <c r="T946" s="22"/>
      <c r="V946" s="26" t="s">
        <v>1936</v>
      </c>
      <c r="W946" s="6">
        <v>11</v>
      </c>
    </row>
    <row r="947" spans="1:23">
      <c r="A947" t="s">
        <v>2884</v>
      </c>
      <c r="B947" s="8">
        <v>45567</v>
      </c>
      <c r="C947" t="s">
        <v>244</v>
      </c>
      <c r="D947" t="s">
        <v>1586</v>
      </c>
      <c r="E947" t="s">
        <v>1908</v>
      </c>
      <c r="F947">
        <v>4</v>
      </c>
      <c r="G947" s="10">
        <v>973.9</v>
      </c>
      <c r="H947" s="13">
        <v>0.02</v>
      </c>
      <c r="I947" t="s">
        <v>1936</v>
      </c>
      <c r="J947" s="16">
        <v>3817.6880000000001</v>
      </c>
      <c r="K947" s="19">
        <f t="shared" si="70"/>
        <v>1140027.7046999994</v>
      </c>
      <c r="L947" s="22">
        <f t="shared" si="71"/>
        <v>1080.5949807582933</v>
      </c>
      <c r="M947" s="22">
        <f t="shared" si="72"/>
        <v>371</v>
      </c>
      <c r="N947" s="22" t="str">
        <f t="shared" si="73"/>
        <v>High Value</v>
      </c>
      <c r="O947" s="22" t="str">
        <f t="shared" si="74"/>
        <v>Oct-2024</v>
      </c>
      <c r="P947" s="22" t="s">
        <v>1587</v>
      </c>
      <c r="Q947" s="22" t="s">
        <v>1560</v>
      </c>
      <c r="R947" s="22" t="s">
        <v>245</v>
      </c>
      <c r="S947" s="22"/>
      <c r="T947" s="22"/>
      <c r="V947" s="26" t="s">
        <v>1931</v>
      </c>
      <c r="W947" s="6">
        <v>1</v>
      </c>
    </row>
    <row r="948" spans="1:23">
      <c r="A948" t="s">
        <v>2885</v>
      </c>
      <c r="B948" s="8">
        <v>45600</v>
      </c>
      <c r="C948" t="s">
        <v>473</v>
      </c>
      <c r="D948" t="s">
        <v>1655</v>
      </c>
      <c r="E948" t="s">
        <v>1864</v>
      </c>
      <c r="F948">
        <v>2</v>
      </c>
      <c r="G948" s="10">
        <v>157.18</v>
      </c>
      <c r="H948" s="13">
        <v>0.15</v>
      </c>
      <c r="I948" t="s">
        <v>1931</v>
      </c>
      <c r="J948" s="16">
        <v>267.20600000000002</v>
      </c>
      <c r="K948" s="19">
        <f t="shared" si="70"/>
        <v>1136210.0166999991</v>
      </c>
      <c r="L948" s="22">
        <f t="shared" si="71"/>
        <v>1077.9981183111945</v>
      </c>
      <c r="M948" s="22">
        <f t="shared" si="72"/>
        <v>371</v>
      </c>
      <c r="N948" s="22" t="str">
        <f t="shared" si="73"/>
        <v>Low Value</v>
      </c>
      <c r="O948" s="22" t="str">
        <f t="shared" si="74"/>
        <v>Nov-2024</v>
      </c>
      <c r="P948" s="22" t="s">
        <v>1656</v>
      </c>
      <c r="Q948" s="22" t="s">
        <v>1560</v>
      </c>
      <c r="R948" s="22" t="s">
        <v>474</v>
      </c>
      <c r="S948" s="22"/>
      <c r="T948" s="22"/>
      <c r="V948" s="26" t="s">
        <v>1933</v>
      </c>
      <c r="W948" s="6">
        <v>5</v>
      </c>
    </row>
    <row r="949" spans="1:23">
      <c r="A949" t="s">
        <v>2886</v>
      </c>
      <c r="B949" s="8">
        <v>45415</v>
      </c>
      <c r="C949" t="s">
        <v>63</v>
      </c>
      <c r="D949" t="s">
        <v>1774</v>
      </c>
      <c r="E949" t="s">
        <v>1904</v>
      </c>
      <c r="F949">
        <v>3</v>
      </c>
      <c r="G949" s="10">
        <v>239.57</v>
      </c>
      <c r="H949" s="13">
        <v>0.16</v>
      </c>
      <c r="I949" t="s">
        <v>1931</v>
      </c>
      <c r="J949" s="16">
        <v>603.71640000000002</v>
      </c>
      <c r="K949" s="19">
        <f t="shared" si="70"/>
        <v>1135942.8106999991</v>
      </c>
      <c r="L949" s="22">
        <f t="shared" si="71"/>
        <v>1078.7681013295339</v>
      </c>
      <c r="M949" s="22">
        <f t="shared" si="72"/>
        <v>371</v>
      </c>
      <c r="N949" s="22" t="str">
        <f t="shared" si="73"/>
        <v>Low Value</v>
      </c>
      <c r="O949" s="22" t="str">
        <f t="shared" si="74"/>
        <v>May-2024</v>
      </c>
      <c r="P949" s="22" t="s">
        <v>1775</v>
      </c>
      <c r="Q949" s="22" t="s">
        <v>1569</v>
      </c>
      <c r="R949" s="22" t="s">
        <v>64</v>
      </c>
      <c r="S949" s="22"/>
      <c r="T949" s="22"/>
      <c r="V949" s="25" t="s">
        <v>72</v>
      </c>
      <c r="W949" s="6">
        <v>14</v>
      </c>
    </row>
    <row r="950" spans="1:23">
      <c r="A950" t="s">
        <v>2887</v>
      </c>
      <c r="B950" s="8">
        <v>45343</v>
      </c>
      <c r="C950" t="s">
        <v>1025</v>
      </c>
      <c r="D950" t="s">
        <v>1567</v>
      </c>
      <c r="E950" t="s">
        <v>1911</v>
      </c>
      <c r="F950">
        <v>4</v>
      </c>
      <c r="G950" s="10">
        <v>583.21</v>
      </c>
      <c r="H950" s="13">
        <v>0.2</v>
      </c>
      <c r="I950" t="s">
        <v>1931</v>
      </c>
      <c r="J950" s="16">
        <v>1866.2719999999999</v>
      </c>
      <c r="K950" s="19">
        <f t="shared" si="70"/>
        <v>1135339.0942999991</v>
      </c>
      <c r="L950" s="22">
        <f t="shared" si="71"/>
        <v>1079.2196713878318</v>
      </c>
      <c r="M950" s="22">
        <f t="shared" si="72"/>
        <v>371</v>
      </c>
      <c r="N950" s="22" t="str">
        <f t="shared" si="73"/>
        <v>High Value</v>
      </c>
      <c r="O950" s="22" t="str">
        <f t="shared" si="74"/>
        <v>Feb-2024</v>
      </c>
      <c r="P950" s="22" t="s">
        <v>1568</v>
      </c>
      <c r="Q950" s="22" t="s">
        <v>1569</v>
      </c>
      <c r="R950" s="22" t="s">
        <v>1026</v>
      </c>
      <c r="S950" s="22"/>
      <c r="T950" s="22"/>
      <c r="V950" s="26" t="s">
        <v>1931</v>
      </c>
      <c r="W950" s="6">
        <v>4</v>
      </c>
    </row>
    <row r="951" spans="1:23">
      <c r="A951" t="s">
        <v>2888</v>
      </c>
      <c r="B951" s="8">
        <v>45399</v>
      </c>
      <c r="C951" t="s">
        <v>1276</v>
      </c>
      <c r="D951" t="s">
        <v>1798</v>
      </c>
      <c r="E951" t="s">
        <v>1889</v>
      </c>
      <c r="F951">
        <v>3</v>
      </c>
      <c r="G951" s="10">
        <v>758.75</v>
      </c>
      <c r="H951" s="13">
        <v>0.27</v>
      </c>
      <c r="I951" t="s">
        <v>1933</v>
      </c>
      <c r="J951" s="16">
        <v>1661.6624999999999</v>
      </c>
      <c r="K951" s="19">
        <f t="shared" si="70"/>
        <v>1133472.8222999994</v>
      </c>
      <c r="L951" s="22">
        <f t="shared" si="71"/>
        <v>1078.4708109419594</v>
      </c>
      <c r="M951" s="22">
        <f t="shared" si="72"/>
        <v>371</v>
      </c>
      <c r="N951" s="22" t="str">
        <f t="shared" si="73"/>
        <v>High Value</v>
      </c>
      <c r="O951" s="22" t="str">
        <f t="shared" si="74"/>
        <v>Apr-2024</v>
      </c>
      <c r="P951" s="22" t="s">
        <v>1799</v>
      </c>
      <c r="Q951" s="22" t="s">
        <v>1569</v>
      </c>
      <c r="R951" s="22" t="s">
        <v>1277</v>
      </c>
      <c r="S951" s="22"/>
      <c r="T951" s="22"/>
      <c r="V951" s="26" t="s">
        <v>1933</v>
      </c>
      <c r="W951" s="6">
        <v>10</v>
      </c>
    </row>
    <row r="952" spans="1:23">
      <c r="A952" t="s">
        <v>2889</v>
      </c>
      <c r="B952" s="8">
        <v>45689</v>
      </c>
      <c r="C952" t="s">
        <v>972</v>
      </c>
      <c r="D952" t="s">
        <v>1737</v>
      </c>
      <c r="E952" t="s">
        <v>1880</v>
      </c>
      <c r="F952">
        <v>4</v>
      </c>
      <c r="G952" s="10">
        <v>372.42</v>
      </c>
      <c r="H952" s="13">
        <v>0.19</v>
      </c>
      <c r="I952" t="s">
        <v>1931</v>
      </c>
      <c r="J952" s="16">
        <v>1206.6407999999999</v>
      </c>
      <c r="K952" s="19">
        <f t="shared" si="70"/>
        <v>1131811.1597999993</v>
      </c>
      <c r="L952" s="22">
        <f t="shared" si="71"/>
        <v>1077.9153902857136</v>
      </c>
      <c r="M952" s="22">
        <f t="shared" si="72"/>
        <v>370</v>
      </c>
      <c r="N952" s="22" t="str">
        <f t="shared" si="73"/>
        <v>High Value</v>
      </c>
      <c r="O952" s="22" t="str">
        <f t="shared" si="74"/>
        <v>Feb-2025</v>
      </c>
      <c r="P952" s="22" t="s">
        <v>1738</v>
      </c>
      <c r="Q952" s="22" t="s">
        <v>1569</v>
      </c>
      <c r="R952" s="22" t="s">
        <v>973</v>
      </c>
      <c r="S952" s="22"/>
      <c r="T952" s="22"/>
      <c r="V952" s="25" t="s">
        <v>3955</v>
      </c>
      <c r="W952" s="6">
        <v>7</v>
      </c>
    </row>
    <row r="953" spans="1:23">
      <c r="A953" t="s">
        <v>2890</v>
      </c>
      <c r="B953" s="8">
        <v>45699</v>
      </c>
      <c r="C953" t="s">
        <v>515</v>
      </c>
      <c r="D953" t="s">
        <v>1743</v>
      </c>
      <c r="E953" t="s">
        <v>1920</v>
      </c>
      <c r="F953">
        <v>4</v>
      </c>
      <c r="G953" s="10">
        <v>286.27999999999997</v>
      </c>
      <c r="H953" s="13">
        <v>0.28000000000000003</v>
      </c>
      <c r="I953" t="s">
        <v>1933</v>
      </c>
      <c r="J953" s="16">
        <v>824.48639999999989</v>
      </c>
      <c r="K953" s="19">
        <f t="shared" si="70"/>
        <v>1130604.5189999996</v>
      </c>
      <c r="L953" s="22">
        <f t="shared" si="71"/>
        <v>1077.7926777883695</v>
      </c>
      <c r="M953" s="22">
        <f t="shared" si="72"/>
        <v>370</v>
      </c>
      <c r="N953" s="22" t="str">
        <f t="shared" si="73"/>
        <v>Low Value</v>
      </c>
      <c r="O953" s="22" t="str">
        <f t="shared" si="74"/>
        <v>Feb-2025</v>
      </c>
      <c r="P953" s="22" t="s">
        <v>1744</v>
      </c>
      <c r="Q953" s="22" t="s">
        <v>1555</v>
      </c>
      <c r="R953" s="22" t="s">
        <v>516</v>
      </c>
      <c r="S953" s="22"/>
      <c r="T953" s="22"/>
      <c r="V953" s="26" t="s">
        <v>1931</v>
      </c>
      <c r="W953" s="6">
        <v>7</v>
      </c>
    </row>
    <row r="954" spans="1:23">
      <c r="A954" t="s">
        <v>2891</v>
      </c>
      <c r="B954" s="8">
        <v>45663</v>
      </c>
      <c r="C954" t="s">
        <v>886</v>
      </c>
      <c r="D954" t="s">
        <v>1774</v>
      </c>
      <c r="E954" t="s">
        <v>1899</v>
      </c>
      <c r="F954">
        <v>3</v>
      </c>
      <c r="G954" s="10">
        <v>488.37</v>
      </c>
      <c r="H954" s="13">
        <v>0.27</v>
      </c>
      <c r="I954" t="s">
        <v>1936</v>
      </c>
      <c r="J954" s="16">
        <v>1069.5302999999999</v>
      </c>
      <c r="K954" s="19">
        <f t="shared" si="70"/>
        <v>1129780.0325999996</v>
      </c>
      <c r="L954" s="22">
        <f t="shared" si="71"/>
        <v>1078.034382251908</v>
      </c>
      <c r="M954" s="22">
        <f t="shared" si="72"/>
        <v>369</v>
      </c>
      <c r="N954" s="22" t="str">
        <f t="shared" si="73"/>
        <v>High Value</v>
      </c>
      <c r="O954" s="22" t="str">
        <f t="shared" si="74"/>
        <v>Jan-2025</v>
      </c>
      <c r="P954" s="22" t="s">
        <v>1775</v>
      </c>
      <c r="Q954" s="22" t="s">
        <v>1569</v>
      </c>
      <c r="R954" s="22" t="s">
        <v>887</v>
      </c>
      <c r="S954" s="22"/>
      <c r="T954" s="22"/>
      <c r="V954" s="25" t="s">
        <v>1449</v>
      </c>
      <c r="W954" s="6">
        <v>7</v>
      </c>
    </row>
    <row r="955" spans="1:23">
      <c r="A955" t="s">
        <v>2892</v>
      </c>
      <c r="B955" s="8">
        <v>45377</v>
      </c>
      <c r="C955" t="s">
        <v>1436</v>
      </c>
      <c r="D955" t="s">
        <v>1816</v>
      </c>
      <c r="E955" t="s">
        <v>1889</v>
      </c>
      <c r="F955">
        <v>3</v>
      </c>
      <c r="G955" s="10">
        <v>662.82</v>
      </c>
      <c r="H955" s="13">
        <v>0.01</v>
      </c>
      <c r="I955" t="s">
        <v>1936</v>
      </c>
      <c r="J955" s="16">
        <v>1968.5753999999999</v>
      </c>
      <c r="K955" s="19">
        <f t="shared" si="70"/>
        <v>1128710.5022999994</v>
      </c>
      <c r="L955" s="22">
        <f t="shared" si="71"/>
        <v>1078.0425045845266</v>
      </c>
      <c r="M955" s="22">
        <f t="shared" si="72"/>
        <v>369</v>
      </c>
      <c r="N955" s="22" t="str">
        <f t="shared" si="73"/>
        <v>High Value</v>
      </c>
      <c r="O955" s="22" t="str">
        <f t="shared" si="74"/>
        <v>Mar-2024</v>
      </c>
      <c r="P955" s="22" t="s">
        <v>1817</v>
      </c>
      <c r="Q955" s="22" t="s">
        <v>1560</v>
      </c>
      <c r="R955" s="22" t="s">
        <v>1437</v>
      </c>
      <c r="S955" s="22"/>
      <c r="T955" s="22"/>
      <c r="V955" s="26" t="s">
        <v>1936</v>
      </c>
      <c r="W955" s="6">
        <v>3</v>
      </c>
    </row>
    <row r="956" spans="1:23">
      <c r="A956" t="s">
        <v>2893</v>
      </c>
      <c r="B956" s="8">
        <v>45412</v>
      </c>
      <c r="C956" t="s">
        <v>1514</v>
      </c>
      <c r="D956" t="s">
        <v>1553</v>
      </c>
      <c r="E956" t="s">
        <v>1911</v>
      </c>
      <c r="F956">
        <v>2</v>
      </c>
      <c r="G956" s="10">
        <v>824.34</v>
      </c>
      <c r="H956" s="13">
        <v>0.1</v>
      </c>
      <c r="I956" t="s">
        <v>1936</v>
      </c>
      <c r="J956" s="16">
        <v>1483.8119999999999</v>
      </c>
      <c r="K956" s="19">
        <f t="shared" si="70"/>
        <v>1126741.9268999994</v>
      </c>
      <c r="L956" s="22">
        <f t="shared" si="71"/>
        <v>1077.1911347036323</v>
      </c>
      <c r="M956" s="22">
        <f t="shared" si="72"/>
        <v>369</v>
      </c>
      <c r="N956" s="22" t="str">
        <f t="shared" si="73"/>
        <v>High Value</v>
      </c>
      <c r="O956" s="22" t="str">
        <f t="shared" si="74"/>
        <v>Apr-2024</v>
      </c>
      <c r="P956" s="22" t="s">
        <v>1554</v>
      </c>
      <c r="Q956" s="22" t="s">
        <v>1555</v>
      </c>
      <c r="R956" s="22" t="s">
        <v>1515</v>
      </c>
      <c r="S956" s="22"/>
      <c r="T956" s="22"/>
      <c r="V956" s="26" t="s">
        <v>1931</v>
      </c>
      <c r="W956" s="6">
        <v>4</v>
      </c>
    </row>
    <row r="957" spans="1:23">
      <c r="A957" t="s">
        <v>2894</v>
      </c>
      <c r="B957" s="8">
        <v>45349</v>
      </c>
      <c r="C957" t="s">
        <v>391</v>
      </c>
      <c r="D957" t="s">
        <v>1731</v>
      </c>
      <c r="E957" t="s">
        <v>1889</v>
      </c>
      <c r="F957">
        <v>1</v>
      </c>
      <c r="G957" s="10">
        <v>437.12</v>
      </c>
      <c r="H957" s="13">
        <v>0.21</v>
      </c>
      <c r="I957" t="s">
        <v>1931</v>
      </c>
      <c r="J957" s="16">
        <v>345.32479999999998</v>
      </c>
      <c r="K957" s="19">
        <f t="shared" si="70"/>
        <v>1125258.1148999995</v>
      </c>
      <c r="L957" s="22">
        <f t="shared" si="71"/>
        <v>1076.8020238277506</v>
      </c>
      <c r="M957" s="22">
        <f t="shared" si="72"/>
        <v>369</v>
      </c>
      <c r="N957" s="22" t="str">
        <f t="shared" si="73"/>
        <v>Low Value</v>
      </c>
      <c r="O957" s="22" t="str">
        <f t="shared" si="74"/>
        <v>Feb-2024</v>
      </c>
      <c r="P957" s="22" t="s">
        <v>1732</v>
      </c>
      <c r="Q957" s="22" t="s">
        <v>1555</v>
      </c>
      <c r="R957" s="22" t="s">
        <v>392</v>
      </c>
      <c r="S957" s="22"/>
      <c r="T957" s="22"/>
      <c r="V957" s="25" t="s">
        <v>787</v>
      </c>
      <c r="W957" s="6">
        <v>18</v>
      </c>
    </row>
    <row r="958" spans="1:23">
      <c r="A958" t="s">
        <v>2895</v>
      </c>
      <c r="B958" s="8">
        <v>45486</v>
      </c>
      <c r="C958" t="s">
        <v>1113</v>
      </c>
      <c r="D958" t="s">
        <v>1819</v>
      </c>
      <c r="E958" t="s">
        <v>1883</v>
      </c>
      <c r="F958">
        <v>3</v>
      </c>
      <c r="G958" s="10">
        <v>23.37</v>
      </c>
      <c r="H958" s="13">
        <v>0.15</v>
      </c>
      <c r="I958" t="s">
        <v>1933</v>
      </c>
      <c r="J958" s="16">
        <v>59.593499999999999</v>
      </c>
      <c r="K958" s="19">
        <f t="shared" si="70"/>
        <v>1124912.7900999994</v>
      </c>
      <c r="L958" s="22">
        <f t="shared" si="71"/>
        <v>1077.5026725095779</v>
      </c>
      <c r="M958" s="22">
        <f t="shared" si="72"/>
        <v>369</v>
      </c>
      <c r="N958" s="22" t="str">
        <f t="shared" si="73"/>
        <v>Low Value</v>
      </c>
      <c r="O958" s="22" t="str">
        <f t="shared" si="74"/>
        <v>Jul-2024</v>
      </c>
      <c r="P958" s="22" t="s">
        <v>1820</v>
      </c>
      <c r="Q958" s="22" t="s">
        <v>1569</v>
      </c>
      <c r="R958" s="22" t="s">
        <v>1114</v>
      </c>
      <c r="S958" s="22"/>
      <c r="T958" s="22"/>
      <c r="V958" s="26" t="s">
        <v>1936</v>
      </c>
      <c r="W958" s="6">
        <v>10</v>
      </c>
    </row>
    <row r="959" spans="1:23">
      <c r="A959" t="s">
        <v>2896</v>
      </c>
      <c r="B959" s="8">
        <v>45761</v>
      </c>
      <c r="C959" t="s">
        <v>614</v>
      </c>
      <c r="D959" t="s">
        <v>1658</v>
      </c>
      <c r="E959" t="s">
        <v>1889</v>
      </c>
      <c r="F959">
        <v>1</v>
      </c>
      <c r="G959" s="10">
        <v>579.69000000000005</v>
      </c>
      <c r="H959" s="13">
        <v>0.02</v>
      </c>
      <c r="I959" t="s">
        <v>1931</v>
      </c>
      <c r="J959" s="16">
        <v>568.09620000000007</v>
      </c>
      <c r="K959" s="19">
        <f t="shared" si="70"/>
        <v>1124853.1965999994</v>
      </c>
      <c r="L959" s="22">
        <f t="shared" si="71"/>
        <v>1078.4786161073821</v>
      </c>
      <c r="M959" s="22">
        <f t="shared" si="72"/>
        <v>368</v>
      </c>
      <c r="N959" s="22" t="str">
        <f t="shared" si="73"/>
        <v>Low Value</v>
      </c>
      <c r="O959" s="22" t="str">
        <f t="shared" si="74"/>
        <v>Apr-2025</v>
      </c>
      <c r="P959" s="22" t="s">
        <v>1659</v>
      </c>
      <c r="Q959" s="22" t="s">
        <v>1536</v>
      </c>
      <c r="R959" s="22" t="s">
        <v>615</v>
      </c>
      <c r="S959" s="22"/>
      <c r="T959" s="22"/>
      <c r="V959" s="26" t="s">
        <v>1931</v>
      </c>
      <c r="W959" s="6">
        <v>4</v>
      </c>
    </row>
    <row r="960" spans="1:23">
      <c r="A960" t="s">
        <v>2897</v>
      </c>
      <c r="B960" s="8">
        <v>45639</v>
      </c>
      <c r="C960" t="s">
        <v>1325</v>
      </c>
      <c r="D960" t="s">
        <v>1789</v>
      </c>
      <c r="E960" t="s">
        <v>1906</v>
      </c>
      <c r="F960">
        <v>3</v>
      </c>
      <c r="G960" s="10">
        <v>240.51</v>
      </c>
      <c r="H960" s="13">
        <v>7.0000000000000007E-2</v>
      </c>
      <c r="I960" t="s">
        <v>1931</v>
      </c>
      <c r="J960" s="16">
        <v>671.02289999999994</v>
      </c>
      <c r="K960" s="19">
        <f t="shared" si="70"/>
        <v>1124285.1003999994</v>
      </c>
      <c r="L960" s="22">
        <f t="shared" si="71"/>
        <v>1078.9684264875234</v>
      </c>
      <c r="M960" s="22">
        <f t="shared" si="72"/>
        <v>368</v>
      </c>
      <c r="N960" s="22" t="str">
        <f t="shared" si="73"/>
        <v>Low Value</v>
      </c>
      <c r="O960" s="22" t="str">
        <f t="shared" si="74"/>
        <v>Dec-2024</v>
      </c>
      <c r="P960" s="22" t="s">
        <v>1790</v>
      </c>
      <c r="Q960" s="22" t="s">
        <v>1560</v>
      </c>
      <c r="R960" s="22" t="s">
        <v>1326</v>
      </c>
      <c r="S960" s="22"/>
      <c r="T960" s="22"/>
      <c r="V960" s="26" t="s">
        <v>1933</v>
      </c>
      <c r="W960" s="6">
        <v>4</v>
      </c>
    </row>
    <row r="961" spans="1:23">
      <c r="A961" t="s">
        <v>2898</v>
      </c>
      <c r="B961" s="8">
        <v>45893</v>
      </c>
      <c r="C961" t="s">
        <v>1187</v>
      </c>
      <c r="D961" t="s">
        <v>1624</v>
      </c>
      <c r="E961" t="s">
        <v>1906</v>
      </c>
      <c r="F961">
        <v>2</v>
      </c>
      <c r="G961" s="10">
        <v>855.4</v>
      </c>
      <c r="H961" s="13">
        <v>0.08</v>
      </c>
      <c r="I961" t="s">
        <v>1936</v>
      </c>
      <c r="J961" s="16">
        <v>1573.9359999999999</v>
      </c>
      <c r="K961" s="19">
        <f t="shared" si="70"/>
        <v>1123614.0774999997</v>
      </c>
      <c r="L961" s="22">
        <f t="shared" si="71"/>
        <v>1079.3603049951967</v>
      </c>
      <c r="M961" s="22">
        <f t="shared" si="72"/>
        <v>368</v>
      </c>
      <c r="N961" s="22" t="str">
        <f t="shared" si="73"/>
        <v>High Value</v>
      </c>
      <c r="O961" s="22" t="str">
        <f t="shared" si="74"/>
        <v>Aug-2025</v>
      </c>
      <c r="P961" s="22" t="s">
        <v>1625</v>
      </c>
      <c r="Q961" s="22" t="s">
        <v>1536</v>
      </c>
      <c r="R961" s="22" t="s">
        <v>1188</v>
      </c>
      <c r="S961" s="22"/>
      <c r="T961" s="22"/>
      <c r="V961" s="25" t="s">
        <v>799</v>
      </c>
      <c r="W961" s="6">
        <v>9</v>
      </c>
    </row>
    <row r="962" spans="1:23">
      <c r="A962" t="s">
        <v>2899</v>
      </c>
      <c r="B962" s="8">
        <v>45227</v>
      </c>
      <c r="C962" t="s">
        <v>39</v>
      </c>
      <c r="D962" t="s">
        <v>1825</v>
      </c>
      <c r="E962" t="s">
        <v>1886</v>
      </c>
      <c r="F962">
        <v>1</v>
      </c>
      <c r="G962" s="10">
        <v>537.26</v>
      </c>
      <c r="H962" s="13">
        <v>0.09</v>
      </c>
      <c r="I962" t="s">
        <v>1931</v>
      </c>
      <c r="J962" s="16">
        <v>488.90660000000003</v>
      </c>
      <c r="K962" s="19">
        <f t="shared" ref="K962:K1025" si="75">SUM(J962:J2961)</f>
        <v>1122040.1414999997</v>
      </c>
      <c r="L962" s="22">
        <f t="shared" ref="L962:L1025" si="76">AVERAGE(J962:J2961)</f>
        <v>1078.8847514423073</v>
      </c>
      <c r="M962" s="22">
        <f t="shared" ref="M962:M1025" si="77">COUNTIF(I962:I2961,"PayPal")</f>
        <v>368</v>
      </c>
      <c r="N962" s="22" t="str">
        <f t="shared" ref="N962:N1025" si="78">IF(J962&gt;=1000,"High Value","Low Value")</f>
        <v>Low Value</v>
      </c>
      <c r="O962" s="22" t="str">
        <f t="shared" ref="O962:O1025" si="79">TEXT(B962,"mmm-yyyy")</f>
        <v>Oct-2023</v>
      </c>
      <c r="P962" s="22" t="s">
        <v>1826</v>
      </c>
      <c r="Q962" s="22" t="s">
        <v>1531</v>
      </c>
      <c r="R962" s="22" t="s">
        <v>40</v>
      </c>
      <c r="S962" s="22"/>
      <c r="T962" s="22"/>
      <c r="V962" s="26" t="s">
        <v>1936</v>
      </c>
      <c r="W962" s="6">
        <v>6</v>
      </c>
    </row>
    <row r="963" spans="1:23">
      <c r="A963" t="s">
        <v>2900</v>
      </c>
      <c r="B963" s="8">
        <v>45637</v>
      </c>
      <c r="C963" t="s">
        <v>1193</v>
      </c>
      <c r="D963" t="s">
        <v>1707</v>
      </c>
      <c r="E963" t="s">
        <v>1896</v>
      </c>
      <c r="F963">
        <v>3</v>
      </c>
      <c r="G963" s="10">
        <v>918.26</v>
      </c>
      <c r="H963" s="13">
        <v>0.17</v>
      </c>
      <c r="I963" t="s">
        <v>1936</v>
      </c>
      <c r="J963" s="16">
        <v>2286.4674</v>
      </c>
      <c r="K963" s="19">
        <f t="shared" si="75"/>
        <v>1121551.2348999996</v>
      </c>
      <c r="L963" s="22">
        <f t="shared" si="76"/>
        <v>1079.4525841193451</v>
      </c>
      <c r="M963" s="22">
        <f t="shared" si="77"/>
        <v>368</v>
      </c>
      <c r="N963" s="22" t="str">
        <f t="shared" si="78"/>
        <v>High Value</v>
      </c>
      <c r="O963" s="22" t="str">
        <f t="shared" si="79"/>
        <v>Dec-2024</v>
      </c>
      <c r="P963" s="22" t="s">
        <v>1708</v>
      </c>
      <c r="Q963" s="22" t="s">
        <v>1531</v>
      </c>
      <c r="R963" s="22" t="s">
        <v>1194</v>
      </c>
      <c r="S963" s="22"/>
      <c r="T963" s="22"/>
      <c r="V963" s="26" t="s">
        <v>1931</v>
      </c>
      <c r="W963" s="6">
        <v>1</v>
      </c>
    </row>
    <row r="964" spans="1:23">
      <c r="A964" t="s">
        <v>2901</v>
      </c>
      <c r="B964" s="8">
        <v>45472</v>
      </c>
      <c r="C964" t="s">
        <v>336</v>
      </c>
      <c r="D964" t="s">
        <v>1553</v>
      </c>
      <c r="E964" t="s">
        <v>1893</v>
      </c>
      <c r="F964">
        <v>4</v>
      </c>
      <c r="G964" s="10">
        <v>579.70000000000005</v>
      </c>
      <c r="H964" s="13">
        <v>0.18</v>
      </c>
      <c r="I964" t="s">
        <v>1933</v>
      </c>
      <c r="J964" s="16">
        <v>1901.4159999999999</v>
      </c>
      <c r="K964" s="19">
        <f t="shared" si="75"/>
        <v>1119264.7674999996</v>
      </c>
      <c r="L964" s="22">
        <f t="shared" si="76"/>
        <v>1078.2897567437376</v>
      </c>
      <c r="M964" s="22">
        <f t="shared" si="77"/>
        <v>368</v>
      </c>
      <c r="N964" s="22" t="str">
        <f t="shared" si="78"/>
        <v>High Value</v>
      </c>
      <c r="O964" s="22" t="str">
        <f t="shared" si="79"/>
        <v>Jun-2024</v>
      </c>
      <c r="P964" s="22" t="s">
        <v>1554</v>
      </c>
      <c r="Q964" s="22" t="s">
        <v>1555</v>
      </c>
      <c r="R964" s="22" t="s">
        <v>337</v>
      </c>
      <c r="S964" s="22"/>
      <c r="T964" s="22"/>
      <c r="V964" s="26" t="s">
        <v>1933</v>
      </c>
      <c r="W964" s="6">
        <v>2</v>
      </c>
    </row>
    <row r="965" spans="1:23">
      <c r="A965" t="s">
        <v>2902</v>
      </c>
      <c r="B965" s="8">
        <v>45710</v>
      </c>
      <c r="C965" t="s">
        <v>488</v>
      </c>
      <c r="D965" t="s">
        <v>1681</v>
      </c>
      <c r="E965" t="s">
        <v>1883</v>
      </c>
      <c r="F965">
        <v>1</v>
      </c>
      <c r="G965" s="10">
        <v>824.32</v>
      </c>
      <c r="H965" s="13">
        <v>0.18</v>
      </c>
      <c r="I965" t="s">
        <v>1931</v>
      </c>
      <c r="J965" s="16">
        <v>675.94240000000013</v>
      </c>
      <c r="K965" s="19">
        <f t="shared" si="75"/>
        <v>1117363.3514999999</v>
      </c>
      <c r="L965" s="22">
        <f t="shared" si="76"/>
        <v>1077.4959995178399</v>
      </c>
      <c r="M965" s="22">
        <f t="shared" si="77"/>
        <v>367</v>
      </c>
      <c r="N965" s="22" t="str">
        <f t="shared" si="78"/>
        <v>Low Value</v>
      </c>
      <c r="O965" s="22" t="str">
        <f t="shared" si="79"/>
        <v>Feb-2025</v>
      </c>
      <c r="P965" s="22" t="s">
        <v>1682</v>
      </c>
      <c r="Q965" s="22" t="s">
        <v>1531</v>
      </c>
      <c r="R965" s="22" t="s">
        <v>489</v>
      </c>
      <c r="S965" s="22"/>
      <c r="T965" s="22"/>
      <c r="V965" s="25" t="s">
        <v>606</v>
      </c>
      <c r="W965" s="6">
        <v>6</v>
      </c>
    </row>
    <row r="966" spans="1:23">
      <c r="A966" t="s">
        <v>2903</v>
      </c>
      <c r="B966" s="8">
        <v>45682</v>
      </c>
      <c r="C966" t="s">
        <v>379</v>
      </c>
      <c r="D966" t="s">
        <v>1690</v>
      </c>
      <c r="E966" t="s">
        <v>1908</v>
      </c>
      <c r="F966">
        <v>4</v>
      </c>
      <c r="G966" s="10">
        <v>614.99</v>
      </c>
      <c r="H966" s="13">
        <v>0.16</v>
      </c>
      <c r="I966" t="s">
        <v>1933</v>
      </c>
      <c r="J966" s="16">
        <v>2066.3663999999999</v>
      </c>
      <c r="K966" s="19">
        <f t="shared" si="75"/>
        <v>1116687.4090999996</v>
      </c>
      <c r="L966" s="22">
        <f t="shared" si="76"/>
        <v>1077.883599517374</v>
      </c>
      <c r="M966" s="22">
        <f t="shared" si="77"/>
        <v>367</v>
      </c>
      <c r="N966" s="22" t="str">
        <f t="shared" si="78"/>
        <v>High Value</v>
      </c>
      <c r="O966" s="22" t="str">
        <f t="shared" si="79"/>
        <v>Jan-2025</v>
      </c>
      <c r="P966" s="22" t="s">
        <v>1691</v>
      </c>
      <c r="Q966" s="22" t="s">
        <v>1536</v>
      </c>
      <c r="R966" s="22" t="s">
        <v>380</v>
      </c>
      <c r="S966" s="22"/>
      <c r="T966" s="22"/>
      <c r="V966" s="26" t="s">
        <v>1936</v>
      </c>
      <c r="W966" s="6">
        <v>2</v>
      </c>
    </row>
    <row r="967" spans="1:23">
      <c r="A967" t="s">
        <v>2904</v>
      </c>
      <c r="B967" s="8">
        <v>45730</v>
      </c>
      <c r="C967" t="s">
        <v>437</v>
      </c>
      <c r="D967" t="s">
        <v>1740</v>
      </c>
      <c r="E967" t="s">
        <v>1859</v>
      </c>
      <c r="F967">
        <v>4</v>
      </c>
      <c r="G967" s="10">
        <v>189.21</v>
      </c>
      <c r="H967" s="13">
        <v>0.06</v>
      </c>
      <c r="I967" t="s">
        <v>1936</v>
      </c>
      <c r="J967" s="16">
        <v>711.42959999999994</v>
      </c>
      <c r="K967" s="19">
        <f t="shared" si="75"/>
        <v>1114621.0426999996</v>
      </c>
      <c r="L967" s="22">
        <f t="shared" si="76"/>
        <v>1076.9285436714972</v>
      </c>
      <c r="M967" s="22">
        <f t="shared" si="77"/>
        <v>366</v>
      </c>
      <c r="N967" s="22" t="str">
        <f t="shared" si="78"/>
        <v>Low Value</v>
      </c>
      <c r="O967" s="22" t="str">
        <f t="shared" si="79"/>
        <v>Mar-2025</v>
      </c>
      <c r="P967" s="22" t="s">
        <v>1741</v>
      </c>
      <c r="Q967" s="22" t="s">
        <v>1531</v>
      </c>
      <c r="R967" s="22" t="s">
        <v>438</v>
      </c>
      <c r="S967" s="22"/>
      <c r="T967" s="22"/>
      <c r="V967" s="26" t="s">
        <v>1931</v>
      </c>
      <c r="W967" s="6">
        <v>4</v>
      </c>
    </row>
    <row r="968" spans="1:23">
      <c r="A968" t="s">
        <v>2905</v>
      </c>
      <c r="B968" s="8">
        <v>45629</v>
      </c>
      <c r="C968" t="s">
        <v>515</v>
      </c>
      <c r="D968" t="s">
        <v>1740</v>
      </c>
      <c r="E968" t="s">
        <v>1906</v>
      </c>
      <c r="F968">
        <v>2</v>
      </c>
      <c r="G968" s="10">
        <v>233.33</v>
      </c>
      <c r="H968" s="13">
        <v>0.05</v>
      </c>
      <c r="I968" t="s">
        <v>1931</v>
      </c>
      <c r="J968" s="16">
        <v>443.327</v>
      </c>
      <c r="K968" s="19">
        <f t="shared" si="75"/>
        <v>1113909.6130999997</v>
      </c>
      <c r="L968" s="22">
        <f t="shared" si="76"/>
        <v>1077.2820242746614</v>
      </c>
      <c r="M968" s="22">
        <f t="shared" si="77"/>
        <v>366</v>
      </c>
      <c r="N968" s="22" t="str">
        <f t="shared" si="78"/>
        <v>Low Value</v>
      </c>
      <c r="O968" s="22" t="str">
        <f t="shared" si="79"/>
        <v>Dec-2024</v>
      </c>
      <c r="P968" s="22" t="s">
        <v>1741</v>
      </c>
      <c r="Q968" s="22" t="s">
        <v>1531</v>
      </c>
      <c r="R968" s="22" t="s">
        <v>516</v>
      </c>
      <c r="S968" s="22"/>
      <c r="T968" s="22"/>
      <c r="V968" s="25" t="s">
        <v>115</v>
      </c>
      <c r="W968" s="6">
        <v>14</v>
      </c>
    </row>
    <row r="969" spans="1:23">
      <c r="A969" t="s">
        <v>2906</v>
      </c>
      <c r="B969" s="8">
        <v>45783</v>
      </c>
      <c r="C969" t="s">
        <v>795</v>
      </c>
      <c r="D969" t="s">
        <v>1668</v>
      </c>
      <c r="E969" t="s">
        <v>1917</v>
      </c>
      <c r="F969">
        <v>3</v>
      </c>
      <c r="G969" s="10">
        <v>529.89</v>
      </c>
      <c r="H969" s="13">
        <v>0.21</v>
      </c>
      <c r="I969" t="s">
        <v>1931</v>
      </c>
      <c r="J969" s="16">
        <v>1255.8393000000001</v>
      </c>
      <c r="K969" s="19">
        <f t="shared" si="75"/>
        <v>1113466.2860999997</v>
      </c>
      <c r="L969" s="22">
        <f t="shared" si="76"/>
        <v>1077.8957271055176</v>
      </c>
      <c r="M969" s="22">
        <f t="shared" si="77"/>
        <v>366</v>
      </c>
      <c r="N969" s="22" t="str">
        <f t="shared" si="78"/>
        <v>High Value</v>
      </c>
      <c r="O969" s="22" t="str">
        <f t="shared" si="79"/>
        <v>May-2025</v>
      </c>
      <c r="P969" s="22" t="s">
        <v>1669</v>
      </c>
      <c r="Q969" s="22" t="s">
        <v>1531</v>
      </c>
      <c r="R969" s="22" t="s">
        <v>796</v>
      </c>
      <c r="S969" s="22"/>
      <c r="T969" s="22"/>
      <c r="V969" s="26" t="s">
        <v>1936</v>
      </c>
      <c r="W969" s="6">
        <v>2</v>
      </c>
    </row>
    <row r="970" spans="1:23">
      <c r="A970" t="s">
        <v>2907</v>
      </c>
      <c r="B970" s="8">
        <v>45518</v>
      </c>
      <c r="C970" t="s">
        <v>1492</v>
      </c>
      <c r="D970" t="s">
        <v>1831</v>
      </c>
      <c r="E970" t="s">
        <v>1864</v>
      </c>
      <c r="F970">
        <v>2</v>
      </c>
      <c r="G970" s="10">
        <v>954.1</v>
      </c>
      <c r="H970" s="13">
        <v>0.17</v>
      </c>
      <c r="I970" t="s">
        <v>1933</v>
      </c>
      <c r="J970" s="16">
        <v>1583.806</v>
      </c>
      <c r="K970" s="19">
        <f t="shared" si="75"/>
        <v>1112210.4468</v>
      </c>
      <c r="L970" s="22">
        <f t="shared" si="76"/>
        <v>1077.7233011627907</v>
      </c>
      <c r="M970" s="22">
        <f t="shared" si="77"/>
        <v>366</v>
      </c>
      <c r="N970" s="22" t="str">
        <f t="shared" si="78"/>
        <v>High Value</v>
      </c>
      <c r="O970" s="22" t="str">
        <f t="shared" si="79"/>
        <v>Aug-2024</v>
      </c>
      <c r="P970" s="22" t="s">
        <v>1832</v>
      </c>
      <c r="Q970" s="22" t="s">
        <v>1560</v>
      </c>
      <c r="R970" s="22" t="s">
        <v>1493</v>
      </c>
      <c r="S970" s="22"/>
      <c r="T970" s="22"/>
      <c r="V970" s="26" t="s">
        <v>1933</v>
      </c>
      <c r="W970" s="6">
        <v>12</v>
      </c>
    </row>
    <row r="971" spans="1:23">
      <c r="A971" t="s">
        <v>2908</v>
      </c>
      <c r="B971" s="8">
        <v>45274</v>
      </c>
      <c r="C971" t="s">
        <v>1014</v>
      </c>
      <c r="D971" t="s">
        <v>1749</v>
      </c>
      <c r="E971" t="s">
        <v>1886</v>
      </c>
      <c r="F971">
        <v>1</v>
      </c>
      <c r="G971" s="10">
        <v>370.04</v>
      </c>
      <c r="H971" s="13">
        <v>0.04</v>
      </c>
      <c r="I971" t="s">
        <v>1936</v>
      </c>
      <c r="J971" s="16">
        <v>355.23840000000001</v>
      </c>
      <c r="K971" s="19">
        <f t="shared" si="75"/>
        <v>1110626.6408000002</v>
      </c>
      <c r="L971" s="22">
        <f t="shared" si="76"/>
        <v>1077.2324353055287</v>
      </c>
      <c r="M971" s="22">
        <f t="shared" si="77"/>
        <v>365</v>
      </c>
      <c r="N971" s="22" t="str">
        <f t="shared" si="78"/>
        <v>Low Value</v>
      </c>
      <c r="O971" s="22" t="str">
        <f t="shared" si="79"/>
        <v>Dec-2023</v>
      </c>
      <c r="P971" s="22" t="s">
        <v>1750</v>
      </c>
      <c r="Q971" s="22" t="s">
        <v>1569</v>
      </c>
      <c r="R971" s="22" t="s">
        <v>1015</v>
      </c>
      <c r="S971" s="22"/>
      <c r="T971" s="22"/>
      <c r="V971" s="25" t="s">
        <v>813</v>
      </c>
      <c r="W971" s="6">
        <v>4</v>
      </c>
    </row>
    <row r="972" spans="1:23">
      <c r="A972" t="s">
        <v>2909</v>
      </c>
      <c r="B972" s="8">
        <v>45297</v>
      </c>
      <c r="C972" t="s">
        <v>224</v>
      </c>
      <c r="D972" t="s">
        <v>1843</v>
      </c>
      <c r="E972" t="s">
        <v>1920</v>
      </c>
      <c r="F972">
        <v>4</v>
      </c>
      <c r="G972" s="10">
        <v>492.71</v>
      </c>
      <c r="H972" s="13">
        <v>0.08</v>
      </c>
      <c r="I972" t="s">
        <v>1931</v>
      </c>
      <c r="J972" s="16">
        <v>1813.1728000000001</v>
      </c>
      <c r="K972" s="19">
        <f t="shared" si="75"/>
        <v>1110271.4024</v>
      </c>
      <c r="L972" s="22">
        <f t="shared" si="76"/>
        <v>1077.9334003883496</v>
      </c>
      <c r="M972" s="22">
        <f t="shared" si="77"/>
        <v>365</v>
      </c>
      <c r="N972" s="22" t="str">
        <f t="shared" si="78"/>
        <v>High Value</v>
      </c>
      <c r="O972" s="22" t="str">
        <f t="shared" si="79"/>
        <v>Jan-2024</v>
      </c>
      <c r="P972" s="22" t="s">
        <v>1844</v>
      </c>
      <c r="Q972" s="22" t="s">
        <v>1536</v>
      </c>
      <c r="R972" s="22" t="s">
        <v>225</v>
      </c>
      <c r="S972" s="22"/>
      <c r="T972" s="22"/>
      <c r="V972" s="26" t="s">
        <v>1931</v>
      </c>
      <c r="W972" s="6">
        <v>2</v>
      </c>
    </row>
    <row r="973" spans="1:23">
      <c r="A973" t="s">
        <v>2910</v>
      </c>
      <c r="B973" s="8">
        <v>45530</v>
      </c>
      <c r="C973" t="s">
        <v>889</v>
      </c>
      <c r="D973" t="s">
        <v>1828</v>
      </c>
      <c r="E973" t="s">
        <v>1904</v>
      </c>
      <c r="F973">
        <v>4</v>
      </c>
      <c r="G973" s="10">
        <v>853.26</v>
      </c>
      <c r="H973" s="13">
        <v>0.24</v>
      </c>
      <c r="I973" t="s">
        <v>1936</v>
      </c>
      <c r="J973" s="16">
        <v>2593.9104000000002</v>
      </c>
      <c r="K973" s="19">
        <f t="shared" si="75"/>
        <v>1108458.2295999997</v>
      </c>
      <c r="L973" s="22">
        <f t="shared" si="76"/>
        <v>1077.2188820213796</v>
      </c>
      <c r="M973" s="22">
        <f t="shared" si="77"/>
        <v>365</v>
      </c>
      <c r="N973" s="22" t="str">
        <f t="shared" si="78"/>
        <v>High Value</v>
      </c>
      <c r="O973" s="22" t="str">
        <f t="shared" si="79"/>
        <v>Aug-2024</v>
      </c>
      <c r="P973" s="22" t="s">
        <v>1829</v>
      </c>
      <c r="Q973" s="22" t="s">
        <v>1536</v>
      </c>
      <c r="R973" s="22" t="s">
        <v>890</v>
      </c>
      <c r="S973" s="22"/>
      <c r="T973" s="22"/>
      <c r="V973" s="26" t="s">
        <v>1933</v>
      </c>
      <c r="W973" s="6">
        <v>2</v>
      </c>
    </row>
    <row r="974" spans="1:23">
      <c r="A974" t="s">
        <v>2911</v>
      </c>
      <c r="B974" s="8">
        <v>45740</v>
      </c>
      <c r="C974" t="s">
        <v>1256</v>
      </c>
      <c r="D974" t="s">
        <v>2033</v>
      </c>
      <c r="E974" t="s">
        <v>1911</v>
      </c>
      <c r="F974">
        <v>1</v>
      </c>
      <c r="G974" s="10">
        <v>402.47</v>
      </c>
      <c r="H974" s="13">
        <v>0.19</v>
      </c>
      <c r="I974" t="s">
        <v>1933</v>
      </c>
      <c r="J974" s="16">
        <v>326.00070000000011</v>
      </c>
      <c r="K974" s="19">
        <f t="shared" si="75"/>
        <v>1105864.3191999998</v>
      </c>
      <c r="L974" s="22">
        <f t="shared" si="76"/>
        <v>1075.7435011673149</v>
      </c>
      <c r="M974" s="22">
        <f t="shared" si="77"/>
        <v>365</v>
      </c>
      <c r="N974" s="22" t="str">
        <f t="shared" si="78"/>
        <v>Low Value</v>
      </c>
      <c r="O974" s="22" t="str">
        <f t="shared" si="79"/>
        <v>Mar-2025</v>
      </c>
      <c r="P974" s="22" t="s">
        <v>1543</v>
      </c>
      <c r="Q974" s="22" t="s">
        <v>1536</v>
      </c>
      <c r="R974" s="22" t="s">
        <v>1257</v>
      </c>
      <c r="S974" s="22"/>
      <c r="T974" s="22"/>
      <c r="V974" s="25" t="s">
        <v>1341</v>
      </c>
      <c r="W974" s="6">
        <v>7</v>
      </c>
    </row>
    <row r="975" spans="1:23">
      <c r="A975" t="s">
        <v>2912</v>
      </c>
      <c r="B975" s="8">
        <v>45311</v>
      </c>
      <c r="C975" t="s">
        <v>1245</v>
      </c>
      <c r="D975" t="s">
        <v>1716</v>
      </c>
      <c r="E975" t="s">
        <v>1917</v>
      </c>
      <c r="F975">
        <v>2</v>
      </c>
      <c r="G975" s="10">
        <v>528.29999999999995</v>
      </c>
      <c r="H975" s="13">
        <v>0.24</v>
      </c>
      <c r="I975" t="s">
        <v>1931</v>
      </c>
      <c r="J975" s="16">
        <v>803.01599999999996</v>
      </c>
      <c r="K975" s="19">
        <f t="shared" si="75"/>
        <v>1105538.3184999998</v>
      </c>
      <c r="L975" s="22">
        <f t="shared" si="76"/>
        <v>1076.4735331061343</v>
      </c>
      <c r="M975" s="22">
        <f t="shared" si="77"/>
        <v>364</v>
      </c>
      <c r="N975" s="22" t="str">
        <f t="shared" si="78"/>
        <v>Low Value</v>
      </c>
      <c r="O975" s="22" t="str">
        <f t="shared" si="79"/>
        <v>Jan-2024</v>
      </c>
      <c r="P975" s="22" t="s">
        <v>1717</v>
      </c>
      <c r="Q975" s="22" t="s">
        <v>1569</v>
      </c>
      <c r="R975" s="22" t="s">
        <v>1246</v>
      </c>
      <c r="S975" s="22"/>
      <c r="T975" s="22"/>
      <c r="V975" s="26" t="s">
        <v>1936</v>
      </c>
      <c r="W975" s="6">
        <v>4</v>
      </c>
    </row>
    <row r="976" spans="1:23">
      <c r="A976" t="s">
        <v>2913</v>
      </c>
      <c r="B976" s="8">
        <v>45667</v>
      </c>
      <c r="C976" t="s">
        <v>1365</v>
      </c>
      <c r="D976" t="s">
        <v>1572</v>
      </c>
      <c r="E976" t="s">
        <v>1883</v>
      </c>
      <c r="F976">
        <v>4</v>
      </c>
      <c r="G976" s="10">
        <v>599.85</v>
      </c>
      <c r="H976" s="13">
        <v>0.25</v>
      </c>
      <c r="I976" t="s">
        <v>1931</v>
      </c>
      <c r="J976" s="16">
        <v>1799.55</v>
      </c>
      <c r="K976" s="19">
        <f t="shared" si="75"/>
        <v>1104735.3024999995</v>
      </c>
      <c r="L976" s="22">
        <f t="shared" si="76"/>
        <v>1076.7400609161789</v>
      </c>
      <c r="M976" s="22">
        <f t="shared" si="77"/>
        <v>364</v>
      </c>
      <c r="N976" s="22" t="str">
        <f t="shared" si="78"/>
        <v>High Value</v>
      </c>
      <c r="O976" s="22" t="str">
        <f t="shared" si="79"/>
        <v>Jan-2025</v>
      </c>
      <c r="P976" s="22" t="s">
        <v>1573</v>
      </c>
      <c r="Q976" s="22" t="s">
        <v>1560</v>
      </c>
      <c r="R976" s="22" t="s">
        <v>1366</v>
      </c>
      <c r="S976" s="22"/>
      <c r="T976" s="22"/>
      <c r="V976" s="26" t="s">
        <v>1933</v>
      </c>
      <c r="W976" s="6">
        <v>3</v>
      </c>
    </row>
    <row r="977" spans="1:23">
      <c r="A977" t="s">
        <v>2914</v>
      </c>
      <c r="B977" s="8">
        <v>45281</v>
      </c>
      <c r="C977" t="s">
        <v>955</v>
      </c>
      <c r="D977" t="s">
        <v>1970</v>
      </c>
      <c r="E977" t="s">
        <v>1893</v>
      </c>
      <c r="F977">
        <v>2</v>
      </c>
      <c r="G977" s="10">
        <v>61.42</v>
      </c>
      <c r="H977" s="13">
        <v>0.08</v>
      </c>
      <c r="I977" t="s">
        <v>1933</v>
      </c>
      <c r="J977" s="16">
        <v>113.0128</v>
      </c>
      <c r="K977" s="19">
        <f t="shared" si="75"/>
        <v>1102935.7524999997</v>
      </c>
      <c r="L977" s="22">
        <f t="shared" si="76"/>
        <v>1076.0348804878047</v>
      </c>
      <c r="M977" s="22">
        <f t="shared" si="77"/>
        <v>364</v>
      </c>
      <c r="N977" s="22" t="str">
        <f t="shared" si="78"/>
        <v>Low Value</v>
      </c>
      <c r="O977" s="22" t="str">
        <f t="shared" si="79"/>
        <v>Dec-2023</v>
      </c>
      <c r="P977" s="22" t="s">
        <v>1594</v>
      </c>
      <c r="Q977" s="22" t="s">
        <v>1555</v>
      </c>
      <c r="R977" s="22" t="s">
        <v>956</v>
      </c>
      <c r="S977" s="22"/>
      <c r="T977" s="22"/>
      <c r="V977" s="25" t="s">
        <v>931</v>
      </c>
      <c r="W977" s="6">
        <v>9</v>
      </c>
    </row>
    <row r="978" spans="1:23">
      <c r="A978" t="s">
        <v>2915</v>
      </c>
      <c r="B978" s="8">
        <v>45693</v>
      </c>
      <c r="C978" t="s">
        <v>798</v>
      </c>
      <c r="D978" t="s">
        <v>1603</v>
      </c>
      <c r="E978" t="s">
        <v>1896</v>
      </c>
      <c r="F978">
        <v>2</v>
      </c>
      <c r="G978" s="10">
        <v>466.42</v>
      </c>
      <c r="H978" s="13">
        <v>0.12</v>
      </c>
      <c r="I978" t="s">
        <v>1933</v>
      </c>
      <c r="J978" s="16">
        <v>820.89920000000006</v>
      </c>
      <c r="K978" s="19">
        <f t="shared" si="75"/>
        <v>1102822.7396999998</v>
      </c>
      <c r="L978" s="22">
        <f t="shared" si="76"/>
        <v>1076.9753317382811</v>
      </c>
      <c r="M978" s="22">
        <f t="shared" si="77"/>
        <v>363</v>
      </c>
      <c r="N978" s="22" t="str">
        <f t="shared" si="78"/>
        <v>Low Value</v>
      </c>
      <c r="O978" s="22" t="str">
        <f t="shared" si="79"/>
        <v>Feb-2025</v>
      </c>
      <c r="P978" s="22" t="s">
        <v>1604</v>
      </c>
      <c r="Q978" s="22" t="s">
        <v>1569</v>
      </c>
      <c r="R978" s="22" t="s">
        <v>799</v>
      </c>
      <c r="S978" s="22"/>
      <c r="T978" s="22"/>
      <c r="V978" s="26" t="s">
        <v>1931</v>
      </c>
      <c r="W978" s="6">
        <v>4</v>
      </c>
    </row>
    <row r="979" spans="1:23">
      <c r="A979" t="s">
        <v>2916</v>
      </c>
      <c r="B979" s="8">
        <v>45857</v>
      </c>
      <c r="C979" t="s">
        <v>348</v>
      </c>
      <c r="D979" t="s">
        <v>1642</v>
      </c>
      <c r="E979" t="s">
        <v>1880</v>
      </c>
      <c r="F979">
        <v>4</v>
      </c>
      <c r="G979" s="10">
        <v>540.69000000000005</v>
      </c>
      <c r="H979" s="13">
        <v>0.09</v>
      </c>
      <c r="I979" t="s">
        <v>1936</v>
      </c>
      <c r="J979" s="16">
        <v>1968.1116</v>
      </c>
      <c r="K979" s="19">
        <f t="shared" si="75"/>
        <v>1102001.8404999997</v>
      </c>
      <c r="L979" s="22">
        <f t="shared" si="76"/>
        <v>1077.225650537634</v>
      </c>
      <c r="M979" s="22">
        <f t="shared" si="77"/>
        <v>362</v>
      </c>
      <c r="N979" s="22" t="str">
        <f t="shared" si="78"/>
        <v>High Value</v>
      </c>
      <c r="O979" s="22" t="str">
        <f t="shared" si="79"/>
        <v>Jul-2025</v>
      </c>
      <c r="P979" s="22" t="s">
        <v>1643</v>
      </c>
      <c r="Q979" s="22" t="s">
        <v>1569</v>
      </c>
      <c r="R979" s="22" t="s">
        <v>349</v>
      </c>
      <c r="S979" s="22"/>
      <c r="T979" s="22"/>
      <c r="V979" s="26" t="s">
        <v>1933</v>
      </c>
      <c r="W979" s="6">
        <v>5</v>
      </c>
    </row>
    <row r="980" spans="1:23">
      <c r="A980" t="s">
        <v>2917</v>
      </c>
      <c r="B980" s="8">
        <v>45737</v>
      </c>
      <c r="C980" t="s">
        <v>940</v>
      </c>
      <c r="D980" t="s">
        <v>1603</v>
      </c>
      <c r="E980" t="s">
        <v>1904</v>
      </c>
      <c r="F980">
        <v>3</v>
      </c>
      <c r="G980" s="10">
        <v>677.46</v>
      </c>
      <c r="H980" s="13">
        <v>0.05</v>
      </c>
      <c r="I980" t="s">
        <v>1931</v>
      </c>
      <c r="J980" s="16">
        <v>1930.761</v>
      </c>
      <c r="K980" s="19">
        <f t="shared" si="75"/>
        <v>1100033.7288999998</v>
      </c>
      <c r="L980" s="22">
        <f t="shared" si="76"/>
        <v>1076.3539421722112</v>
      </c>
      <c r="M980" s="22">
        <f t="shared" si="77"/>
        <v>362</v>
      </c>
      <c r="N980" s="22" t="str">
        <f t="shared" si="78"/>
        <v>High Value</v>
      </c>
      <c r="O980" s="22" t="str">
        <f t="shared" si="79"/>
        <v>Mar-2025</v>
      </c>
      <c r="P980" s="22" t="s">
        <v>1604</v>
      </c>
      <c r="Q980" s="22" t="s">
        <v>1569</v>
      </c>
      <c r="R980" s="22" t="s">
        <v>941</v>
      </c>
      <c r="S980" s="22"/>
      <c r="T980" s="22"/>
      <c r="V980" s="25" t="s">
        <v>717</v>
      </c>
      <c r="W980" s="6">
        <v>17</v>
      </c>
    </row>
    <row r="981" spans="1:23">
      <c r="A981" t="s">
        <v>2918</v>
      </c>
      <c r="B981" s="8">
        <v>45771</v>
      </c>
      <c r="C981" t="s">
        <v>1028</v>
      </c>
      <c r="D981" t="s">
        <v>1610</v>
      </c>
      <c r="E981" t="s">
        <v>1864</v>
      </c>
      <c r="F981">
        <v>3</v>
      </c>
      <c r="G981" s="10">
        <v>614.63</v>
      </c>
      <c r="H981" s="13">
        <v>0.06</v>
      </c>
      <c r="I981" t="s">
        <v>1933</v>
      </c>
      <c r="J981" s="16">
        <v>1733.2565999999999</v>
      </c>
      <c r="K981" s="19">
        <f t="shared" si="75"/>
        <v>1098102.9678999998</v>
      </c>
      <c r="L981" s="22">
        <f t="shared" si="76"/>
        <v>1075.5171086190007</v>
      </c>
      <c r="M981" s="22">
        <f t="shared" si="77"/>
        <v>362</v>
      </c>
      <c r="N981" s="22" t="str">
        <f t="shared" si="78"/>
        <v>High Value</v>
      </c>
      <c r="O981" s="22" t="str">
        <f t="shared" si="79"/>
        <v>Apr-2025</v>
      </c>
      <c r="P981" s="22" t="s">
        <v>1611</v>
      </c>
      <c r="Q981" s="22" t="s">
        <v>1560</v>
      </c>
      <c r="R981" s="22" t="s">
        <v>1029</v>
      </c>
      <c r="S981" s="22"/>
      <c r="T981" s="22"/>
      <c r="V981" s="26" t="s">
        <v>1936</v>
      </c>
      <c r="W981" s="6">
        <v>10</v>
      </c>
    </row>
    <row r="982" spans="1:23">
      <c r="A982" t="s">
        <v>2919</v>
      </c>
      <c r="B982" s="8">
        <v>45272</v>
      </c>
      <c r="C982" t="s">
        <v>747</v>
      </c>
      <c r="D982" t="s">
        <v>1752</v>
      </c>
      <c r="E982" t="s">
        <v>1889</v>
      </c>
      <c r="F982">
        <v>4</v>
      </c>
      <c r="G982" s="10">
        <v>649.52</v>
      </c>
      <c r="H982" s="13">
        <v>0.11</v>
      </c>
      <c r="I982" t="s">
        <v>1931</v>
      </c>
      <c r="J982" s="16">
        <v>2312.2912000000001</v>
      </c>
      <c r="K982" s="19">
        <f t="shared" si="75"/>
        <v>1096369.7113000001</v>
      </c>
      <c r="L982" s="22">
        <f t="shared" si="76"/>
        <v>1074.8722659803923</v>
      </c>
      <c r="M982" s="22">
        <f t="shared" si="77"/>
        <v>361</v>
      </c>
      <c r="N982" s="22" t="str">
        <f t="shared" si="78"/>
        <v>High Value</v>
      </c>
      <c r="O982" s="22" t="str">
        <f t="shared" si="79"/>
        <v>Dec-2023</v>
      </c>
      <c r="P982" s="22" t="s">
        <v>1753</v>
      </c>
      <c r="Q982" s="22" t="s">
        <v>1555</v>
      </c>
      <c r="R982" s="22" t="s">
        <v>748</v>
      </c>
      <c r="S982" s="22"/>
      <c r="T982" s="22"/>
      <c r="V982" s="26" t="s">
        <v>1931</v>
      </c>
      <c r="W982" s="6">
        <v>5</v>
      </c>
    </row>
    <row r="983" spans="1:23">
      <c r="A983" t="s">
        <v>2920</v>
      </c>
      <c r="B983" s="8">
        <v>45481</v>
      </c>
      <c r="C983" t="s">
        <v>1368</v>
      </c>
      <c r="D983" t="s">
        <v>1810</v>
      </c>
      <c r="E983" t="s">
        <v>1889</v>
      </c>
      <c r="F983">
        <v>2</v>
      </c>
      <c r="G983" s="10">
        <v>943.93</v>
      </c>
      <c r="H983" s="13">
        <v>0.22</v>
      </c>
      <c r="I983" t="s">
        <v>1933</v>
      </c>
      <c r="J983" s="16">
        <v>1472.5308</v>
      </c>
      <c r="K983" s="19">
        <f t="shared" si="75"/>
        <v>1094057.4201000002</v>
      </c>
      <c r="L983" s="22">
        <f t="shared" si="76"/>
        <v>1073.6579196270857</v>
      </c>
      <c r="M983" s="22">
        <f t="shared" si="77"/>
        <v>361</v>
      </c>
      <c r="N983" s="22" t="str">
        <f t="shared" si="78"/>
        <v>High Value</v>
      </c>
      <c r="O983" s="22" t="str">
        <f t="shared" si="79"/>
        <v>Jul-2024</v>
      </c>
      <c r="P983" s="22" t="s">
        <v>1811</v>
      </c>
      <c r="Q983" s="22" t="s">
        <v>1536</v>
      </c>
      <c r="R983" s="22" t="s">
        <v>1369</v>
      </c>
      <c r="S983" s="22"/>
      <c r="T983" s="22"/>
      <c r="V983" s="26" t="s">
        <v>1933</v>
      </c>
      <c r="W983" s="6">
        <v>2</v>
      </c>
    </row>
    <row r="984" spans="1:23">
      <c r="A984" t="s">
        <v>2921</v>
      </c>
      <c r="B984" s="8">
        <v>45228</v>
      </c>
      <c r="C984" t="s">
        <v>548</v>
      </c>
      <c r="D984" t="s">
        <v>1642</v>
      </c>
      <c r="E984" t="s">
        <v>1889</v>
      </c>
      <c r="F984">
        <v>4</v>
      </c>
      <c r="G984" s="10">
        <v>538.73</v>
      </c>
      <c r="H984" s="13">
        <v>0.03</v>
      </c>
      <c r="I984" t="s">
        <v>1931</v>
      </c>
      <c r="J984" s="16">
        <v>2090.2723999999998</v>
      </c>
      <c r="K984" s="19">
        <f t="shared" si="75"/>
        <v>1092584.8893000002</v>
      </c>
      <c r="L984" s="22">
        <f t="shared" si="76"/>
        <v>1073.2660995088411</v>
      </c>
      <c r="M984" s="22">
        <f t="shared" si="77"/>
        <v>360</v>
      </c>
      <c r="N984" s="22" t="str">
        <f t="shared" si="78"/>
        <v>High Value</v>
      </c>
      <c r="O984" s="22" t="str">
        <f t="shared" si="79"/>
        <v>Oct-2023</v>
      </c>
      <c r="P984" s="22" t="s">
        <v>1643</v>
      </c>
      <c r="Q984" s="22" t="s">
        <v>1569</v>
      </c>
      <c r="R984" s="22" t="s">
        <v>549</v>
      </c>
      <c r="S984" s="22"/>
      <c r="T984" s="22"/>
      <c r="V984" s="25" t="s">
        <v>1292</v>
      </c>
      <c r="W984" s="6">
        <v>10</v>
      </c>
    </row>
    <row r="985" spans="1:23">
      <c r="A985" t="s">
        <v>2922</v>
      </c>
      <c r="B985" s="8">
        <v>45432</v>
      </c>
      <c r="C985" t="s">
        <v>313</v>
      </c>
      <c r="D985" t="s">
        <v>1752</v>
      </c>
      <c r="E985" t="s">
        <v>1889</v>
      </c>
      <c r="F985">
        <v>2</v>
      </c>
      <c r="G985" s="10">
        <v>853.93</v>
      </c>
      <c r="H985" s="13">
        <v>0.01</v>
      </c>
      <c r="I985" t="s">
        <v>1933</v>
      </c>
      <c r="J985" s="16">
        <v>1690.7814000000001</v>
      </c>
      <c r="K985" s="19">
        <f t="shared" si="75"/>
        <v>1090494.6169</v>
      </c>
      <c r="L985" s="22">
        <f t="shared" si="76"/>
        <v>1072.2660933136676</v>
      </c>
      <c r="M985" s="22">
        <f t="shared" si="77"/>
        <v>360</v>
      </c>
      <c r="N985" s="22" t="str">
        <f t="shared" si="78"/>
        <v>High Value</v>
      </c>
      <c r="O985" s="22" t="str">
        <f t="shared" si="79"/>
        <v>May-2024</v>
      </c>
      <c r="P985" s="22" t="s">
        <v>1753</v>
      </c>
      <c r="Q985" s="22" t="s">
        <v>1555</v>
      </c>
      <c r="R985" s="22" t="s">
        <v>314</v>
      </c>
      <c r="S985" s="22"/>
      <c r="T985" s="22"/>
      <c r="V985" s="26" t="s">
        <v>1936</v>
      </c>
      <c r="W985" s="6">
        <v>4</v>
      </c>
    </row>
    <row r="986" spans="1:23">
      <c r="A986" t="s">
        <v>2923</v>
      </c>
      <c r="B986" s="8">
        <v>45914</v>
      </c>
      <c r="C986" t="s">
        <v>2552</v>
      </c>
      <c r="D986" t="s">
        <v>1636</v>
      </c>
      <c r="E986" t="s">
        <v>1876</v>
      </c>
      <c r="F986">
        <v>4</v>
      </c>
      <c r="G986" s="10">
        <v>465.42</v>
      </c>
      <c r="H986" s="13">
        <v>0.26</v>
      </c>
      <c r="I986" t="s">
        <v>1936</v>
      </c>
      <c r="J986" s="16">
        <v>1377.6432</v>
      </c>
      <c r="K986" s="19">
        <f t="shared" si="75"/>
        <v>1088803.8355000003</v>
      </c>
      <c r="L986" s="22">
        <f t="shared" si="76"/>
        <v>1071.6573184055121</v>
      </c>
      <c r="M986" s="22">
        <f t="shared" si="77"/>
        <v>359</v>
      </c>
      <c r="N986" s="22" t="str">
        <f t="shared" si="78"/>
        <v>High Value</v>
      </c>
      <c r="O986" s="22" t="str">
        <f t="shared" si="79"/>
        <v>Sep-2025</v>
      </c>
      <c r="P986" s="22" t="s">
        <v>1637</v>
      </c>
      <c r="Q986" s="22" t="s">
        <v>1560</v>
      </c>
      <c r="R986" s="22" t="s">
        <v>1498</v>
      </c>
      <c r="S986" s="22"/>
      <c r="T986" s="22"/>
      <c r="V986" s="26" t="s">
        <v>1931</v>
      </c>
      <c r="W986" s="6">
        <v>2</v>
      </c>
    </row>
    <row r="987" spans="1:23">
      <c r="A987" t="s">
        <v>2924</v>
      </c>
      <c r="B987" s="8">
        <v>45758</v>
      </c>
      <c r="C987" t="s">
        <v>205</v>
      </c>
      <c r="D987" t="s">
        <v>1534</v>
      </c>
      <c r="E987" t="s">
        <v>1899</v>
      </c>
      <c r="F987">
        <v>4</v>
      </c>
      <c r="G987" s="10">
        <v>880.26</v>
      </c>
      <c r="H987" s="13">
        <v>0.11</v>
      </c>
      <c r="I987" t="s">
        <v>1936</v>
      </c>
      <c r="J987" s="16">
        <v>3133.7256000000002</v>
      </c>
      <c r="K987" s="19">
        <f t="shared" si="75"/>
        <v>1087426.1923000002</v>
      </c>
      <c r="L987" s="22">
        <f t="shared" si="76"/>
        <v>1071.3558544827588</v>
      </c>
      <c r="M987" s="22">
        <f t="shared" si="77"/>
        <v>359</v>
      </c>
      <c r="N987" s="22" t="str">
        <f t="shared" si="78"/>
        <v>High Value</v>
      </c>
      <c r="O987" s="22" t="str">
        <f t="shared" si="79"/>
        <v>Apr-2025</v>
      </c>
      <c r="P987" s="22" t="s">
        <v>1535</v>
      </c>
      <c r="Q987" s="22" t="s">
        <v>1536</v>
      </c>
      <c r="R987" s="22" t="s">
        <v>206</v>
      </c>
      <c r="S987" s="22"/>
      <c r="T987" s="22"/>
      <c r="V987" s="26" t="s">
        <v>1933</v>
      </c>
      <c r="W987" s="6">
        <v>4</v>
      </c>
    </row>
    <row r="988" spans="1:23">
      <c r="A988" t="s">
        <v>2925</v>
      </c>
      <c r="B988" s="8">
        <v>45429</v>
      </c>
      <c r="C988" t="s">
        <v>1476</v>
      </c>
      <c r="D988" t="s">
        <v>1707</v>
      </c>
      <c r="E988" t="s">
        <v>1899</v>
      </c>
      <c r="F988">
        <v>3</v>
      </c>
      <c r="G988" s="10">
        <v>461.02</v>
      </c>
      <c r="H988" s="13">
        <v>0.28999999999999998</v>
      </c>
      <c r="I988" t="s">
        <v>1933</v>
      </c>
      <c r="J988" s="16">
        <v>981.97259999999994</v>
      </c>
      <c r="K988" s="19">
        <f t="shared" si="75"/>
        <v>1084292.4667000002</v>
      </c>
      <c r="L988" s="22">
        <f t="shared" si="76"/>
        <v>1069.3219592702171</v>
      </c>
      <c r="M988" s="22">
        <f t="shared" si="77"/>
        <v>359</v>
      </c>
      <c r="N988" s="22" t="str">
        <f t="shared" si="78"/>
        <v>Low Value</v>
      </c>
      <c r="O988" s="22" t="str">
        <f t="shared" si="79"/>
        <v>May-2024</v>
      </c>
      <c r="P988" s="22" t="s">
        <v>1708</v>
      </c>
      <c r="Q988" s="22" t="s">
        <v>1531</v>
      </c>
      <c r="R988" s="22" t="s">
        <v>1266</v>
      </c>
      <c r="S988" s="22"/>
      <c r="T988" s="22"/>
      <c r="V988" s="25" t="s">
        <v>1000</v>
      </c>
      <c r="W988" s="6">
        <v>2</v>
      </c>
    </row>
    <row r="989" spans="1:23">
      <c r="A989" t="s">
        <v>2926</v>
      </c>
      <c r="B989" s="8">
        <v>45578</v>
      </c>
      <c r="C989" t="s">
        <v>110</v>
      </c>
      <c r="D989" t="s">
        <v>1624</v>
      </c>
      <c r="E989" t="s">
        <v>1904</v>
      </c>
      <c r="F989">
        <v>1</v>
      </c>
      <c r="G989" s="10">
        <v>531.99</v>
      </c>
      <c r="H989" s="13">
        <v>0.17</v>
      </c>
      <c r="I989" t="s">
        <v>1933</v>
      </c>
      <c r="J989" s="16">
        <v>441.55169999999998</v>
      </c>
      <c r="K989" s="19">
        <f t="shared" si="75"/>
        <v>1083310.4941000002</v>
      </c>
      <c r="L989" s="22">
        <f t="shared" si="76"/>
        <v>1069.4081876604148</v>
      </c>
      <c r="M989" s="22">
        <f t="shared" si="77"/>
        <v>358</v>
      </c>
      <c r="N989" s="22" t="str">
        <f t="shared" si="78"/>
        <v>Low Value</v>
      </c>
      <c r="O989" s="22" t="str">
        <f t="shared" si="79"/>
        <v>Oct-2024</v>
      </c>
      <c r="P989" s="22" t="s">
        <v>1625</v>
      </c>
      <c r="Q989" s="22" t="s">
        <v>1536</v>
      </c>
      <c r="R989" s="22" t="s">
        <v>111</v>
      </c>
      <c r="S989" s="22"/>
      <c r="T989" s="22"/>
      <c r="V989" s="26" t="s">
        <v>1933</v>
      </c>
      <c r="W989" s="6">
        <v>2</v>
      </c>
    </row>
    <row r="990" spans="1:23">
      <c r="A990" t="s">
        <v>2927</v>
      </c>
      <c r="B990" s="8">
        <v>45486</v>
      </c>
      <c r="C990" t="s">
        <v>26</v>
      </c>
      <c r="D990" t="s">
        <v>1693</v>
      </c>
      <c r="E990" t="s">
        <v>1914</v>
      </c>
      <c r="F990">
        <v>2</v>
      </c>
      <c r="G990" s="10">
        <v>274.08999999999997</v>
      </c>
      <c r="H990" s="13">
        <v>0.13</v>
      </c>
      <c r="I990" t="s">
        <v>1933</v>
      </c>
      <c r="J990" s="16">
        <v>476.91660000000002</v>
      </c>
      <c r="K990" s="19">
        <f t="shared" si="75"/>
        <v>1082868.9424000003</v>
      </c>
      <c r="L990" s="22">
        <f t="shared" si="76"/>
        <v>1070.0285992094864</v>
      </c>
      <c r="M990" s="22">
        <f t="shared" si="77"/>
        <v>357</v>
      </c>
      <c r="N990" s="22" t="str">
        <f t="shared" si="78"/>
        <v>Low Value</v>
      </c>
      <c r="O990" s="22" t="str">
        <f t="shared" si="79"/>
        <v>Jul-2024</v>
      </c>
      <c r="P990" s="22" t="s">
        <v>1694</v>
      </c>
      <c r="Q990" s="22" t="s">
        <v>1555</v>
      </c>
      <c r="R990" s="22" t="s">
        <v>27</v>
      </c>
      <c r="S990" s="22"/>
      <c r="T990" s="22"/>
      <c r="V990" s="25" t="s">
        <v>1140</v>
      </c>
      <c r="W990" s="6">
        <v>8</v>
      </c>
    </row>
    <row r="991" spans="1:23">
      <c r="A991" t="s">
        <v>2928</v>
      </c>
      <c r="B991" s="8">
        <v>45694</v>
      </c>
      <c r="C991" t="s">
        <v>1362</v>
      </c>
      <c r="D991" t="s">
        <v>1819</v>
      </c>
      <c r="E991" t="s">
        <v>1896</v>
      </c>
      <c r="F991">
        <v>1</v>
      </c>
      <c r="G991" s="10">
        <v>66.14</v>
      </c>
      <c r="H991" s="13">
        <v>0.14000000000000001</v>
      </c>
      <c r="I991" t="s">
        <v>1936</v>
      </c>
      <c r="J991" s="16">
        <v>56.880400000000002</v>
      </c>
      <c r="K991" s="19">
        <f t="shared" si="75"/>
        <v>1082392.0258000002</v>
      </c>
      <c r="L991" s="22">
        <f t="shared" si="76"/>
        <v>1070.6152579624136</v>
      </c>
      <c r="M991" s="22">
        <f t="shared" si="77"/>
        <v>356</v>
      </c>
      <c r="N991" s="22" t="str">
        <f t="shared" si="78"/>
        <v>Low Value</v>
      </c>
      <c r="O991" s="22" t="str">
        <f t="shared" si="79"/>
        <v>Feb-2025</v>
      </c>
      <c r="P991" s="22" t="s">
        <v>1820</v>
      </c>
      <c r="Q991" s="22" t="s">
        <v>1569</v>
      </c>
      <c r="R991" s="22" t="s">
        <v>1363</v>
      </c>
      <c r="S991" s="22"/>
      <c r="T991" s="22"/>
      <c r="V991" s="26" t="s">
        <v>1936</v>
      </c>
      <c r="W991" s="6">
        <v>4</v>
      </c>
    </row>
    <row r="992" spans="1:23">
      <c r="A992" t="s">
        <v>2929</v>
      </c>
      <c r="B992" s="8">
        <v>45875</v>
      </c>
      <c r="C992" t="s">
        <v>278</v>
      </c>
      <c r="D992" t="s">
        <v>1607</v>
      </c>
      <c r="E992" t="s">
        <v>1893</v>
      </c>
      <c r="F992">
        <v>3</v>
      </c>
      <c r="G992" s="10">
        <v>955.82</v>
      </c>
      <c r="H992" s="13">
        <v>0.16</v>
      </c>
      <c r="I992" t="s">
        <v>1936</v>
      </c>
      <c r="J992" s="16">
        <v>2408.6664000000001</v>
      </c>
      <c r="K992" s="19">
        <f t="shared" si="75"/>
        <v>1082335.1454000003</v>
      </c>
      <c r="L992" s="22">
        <f t="shared" si="76"/>
        <v>1071.6189558415845</v>
      </c>
      <c r="M992" s="22">
        <f t="shared" si="77"/>
        <v>356</v>
      </c>
      <c r="N992" s="22" t="str">
        <f t="shared" si="78"/>
        <v>High Value</v>
      </c>
      <c r="O992" s="22" t="str">
        <f t="shared" si="79"/>
        <v>Aug-2025</v>
      </c>
      <c r="P992" s="22" t="s">
        <v>1608</v>
      </c>
      <c r="Q992" s="22" t="s">
        <v>1569</v>
      </c>
      <c r="R992" s="22" t="s">
        <v>279</v>
      </c>
      <c r="S992" s="22"/>
      <c r="T992" s="22"/>
      <c r="V992" s="26" t="s">
        <v>1933</v>
      </c>
      <c r="W992" s="6">
        <v>4</v>
      </c>
    </row>
    <row r="993" spans="1:23">
      <c r="A993" t="s">
        <v>2930</v>
      </c>
      <c r="B993" s="8">
        <v>45432</v>
      </c>
      <c r="C993" t="s">
        <v>1002</v>
      </c>
      <c r="D993" t="s">
        <v>1614</v>
      </c>
      <c r="E993" t="s">
        <v>1901</v>
      </c>
      <c r="F993">
        <v>1</v>
      </c>
      <c r="G993" s="10">
        <v>904.92</v>
      </c>
      <c r="H993" s="13">
        <v>0.13</v>
      </c>
      <c r="I993" t="s">
        <v>1931</v>
      </c>
      <c r="J993" s="16">
        <v>787.28039999999999</v>
      </c>
      <c r="K993" s="19">
        <f t="shared" si="75"/>
        <v>1079926.4790000003</v>
      </c>
      <c r="L993" s="22">
        <f t="shared" si="76"/>
        <v>1070.293834489594</v>
      </c>
      <c r="M993" s="22">
        <f t="shared" si="77"/>
        <v>356</v>
      </c>
      <c r="N993" s="22" t="str">
        <f t="shared" si="78"/>
        <v>Low Value</v>
      </c>
      <c r="O993" s="22" t="str">
        <f t="shared" si="79"/>
        <v>May-2024</v>
      </c>
      <c r="P993" s="22" t="s">
        <v>1615</v>
      </c>
      <c r="Q993" s="22" t="s">
        <v>1569</v>
      </c>
      <c r="R993" s="22" t="s">
        <v>1003</v>
      </c>
      <c r="S993" s="22"/>
      <c r="T993" s="22"/>
      <c r="V993" s="25" t="s">
        <v>1114</v>
      </c>
      <c r="W993" s="6">
        <v>8</v>
      </c>
    </row>
    <row r="994" spans="1:23">
      <c r="A994" t="s">
        <v>2931</v>
      </c>
      <c r="B994" s="8">
        <v>45575</v>
      </c>
      <c r="C994" t="s">
        <v>8</v>
      </c>
      <c r="D994" t="s">
        <v>1672</v>
      </c>
      <c r="E994" t="s">
        <v>1886</v>
      </c>
      <c r="F994">
        <v>3</v>
      </c>
      <c r="G994" s="10">
        <v>490.02</v>
      </c>
      <c r="H994" s="13">
        <v>0.26</v>
      </c>
      <c r="I994" t="s">
        <v>1931</v>
      </c>
      <c r="J994" s="16">
        <v>1087.8444</v>
      </c>
      <c r="K994" s="19">
        <f t="shared" si="75"/>
        <v>1079139.1986000002</v>
      </c>
      <c r="L994" s="22">
        <f t="shared" si="76"/>
        <v>1070.5746017857145</v>
      </c>
      <c r="M994" s="22">
        <f t="shared" si="77"/>
        <v>356</v>
      </c>
      <c r="N994" s="22" t="str">
        <f t="shared" si="78"/>
        <v>High Value</v>
      </c>
      <c r="O994" s="22" t="str">
        <f t="shared" si="79"/>
        <v>Oct-2024</v>
      </c>
      <c r="P994" s="22" t="s">
        <v>1673</v>
      </c>
      <c r="Q994" s="22" t="s">
        <v>1531</v>
      </c>
      <c r="R994" s="22" t="s">
        <v>3939</v>
      </c>
      <c r="S994" s="22"/>
      <c r="T994" s="22"/>
      <c r="V994" s="26" t="s">
        <v>1936</v>
      </c>
      <c r="W994" s="6">
        <v>5</v>
      </c>
    </row>
    <row r="995" spans="1:23">
      <c r="A995" t="s">
        <v>2932</v>
      </c>
      <c r="B995" s="8">
        <v>45340</v>
      </c>
      <c r="C995" t="s">
        <v>1130</v>
      </c>
      <c r="D995" t="s">
        <v>1603</v>
      </c>
      <c r="E995" t="s">
        <v>1883</v>
      </c>
      <c r="F995">
        <v>2</v>
      </c>
      <c r="G995" s="10">
        <v>957.54</v>
      </c>
      <c r="H995" s="13">
        <v>0.1</v>
      </c>
      <c r="I995" t="s">
        <v>1936</v>
      </c>
      <c r="J995" s="16">
        <v>1723.5719999999999</v>
      </c>
      <c r="K995" s="19">
        <f t="shared" si="75"/>
        <v>1078051.3542000004</v>
      </c>
      <c r="L995" s="22">
        <f t="shared" si="76"/>
        <v>1070.5574520357502</v>
      </c>
      <c r="M995" s="22">
        <f t="shared" si="77"/>
        <v>356</v>
      </c>
      <c r="N995" s="22" t="str">
        <f t="shared" si="78"/>
        <v>High Value</v>
      </c>
      <c r="O995" s="22" t="str">
        <f t="shared" si="79"/>
        <v>Feb-2024</v>
      </c>
      <c r="P995" s="22" t="s">
        <v>1604</v>
      </c>
      <c r="Q995" s="22" t="s">
        <v>1569</v>
      </c>
      <c r="R995" s="22" t="s">
        <v>1131</v>
      </c>
      <c r="S995" s="22"/>
      <c r="T995" s="22"/>
      <c r="V995" s="26" t="s">
        <v>1933</v>
      </c>
      <c r="W995" s="6">
        <v>3</v>
      </c>
    </row>
    <row r="996" spans="1:23">
      <c r="A996" t="s">
        <v>2933</v>
      </c>
      <c r="B996" s="8">
        <v>45926</v>
      </c>
      <c r="C996" t="s">
        <v>1031</v>
      </c>
      <c r="D996" t="s">
        <v>1852</v>
      </c>
      <c r="E996" t="s">
        <v>1904</v>
      </c>
      <c r="F996">
        <v>2</v>
      </c>
      <c r="G996" s="10">
        <v>314.39999999999998</v>
      </c>
      <c r="H996" s="13">
        <v>7.0000000000000007E-2</v>
      </c>
      <c r="I996" t="s">
        <v>1933</v>
      </c>
      <c r="J996" s="16">
        <v>584.78399999999988</v>
      </c>
      <c r="K996" s="19">
        <f t="shared" si="75"/>
        <v>1076327.7822000002</v>
      </c>
      <c r="L996" s="22">
        <f t="shared" si="76"/>
        <v>1069.9083322067597</v>
      </c>
      <c r="M996" s="22">
        <f t="shared" si="77"/>
        <v>356</v>
      </c>
      <c r="N996" s="22" t="str">
        <f t="shared" si="78"/>
        <v>Low Value</v>
      </c>
      <c r="O996" s="22" t="str">
        <f t="shared" si="79"/>
        <v>Sep-2025</v>
      </c>
      <c r="P996" s="22" t="s">
        <v>1853</v>
      </c>
      <c r="Q996" s="22" t="s">
        <v>1560</v>
      </c>
      <c r="R996" s="22" t="s">
        <v>1032</v>
      </c>
      <c r="S996" s="22"/>
      <c r="T996" s="22"/>
      <c r="V996" s="25" t="s">
        <v>1440</v>
      </c>
      <c r="W996" s="6">
        <v>25</v>
      </c>
    </row>
    <row r="997" spans="1:23">
      <c r="A997" t="s">
        <v>2934</v>
      </c>
      <c r="B997" s="8">
        <v>45373</v>
      </c>
      <c r="C997" t="s">
        <v>1223</v>
      </c>
      <c r="D997" t="s">
        <v>1620</v>
      </c>
      <c r="E997" t="s">
        <v>1883</v>
      </c>
      <c r="F997">
        <v>3</v>
      </c>
      <c r="G997" s="10">
        <v>480.11</v>
      </c>
      <c r="H997" s="13">
        <v>0.11</v>
      </c>
      <c r="I997" t="s">
        <v>1933</v>
      </c>
      <c r="J997" s="16">
        <v>1281.8937000000001</v>
      </c>
      <c r="K997" s="19">
        <f t="shared" si="75"/>
        <v>1075742.9982000005</v>
      </c>
      <c r="L997" s="22">
        <f t="shared" si="76"/>
        <v>1070.391042985075</v>
      </c>
      <c r="M997" s="22">
        <f t="shared" si="77"/>
        <v>355</v>
      </c>
      <c r="N997" s="22" t="str">
        <f t="shared" si="78"/>
        <v>High Value</v>
      </c>
      <c r="O997" s="22" t="str">
        <f t="shared" si="79"/>
        <v>Mar-2024</v>
      </c>
      <c r="P997" s="22" t="s">
        <v>1621</v>
      </c>
      <c r="Q997" s="22" t="s">
        <v>1569</v>
      </c>
      <c r="R997" s="22" t="s">
        <v>1224</v>
      </c>
      <c r="S997" s="22"/>
      <c r="T997" s="22"/>
      <c r="V997" s="26" t="s">
        <v>1936</v>
      </c>
      <c r="W997" s="6">
        <v>6</v>
      </c>
    </row>
    <row r="998" spans="1:23">
      <c r="A998" t="s">
        <v>2935</v>
      </c>
      <c r="B998" s="8">
        <v>45579</v>
      </c>
      <c r="C998" t="s">
        <v>1205</v>
      </c>
      <c r="D998" t="s">
        <v>1697</v>
      </c>
      <c r="E998" t="s">
        <v>1883</v>
      </c>
      <c r="F998">
        <v>4</v>
      </c>
      <c r="G998" s="10">
        <v>826.55</v>
      </c>
      <c r="H998" s="13">
        <v>0.28000000000000003</v>
      </c>
      <c r="I998" t="s">
        <v>1931</v>
      </c>
      <c r="J998" s="16">
        <v>2380.4639999999999</v>
      </c>
      <c r="K998" s="19">
        <f t="shared" si="75"/>
        <v>1074461.1045000004</v>
      </c>
      <c r="L998" s="22">
        <f t="shared" si="76"/>
        <v>1070.1803829681278</v>
      </c>
      <c r="M998" s="22">
        <f t="shared" si="77"/>
        <v>354</v>
      </c>
      <c r="N998" s="22" t="str">
        <f t="shared" si="78"/>
        <v>High Value</v>
      </c>
      <c r="O998" s="22" t="str">
        <f t="shared" si="79"/>
        <v>Oct-2024</v>
      </c>
      <c r="P998" s="22" t="s">
        <v>1698</v>
      </c>
      <c r="Q998" s="22" t="s">
        <v>1531</v>
      </c>
      <c r="R998" s="22" t="s">
        <v>1206</v>
      </c>
      <c r="S998" s="22"/>
      <c r="T998" s="22"/>
      <c r="V998" s="26" t="s">
        <v>1931</v>
      </c>
      <c r="W998" s="6">
        <v>3</v>
      </c>
    </row>
    <row r="999" spans="1:23">
      <c r="A999" t="s">
        <v>2936</v>
      </c>
      <c r="B999" s="8">
        <v>45805</v>
      </c>
      <c r="C999" t="s">
        <v>623</v>
      </c>
      <c r="D999" t="s">
        <v>1630</v>
      </c>
      <c r="E999" t="s">
        <v>1873</v>
      </c>
      <c r="F999">
        <v>3</v>
      </c>
      <c r="G999" s="10">
        <v>530.16999999999996</v>
      </c>
      <c r="H999" s="13">
        <v>0.18</v>
      </c>
      <c r="I999" t="s">
        <v>1933</v>
      </c>
      <c r="J999" s="16">
        <v>1304.2182</v>
      </c>
      <c r="K999" s="19">
        <f t="shared" si="75"/>
        <v>1072080.6405000004</v>
      </c>
      <c r="L999" s="22">
        <f t="shared" si="76"/>
        <v>1068.8740184446665</v>
      </c>
      <c r="M999" s="22">
        <f t="shared" si="77"/>
        <v>354</v>
      </c>
      <c r="N999" s="22" t="str">
        <f t="shared" si="78"/>
        <v>High Value</v>
      </c>
      <c r="O999" s="22" t="str">
        <f t="shared" si="79"/>
        <v>May-2025</v>
      </c>
      <c r="P999" s="22" t="s">
        <v>1631</v>
      </c>
      <c r="Q999" s="22" t="s">
        <v>1560</v>
      </c>
      <c r="R999" s="22" t="s">
        <v>624</v>
      </c>
      <c r="S999" s="22"/>
      <c r="T999" s="22"/>
      <c r="V999" s="26" t="s">
        <v>1933</v>
      </c>
      <c r="W999" s="6">
        <v>16</v>
      </c>
    </row>
    <row r="1000" spans="1:23">
      <c r="A1000" t="s">
        <v>2937</v>
      </c>
      <c r="B1000" s="8">
        <v>45522</v>
      </c>
      <c r="C1000" t="s">
        <v>1259</v>
      </c>
      <c r="D1000" t="s">
        <v>1652</v>
      </c>
      <c r="E1000" t="s">
        <v>1914</v>
      </c>
      <c r="F1000">
        <v>3</v>
      </c>
      <c r="G1000" s="10">
        <v>336.17</v>
      </c>
      <c r="H1000" s="13">
        <v>0.04</v>
      </c>
      <c r="I1000" t="s">
        <v>1936</v>
      </c>
      <c r="J1000" s="16">
        <v>968.16959999999995</v>
      </c>
      <c r="K1000" s="19">
        <f t="shared" si="75"/>
        <v>1070776.4223000004</v>
      </c>
      <c r="L1000" s="22">
        <f t="shared" si="76"/>
        <v>1068.6391440119764</v>
      </c>
      <c r="M1000" s="22">
        <f t="shared" si="77"/>
        <v>353</v>
      </c>
      <c r="N1000" s="22" t="str">
        <f t="shared" si="78"/>
        <v>Low Value</v>
      </c>
      <c r="O1000" s="22" t="str">
        <f t="shared" si="79"/>
        <v>Aug-2024</v>
      </c>
      <c r="P1000" s="22" t="s">
        <v>1653</v>
      </c>
      <c r="Q1000" s="22" t="s">
        <v>1531</v>
      </c>
      <c r="R1000" s="22" t="s">
        <v>1260</v>
      </c>
      <c r="S1000" s="22"/>
      <c r="T1000" s="22"/>
      <c r="V1000" s="25" t="s">
        <v>575</v>
      </c>
      <c r="W1000" s="6">
        <v>2</v>
      </c>
    </row>
    <row r="1001" spans="1:23">
      <c r="A1001" t="s">
        <v>2938</v>
      </c>
      <c r="B1001" s="8">
        <v>45304</v>
      </c>
      <c r="C1001" t="s">
        <v>1299</v>
      </c>
      <c r="D1001" t="s">
        <v>1798</v>
      </c>
      <c r="E1001" t="s">
        <v>1889</v>
      </c>
      <c r="F1001">
        <v>4</v>
      </c>
      <c r="G1001" s="10">
        <v>22.51</v>
      </c>
      <c r="H1001" s="13">
        <v>0.27</v>
      </c>
      <c r="I1001" t="s">
        <v>1933</v>
      </c>
      <c r="J1001" s="16">
        <v>65.729200000000006</v>
      </c>
      <c r="K1001" s="19">
        <f t="shared" si="75"/>
        <v>1069808.2527000008</v>
      </c>
      <c r="L1001" s="22">
        <f t="shared" si="76"/>
        <v>1068.7395131868141</v>
      </c>
      <c r="M1001" s="22">
        <f t="shared" si="77"/>
        <v>353</v>
      </c>
      <c r="N1001" s="22" t="str">
        <f t="shared" si="78"/>
        <v>Low Value</v>
      </c>
      <c r="O1001" s="22" t="str">
        <f t="shared" si="79"/>
        <v>Jan-2024</v>
      </c>
      <c r="P1001" s="22" t="s">
        <v>1799</v>
      </c>
      <c r="Q1001" s="22" t="s">
        <v>1569</v>
      </c>
      <c r="R1001" s="22" t="s">
        <v>1300</v>
      </c>
      <c r="S1001" s="22"/>
      <c r="T1001" s="22"/>
      <c r="V1001" s="26" t="s">
        <v>1931</v>
      </c>
      <c r="W1001" s="6">
        <v>2</v>
      </c>
    </row>
    <row r="1002" spans="1:23">
      <c r="A1002" t="s">
        <v>2939</v>
      </c>
      <c r="B1002" s="8">
        <v>45456</v>
      </c>
      <c r="C1002" t="s">
        <v>623</v>
      </c>
      <c r="D1002" t="s">
        <v>1731</v>
      </c>
      <c r="E1002" t="s">
        <v>1868</v>
      </c>
      <c r="F1002">
        <v>2</v>
      </c>
      <c r="G1002" s="10">
        <v>909.51</v>
      </c>
      <c r="H1002" s="13">
        <v>0.27</v>
      </c>
      <c r="I1002" t="s">
        <v>1931</v>
      </c>
      <c r="J1002" s="16">
        <v>1327.8846000000001</v>
      </c>
      <c r="K1002" s="19">
        <f t="shared" si="75"/>
        <v>1069742.5235000006</v>
      </c>
      <c r="L1002" s="22">
        <f t="shared" si="76"/>
        <v>1069.7425235000005</v>
      </c>
      <c r="M1002" s="22">
        <f t="shared" si="77"/>
        <v>352</v>
      </c>
      <c r="N1002" s="22" t="str">
        <f t="shared" si="78"/>
        <v>High Value</v>
      </c>
      <c r="O1002" s="22" t="str">
        <f t="shared" si="79"/>
        <v>Jun-2024</v>
      </c>
      <c r="P1002" s="22" t="s">
        <v>1732</v>
      </c>
      <c r="Q1002" s="22" t="s">
        <v>1555</v>
      </c>
      <c r="R1002" s="22" t="s">
        <v>624</v>
      </c>
      <c r="S1002" s="22"/>
      <c r="T1002" s="22"/>
      <c r="V1002" s="25" t="s">
        <v>769</v>
      </c>
      <c r="W1002" s="6">
        <v>13</v>
      </c>
    </row>
    <row r="1003" spans="1:23">
      <c r="A1003" t="s">
        <v>2940</v>
      </c>
      <c r="B1003" s="8">
        <v>45776</v>
      </c>
      <c r="C1003" t="s">
        <v>195</v>
      </c>
      <c r="D1003" t="s">
        <v>1762</v>
      </c>
      <c r="E1003" t="s">
        <v>1906</v>
      </c>
      <c r="F1003">
        <v>4</v>
      </c>
      <c r="G1003" s="10">
        <v>593.84</v>
      </c>
      <c r="H1003" s="13">
        <v>0.24</v>
      </c>
      <c r="I1003" t="s">
        <v>1933</v>
      </c>
      <c r="J1003" s="16">
        <v>1805.2736</v>
      </c>
      <c r="K1003" s="19">
        <f t="shared" si="75"/>
        <v>1068414.6389000006</v>
      </c>
      <c r="L1003" s="22">
        <f t="shared" si="76"/>
        <v>1069.4841230230236</v>
      </c>
      <c r="M1003" s="22">
        <f t="shared" si="77"/>
        <v>352</v>
      </c>
      <c r="N1003" s="22" t="str">
        <f t="shared" si="78"/>
        <v>High Value</v>
      </c>
      <c r="O1003" s="22" t="str">
        <f t="shared" si="79"/>
        <v>Apr-2025</v>
      </c>
      <c r="P1003" s="22" t="s">
        <v>1763</v>
      </c>
      <c r="Q1003" s="22" t="s">
        <v>1536</v>
      </c>
      <c r="R1003" s="22" t="s">
        <v>196</v>
      </c>
      <c r="S1003" s="22"/>
      <c r="T1003" s="22"/>
      <c r="V1003" s="26" t="s">
        <v>1936</v>
      </c>
      <c r="W1003" s="6">
        <v>9</v>
      </c>
    </row>
    <row r="1004" spans="1:23">
      <c r="A1004" t="s">
        <v>2941</v>
      </c>
      <c r="B1004" s="8">
        <v>45566</v>
      </c>
      <c r="C1004" t="s">
        <v>379</v>
      </c>
      <c r="D1004" t="s">
        <v>1774</v>
      </c>
      <c r="E1004" t="s">
        <v>1896</v>
      </c>
      <c r="F1004">
        <v>3</v>
      </c>
      <c r="G1004" s="10">
        <v>909.11</v>
      </c>
      <c r="H1004" s="13">
        <v>0.23</v>
      </c>
      <c r="I1004" t="s">
        <v>1936</v>
      </c>
      <c r="J1004" s="16">
        <v>2100.0441000000001</v>
      </c>
      <c r="K1004" s="19">
        <f t="shared" si="75"/>
        <v>1066609.3653000006</v>
      </c>
      <c r="L1004" s="22">
        <f t="shared" si="76"/>
        <v>1068.7468590180367</v>
      </c>
      <c r="M1004" s="22">
        <f t="shared" si="77"/>
        <v>351</v>
      </c>
      <c r="N1004" s="22" t="str">
        <f t="shared" si="78"/>
        <v>High Value</v>
      </c>
      <c r="O1004" s="22" t="str">
        <f t="shared" si="79"/>
        <v>Oct-2024</v>
      </c>
      <c r="P1004" s="22" t="s">
        <v>1775</v>
      </c>
      <c r="Q1004" s="22" t="s">
        <v>1569</v>
      </c>
      <c r="R1004" s="22" t="s">
        <v>380</v>
      </c>
      <c r="S1004" s="22"/>
      <c r="T1004" s="22"/>
      <c r="V1004" s="26" t="s">
        <v>1931</v>
      </c>
      <c r="W1004" s="6">
        <v>3</v>
      </c>
    </row>
    <row r="1005" spans="1:23">
      <c r="A1005" t="s">
        <v>2942</v>
      </c>
      <c r="B1005" s="8">
        <v>45542</v>
      </c>
      <c r="C1005" t="s">
        <v>1236</v>
      </c>
      <c r="D1005" t="s">
        <v>1620</v>
      </c>
      <c r="E1005" t="s">
        <v>1864</v>
      </c>
      <c r="F1005">
        <v>4</v>
      </c>
      <c r="G1005" s="10">
        <v>996.85</v>
      </c>
      <c r="H1005" s="13">
        <v>0.24</v>
      </c>
      <c r="I1005" t="s">
        <v>1933</v>
      </c>
      <c r="J1005" s="16">
        <v>3030.424</v>
      </c>
      <c r="K1005" s="19">
        <f t="shared" si="75"/>
        <v>1064509.3212000008</v>
      </c>
      <c r="L1005" s="22">
        <f t="shared" si="76"/>
        <v>1067.7124585757281</v>
      </c>
      <c r="M1005" s="22">
        <f t="shared" si="77"/>
        <v>351</v>
      </c>
      <c r="N1005" s="22" t="str">
        <f t="shared" si="78"/>
        <v>High Value</v>
      </c>
      <c r="O1005" s="22" t="str">
        <f t="shared" si="79"/>
        <v>Sep-2024</v>
      </c>
      <c r="P1005" s="22" t="s">
        <v>1621</v>
      </c>
      <c r="Q1005" s="22" t="s">
        <v>1569</v>
      </c>
      <c r="R1005" s="22" t="s">
        <v>1237</v>
      </c>
      <c r="S1005" s="22"/>
      <c r="T1005" s="22"/>
      <c r="V1005" s="26" t="s">
        <v>1933</v>
      </c>
      <c r="W1005" s="6">
        <v>1</v>
      </c>
    </row>
    <row r="1006" spans="1:23">
      <c r="A1006" t="s">
        <v>2943</v>
      </c>
      <c r="B1006" s="8">
        <v>45834</v>
      </c>
      <c r="C1006" t="s">
        <v>946</v>
      </c>
      <c r="D1006" t="s">
        <v>1529</v>
      </c>
      <c r="E1006" t="s">
        <v>1914</v>
      </c>
      <c r="F1006">
        <v>1</v>
      </c>
      <c r="G1006" s="10">
        <v>522.69000000000005</v>
      </c>
      <c r="H1006" s="13">
        <v>0.06</v>
      </c>
      <c r="I1006" t="s">
        <v>1936</v>
      </c>
      <c r="J1006" s="16">
        <v>491.32860000000011</v>
      </c>
      <c r="K1006" s="19">
        <f t="shared" si="75"/>
        <v>1061478.8972000007</v>
      </c>
      <c r="L1006" s="22">
        <f t="shared" si="76"/>
        <v>1065.7418646586352</v>
      </c>
      <c r="M1006" s="22">
        <f t="shared" si="77"/>
        <v>350</v>
      </c>
      <c r="N1006" s="22" t="str">
        <f t="shared" si="78"/>
        <v>Low Value</v>
      </c>
      <c r="O1006" s="22" t="str">
        <f t="shared" si="79"/>
        <v>Jun-2025</v>
      </c>
      <c r="P1006" s="22" t="s">
        <v>1530</v>
      </c>
      <c r="Q1006" s="22" t="s">
        <v>1531</v>
      </c>
      <c r="R1006" s="22" t="s">
        <v>947</v>
      </c>
      <c r="S1006" s="22"/>
      <c r="T1006" s="22"/>
      <c r="V1006" s="25" t="s">
        <v>1038</v>
      </c>
      <c r="W1006" s="6">
        <v>3</v>
      </c>
    </row>
    <row r="1007" spans="1:23">
      <c r="A1007" t="s">
        <v>2944</v>
      </c>
      <c r="B1007" s="8">
        <v>45405</v>
      </c>
      <c r="C1007" t="s">
        <v>635</v>
      </c>
      <c r="D1007" t="s">
        <v>1716</v>
      </c>
      <c r="E1007" t="s">
        <v>1873</v>
      </c>
      <c r="F1007">
        <v>3</v>
      </c>
      <c r="G1007" s="10">
        <v>261.05</v>
      </c>
      <c r="H1007" s="13">
        <v>0.12</v>
      </c>
      <c r="I1007" t="s">
        <v>1933</v>
      </c>
      <c r="J1007" s="16">
        <v>689.17200000000014</v>
      </c>
      <c r="K1007" s="19">
        <f t="shared" si="75"/>
        <v>1060987.5686000006</v>
      </c>
      <c r="L1007" s="22">
        <f t="shared" si="76"/>
        <v>1066.319164422111</v>
      </c>
      <c r="M1007" s="22">
        <f t="shared" si="77"/>
        <v>350</v>
      </c>
      <c r="N1007" s="22" t="str">
        <f t="shared" si="78"/>
        <v>Low Value</v>
      </c>
      <c r="O1007" s="22" t="str">
        <f t="shared" si="79"/>
        <v>Apr-2024</v>
      </c>
      <c r="P1007" s="22" t="s">
        <v>1717</v>
      </c>
      <c r="Q1007" s="22" t="s">
        <v>1569</v>
      </c>
      <c r="R1007" s="22" t="s">
        <v>636</v>
      </c>
      <c r="S1007" s="22"/>
      <c r="T1007" s="22"/>
      <c r="V1007" s="26" t="s">
        <v>1933</v>
      </c>
      <c r="W1007" s="6">
        <v>3</v>
      </c>
    </row>
    <row r="1008" spans="1:23">
      <c r="A1008" t="s">
        <v>2945</v>
      </c>
      <c r="B1008" s="8">
        <v>45918</v>
      </c>
      <c r="C1008" t="s">
        <v>310</v>
      </c>
      <c r="D1008" t="s">
        <v>1617</v>
      </c>
      <c r="E1008" t="s">
        <v>1914</v>
      </c>
      <c r="F1008">
        <v>3</v>
      </c>
      <c r="G1008" s="10">
        <v>644.73</v>
      </c>
      <c r="H1008" s="13">
        <v>0.01</v>
      </c>
      <c r="I1008" t="s">
        <v>1936</v>
      </c>
      <c r="J1008" s="16">
        <v>1914.8480999999999</v>
      </c>
      <c r="K1008" s="19">
        <f t="shared" si="75"/>
        <v>1060298.3966000006</v>
      </c>
      <c r="L1008" s="22">
        <f t="shared" si="76"/>
        <v>1066.6985881287733</v>
      </c>
      <c r="M1008" s="22">
        <f t="shared" si="77"/>
        <v>349</v>
      </c>
      <c r="N1008" s="22" t="str">
        <f t="shared" si="78"/>
        <v>High Value</v>
      </c>
      <c r="O1008" s="22" t="str">
        <f t="shared" si="79"/>
        <v>Sep-2025</v>
      </c>
      <c r="P1008" s="22" t="s">
        <v>1618</v>
      </c>
      <c r="Q1008" s="22" t="s">
        <v>1536</v>
      </c>
      <c r="R1008" s="22" t="s">
        <v>3947</v>
      </c>
      <c r="S1008" s="22"/>
      <c r="T1008" s="22"/>
      <c r="V1008" s="25" t="s">
        <v>480</v>
      </c>
      <c r="W1008" s="6">
        <v>13</v>
      </c>
    </row>
    <row r="1009" spans="1:23">
      <c r="A1009" t="s">
        <v>2946</v>
      </c>
      <c r="B1009" s="8">
        <v>45217</v>
      </c>
      <c r="C1009" t="s">
        <v>646</v>
      </c>
      <c r="D1009" t="s">
        <v>1780</v>
      </c>
      <c r="E1009" t="s">
        <v>1868</v>
      </c>
      <c r="F1009">
        <v>2</v>
      </c>
      <c r="G1009" s="10">
        <v>541.52</v>
      </c>
      <c r="H1009" s="13">
        <v>0.26</v>
      </c>
      <c r="I1009" t="s">
        <v>1933</v>
      </c>
      <c r="J1009" s="16">
        <v>801.44959999999992</v>
      </c>
      <c r="K1009" s="19">
        <f t="shared" si="75"/>
        <v>1058383.5485000005</v>
      </c>
      <c r="L1009" s="22">
        <f t="shared" si="76"/>
        <v>1065.8444597180267</v>
      </c>
      <c r="M1009" s="22">
        <f t="shared" si="77"/>
        <v>349</v>
      </c>
      <c r="N1009" s="22" t="str">
        <f t="shared" si="78"/>
        <v>Low Value</v>
      </c>
      <c r="O1009" s="22" t="str">
        <f t="shared" si="79"/>
        <v>Oct-2023</v>
      </c>
      <c r="P1009" s="22" t="s">
        <v>1781</v>
      </c>
      <c r="Q1009" s="22" t="s">
        <v>1536</v>
      </c>
      <c r="R1009" s="22" t="s">
        <v>647</v>
      </c>
      <c r="S1009" s="22"/>
      <c r="T1009" s="22"/>
      <c r="V1009" s="26" t="s">
        <v>1931</v>
      </c>
      <c r="W1009" s="6">
        <v>10</v>
      </c>
    </row>
    <row r="1010" spans="1:23">
      <c r="A1010" t="s">
        <v>2947</v>
      </c>
      <c r="B1010" s="8">
        <v>45259</v>
      </c>
      <c r="C1010" t="s">
        <v>1313</v>
      </c>
      <c r="D1010" t="s">
        <v>1743</v>
      </c>
      <c r="E1010" t="s">
        <v>1896</v>
      </c>
      <c r="F1010">
        <v>1</v>
      </c>
      <c r="G1010" s="10">
        <v>395.18</v>
      </c>
      <c r="H1010" s="13">
        <v>0.09</v>
      </c>
      <c r="I1010" t="s">
        <v>1933</v>
      </c>
      <c r="J1010" s="16">
        <v>359.61380000000003</v>
      </c>
      <c r="K1010" s="19">
        <f t="shared" si="75"/>
        <v>1057582.0989000003</v>
      </c>
      <c r="L1010" s="22">
        <f t="shared" si="76"/>
        <v>1066.1109867943551</v>
      </c>
      <c r="M1010" s="22">
        <f t="shared" si="77"/>
        <v>348</v>
      </c>
      <c r="N1010" s="22" t="str">
        <f t="shared" si="78"/>
        <v>Low Value</v>
      </c>
      <c r="O1010" s="22" t="str">
        <f t="shared" si="79"/>
        <v>Nov-2023</v>
      </c>
      <c r="P1010" s="22" t="s">
        <v>1744</v>
      </c>
      <c r="Q1010" s="22" t="s">
        <v>1555</v>
      </c>
      <c r="R1010" s="22" t="s">
        <v>1314</v>
      </c>
      <c r="S1010" s="22"/>
      <c r="T1010" s="22"/>
      <c r="V1010" s="26" t="s">
        <v>1933</v>
      </c>
      <c r="W1010" s="6">
        <v>3</v>
      </c>
    </row>
    <row r="1011" spans="1:23">
      <c r="A1011" t="s">
        <v>2948</v>
      </c>
      <c r="B1011" s="8">
        <v>45740</v>
      </c>
      <c r="C1011" t="s">
        <v>351</v>
      </c>
      <c r="D1011" t="s">
        <v>1563</v>
      </c>
      <c r="E1011" t="s">
        <v>1889</v>
      </c>
      <c r="F1011">
        <v>4</v>
      </c>
      <c r="G1011" s="10">
        <v>56.37</v>
      </c>
      <c r="H1011" s="13">
        <v>0.17</v>
      </c>
      <c r="I1011" t="s">
        <v>1931</v>
      </c>
      <c r="J1011" s="16">
        <v>187.14840000000001</v>
      </c>
      <c r="K1011" s="19">
        <f t="shared" si="75"/>
        <v>1057222.4851000002</v>
      </c>
      <c r="L1011" s="22">
        <f t="shared" si="76"/>
        <v>1066.8239002018165</v>
      </c>
      <c r="M1011" s="22">
        <f t="shared" si="77"/>
        <v>347</v>
      </c>
      <c r="N1011" s="22" t="str">
        <f t="shared" si="78"/>
        <v>Low Value</v>
      </c>
      <c r="O1011" s="22" t="str">
        <f t="shared" si="79"/>
        <v>Mar-2025</v>
      </c>
      <c r="P1011" s="22" t="s">
        <v>1564</v>
      </c>
      <c r="Q1011" s="22" t="s">
        <v>1531</v>
      </c>
      <c r="R1011" s="22" t="s">
        <v>352</v>
      </c>
      <c r="S1011" s="22"/>
      <c r="T1011" s="22"/>
      <c r="V1011" s="25" t="s">
        <v>522</v>
      </c>
      <c r="W1011" s="6">
        <v>19</v>
      </c>
    </row>
    <row r="1012" spans="1:23">
      <c r="A1012" t="s">
        <v>2949</v>
      </c>
      <c r="B1012" s="8">
        <v>45908</v>
      </c>
      <c r="C1012" t="s">
        <v>679</v>
      </c>
      <c r="D1012" t="s">
        <v>1792</v>
      </c>
      <c r="E1012" t="s">
        <v>1893</v>
      </c>
      <c r="F1012">
        <v>4</v>
      </c>
      <c r="G1012" s="10">
        <v>202.59</v>
      </c>
      <c r="H1012" s="13">
        <v>0.06</v>
      </c>
      <c r="I1012" t="s">
        <v>1936</v>
      </c>
      <c r="J1012" s="16">
        <v>761.73839999999996</v>
      </c>
      <c r="K1012" s="19">
        <f t="shared" si="75"/>
        <v>1057035.3367000003</v>
      </c>
      <c r="L1012" s="22">
        <f t="shared" si="76"/>
        <v>1067.7124613131316</v>
      </c>
      <c r="M1012" s="22">
        <f t="shared" si="77"/>
        <v>347</v>
      </c>
      <c r="N1012" s="22" t="str">
        <f t="shared" si="78"/>
        <v>Low Value</v>
      </c>
      <c r="O1012" s="22" t="str">
        <f t="shared" si="79"/>
        <v>Sep-2025</v>
      </c>
      <c r="P1012" s="22" t="s">
        <v>1793</v>
      </c>
      <c r="Q1012" s="22" t="s">
        <v>1560</v>
      </c>
      <c r="R1012" s="22" t="s">
        <v>680</v>
      </c>
      <c r="S1012" s="22"/>
      <c r="T1012" s="22"/>
      <c r="V1012" s="26" t="s">
        <v>1936</v>
      </c>
      <c r="W1012" s="6">
        <v>4</v>
      </c>
    </row>
    <row r="1013" spans="1:23">
      <c r="A1013" t="s">
        <v>2950</v>
      </c>
      <c r="B1013" s="8">
        <v>45601</v>
      </c>
      <c r="C1013" t="s">
        <v>26</v>
      </c>
      <c r="D1013" t="s">
        <v>1798</v>
      </c>
      <c r="E1013" t="s">
        <v>1880</v>
      </c>
      <c r="F1013">
        <v>2</v>
      </c>
      <c r="G1013" s="10">
        <v>358.36</v>
      </c>
      <c r="H1013" s="13">
        <v>0.05</v>
      </c>
      <c r="I1013" t="s">
        <v>1933</v>
      </c>
      <c r="J1013" s="16">
        <v>680.88400000000001</v>
      </c>
      <c r="K1013" s="19">
        <f t="shared" si="75"/>
        <v>1056273.5983000004</v>
      </c>
      <c r="L1013" s="22">
        <f t="shared" si="76"/>
        <v>1068.0218385237617</v>
      </c>
      <c r="M1013" s="22">
        <f t="shared" si="77"/>
        <v>347</v>
      </c>
      <c r="N1013" s="22" t="str">
        <f t="shared" si="78"/>
        <v>Low Value</v>
      </c>
      <c r="O1013" s="22" t="str">
        <f t="shared" si="79"/>
        <v>Nov-2024</v>
      </c>
      <c r="P1013" s="22" t="s">
        <v>1799</v>
      </c>
      <c r="Q1013" s="22" t="s">
        <v>1569</v>
      </c>
      <c r="R1013" s="22" t="s">
        <v>27</v>
      </c>
      <c r="S1013" s="22"/>
      <c r="T1013" s="22"/>
      <c r="V1013" s="26" t="s">
        <v>1931</v>
      </c>
      <c r="W1013" s="6">
        <v>10</v>
      </c>
    </row>
    <row r="1014" spans="1:23">
      <c r="A1014" t="s">
        <v>2951</v>
      </c>
      <c r="B1014" s="8">
        <v>45535</v>
      </c>
      <c r="C1014" t="s">
        <v>261</v>
      </c>
      <c r="D1014" t="s">
        <v>1661</v>
      </c>
      <c r="E1014" t="s">
        <v>1917</v>
      </c>
      <c r="F1014">
        <v>4</v>
      </c>
      <c r="G1014" s="10">
        <v>85.62</v>
      </c>
      <c r="H1014" s="13">
        <v>0.28000000000000003</v>
      </c>
      <c r="I1014" t="s">
        <v>1936</v>
      </c>
      <c r="J1014" s="16">
        <v>246.5856</v>
      </c>
      <c r="K1014" s="19">
        <f t="shared" si="75"/>
        <v>1055592.7143000003</v>
      </c>
      <c r="L1014" s="22">
        <f t="shared" si="76"/>
        <v>1068.4136784412958</v>
      </c>
      <c r="M1014" s="22">
        <f t="shared" si="77"/>
        <v>346</v>
      </c>
      <c r="N1014" s="22" t="str">
        <f t="shared" si="78"/>
        <v>Low Value</v>
      </c>
      <c r="O1014" s="22" t="str">
        <f t="shared" si="79"/>
        <v>Aug-2024</v>
      </c>
      <c r="P1014" s="22" t="s">
        <v>1662</v>
      </c>
      <c r="Q1014" s="22" t="s">
        <v>1536</v>
      </c>
      <c r="R1014" s="22" t="s">
        <v>262</v>
      </c>
      <c r="S1014" s="22"/>
      <c r="T1014" s="22"/>
      <c r="V1014" s="26" t="s">
        <v>1933</v>
      </c>
      <c r="W1014" s="6">
        <v>5</v>
      </c>
    </row>
    <row r="1015" spans="1:23">
      <c r="A1015" t="s">
        <v>2952</v>
      </c>
      <c r="B1015" s="8">
        <v>45459</v>
      </c>
      <c r="C1015" t="s">
        <v>608</v>
      </c>
      <c r="D1015" t="s">
        <v>1558</v>
      </c>
      <c r="E1015" t="s">
        <v>1914</v>
      </c>
      <c r="F1015">
        <v>4</v>
      </c>
      <c r="G1015" s="10">
        <v>929.26</v>
      </c>
      <c r="H1015" s="13">
        <v>0.23</v>
      </c>
      <c r="I1015" t="s">
        <v>1933</v>
      </c>
      <c r="J1015" s="16">
        <v>2862.1208000000001</v>
      </c>
      <c r="K1015" s="19">
        <f t="shared" si="75"/>
        <v>1055346.1287000002</v>
      </c>
      <c r="L1015" s="22">
        <f t="shared" si="76"/>
        <v>1069.2463310030398</v>
      </c>
      <c r="M1015" s="22">
        <f t="shared" si="77"/>
        <v>346</v>
      </c>
      <c r="N1015" s="22" t="str">
        <f t="shared" si="78"/>
        <v>High Value</v>
      </c>
      <c r="O1015" s="22" t="str">
        <f t="shared" si="79"/>
        <v>Jun-2024</v>
      </c>
      <c r="P1015" s="22" t="s">
        <v>1559</v>
      </c>
      <c r="Q1015" s="22" t="s">
        <v>1560</v>
      </c>
      <c r="R1015" s="22" t="s">
        <v>609</v>
      </c>
      <c r="S1015" s="22"/>
      <c r="T1015" s="22"/>
      <c r="V1015" s="25" t="s">
        <v>540</v>
      </c>
      <c r="W1015" s="6">
        <v>6</v>
      </c>
    </row>
    <row r="1016" spans="1:23">
      <c r="A1016" t="s">
        <v>2953</v>
      </c>
      <c r="B1016" s="8">
        <v>45681</v>
      </c>
      <c r="C1016" t="s">
        <v>972</v>
      </c>
      <c r="D1016" t="s">
        <v>1734</v>
      </c>
      <c r="E1016" t="s">
        <v>1904</v>
      </c>
      <c r="F1016">
        <v>2</v>
      </c>
      <c r="G1016" s="10">
        <v>92.64</v>
      </c>
      <c r="H1016" s="13">
        <v>0.14000000000000001</v>
      </c>
      <c r="I1016" t="s">
        <v>1936</v>
      </c>
      <c r="J1016" s="16">
        <v>159.3408</v>
      </c>
      <c r="K1016" s="19">
        <f t="shared" si="75"/>
        <v>1052484.0079000003</v>
      </c>
      <c r="L1016" s="22">
        <f t="shared" si="76"/>
        <v>1067.4279998985805</v>
      </c>
      <c r="M1016" s="22">
        <f t="shared" si="77"/>
        <v>345</v>
      </c>
      <c r="N1016" s="22" t="str">
        <f t="shared" si="78"/>
        <v>Low Value</v>
      </c>
      <c r="O1016" s="22" t="str">
        <f t="shared" si="79"/>
        <v>Jan-2025</v>
      </c>
      <c r="P1016" s="22" t="s">
        <v>1735</v>
      </c>
      <c r="Q1016" s="22" t="s">
        <v>1555</v>
      </c>
      <c r="R1016" s="22" t="s">
        <v>973</v>
      </c>
      <c r="S1016" s="22"/>
      <c r="T1016" s="22"/>
      <c r="V1016" s="26" t="s">
        <v>1931</v>
      </c>
      <c r="W1016" s="6">
        <v>3</v>
      </c>
    </row>
    <row r="1017" spans="1:23">
      <c r="A1017" t="s">
        <v>2954</v>
      </c>
      <c r="B1017" s="8">
        <v>45725</v>
      </c>
      <c r="C1017" t="s">
        <v>795</v>
      </c>
      <c r="D1017" t="s">
        <v>1740</v>
      </c>
      <c r="E1017" t="s">
        <v>1876</v>
      </c>
      <c r="F1017">
        <v>4</v>
      </c>
      <c r="G1017" s="10">
        <v>139.05000000000001</v>
      </c>
      <c r="H1017" s="13">
        <v>0.28999999999999998</v>
      </c>
      <c r="I1017" t="s">
        <v>1936</v>
      </c>
      <c r="J1017" s="16">
        <v>394.90199999999999</v>
      </c>
      <c r="K1017" s="19">
        <f t="shared" si="75"/>
        <v>1052324.6671000004</v>
      </c>
      <c r="L1017" s="22">
        <f t="shared" si="76"/>
        <v>1068.3499158375639</v>
      </c>
      <c r="M1017" s="22">
        <f t="shared" si="77"/>
        <v>345</v>
      </c>
      <c r="N1017" s="22" t="str">
        <f t="shared" si="78"/>
        <v>Low Value</v>
      </c>
      <c r="O1017" s="22" t="str">
        <f t="shared" si="79"/>
        <v>Mar-2025</v>
      </c>
      <c r="P1017" s="22" t="s">
        <v>1741</v>
      </c>
      <c r="Q1017" s="22" t="s">
        <v>1531</v>
      </c>
      <c r="R1017" s="22" t="s">
        <v>796</v>
      </c>
      <c r="S1017" s="22"/>
      <c r="T1017" s="22"/>
      <c r="V1017" s="26" t="s">
        <v>1933</v>
      </c>
      <c r="W1017" s="6">
        <v>3</v>
      </c>
    </row>
    <row r="1018" spans="1:23">
      <c r="A1018" t="s">
        <v>2955</v>
      </c>
      <c r="B1018" s="8">
        <v>45461</v>
      </c>
      <c r="C1018" t="s">
        <v>473</v>
      </c>
      <c r="D1018" t="s">
        <v>1713</v>
      </c>
      <c r="E1018" t="s">
        <v>1876</v>
      </c>
      <c r="F1018">
        <v>3</v>
      </c>
      <c r="G1018" s="10">
        <v>155.87</v>
      </c>
      <c r="H1018" s="13">
        <v>0.03</v>
      </c>
      <c r="I1018" t="s">
        <v>1936</v>
      </c>
      <c r="J1018" s="16">
        <v>453.58170000000001</v>
      </c>
      <c r="K1018" s="19">
        <f t="shared" si="75"/>
        <v>1051929.7651000004</v>
      </c>
      <c r="L1018" s="22">
        <f t="shared" si="76"/>
        <v>1069.0343141260166</v>
      </c>
      <c r="M1018" s="22">
        <f t="shared" si="77"/>
        <v>345</v>
      </c>
      <c r="N1018" s="22" t="str">
        <f t="shared" si="78"/>
        <v>Low Value</v>
      </c>
      <c r="O1018" s="22" t="str">
        <f t="shared" si="79"/>
        <v>Jun-2024</v>
      </c>
      <c r="P1018" s="22" t="s">
        <v>1714</v>
      </c>
      <c r="Q1018" s="22" t="s">
        <v>1536</v>
      </c>
      <c r="R1018" s="22" t="s">
        <v>474</v>
      </c>
      <c r="S1018" s="22"/>
      <c r="T1018" s="22"/>
      <c r="V1018" s="25" t="s">
        <v>1029</v>
      </c>
      <c r="W1018" s="6">
        <v>12</v>
      </c>
    </row>
    <row r="1019" spans="1:23">
      <c r="A1019" t="s">
        <v>2956</v>
      </c>
      <c r="B1019" s="8">
        <v>45837</v>
      </c>
      <c r="C1019" t="s">
        <v>1359</v>
      </c>
      <c r="D1019" t="s">
        <v>1652</v>
      </c>
      <c r="E1019" t="s">
        <v>1911</v>
      </c>
      <c r="F1019">
        <v>4</v>
      </c>
      <c r="G1019" s="10">
        <v>115.42</v>
      </c>
      <c r="H1019" s="13">
        <v>0.03</v>
      </c>
      <c r="I1019" t="s">
        <v>1936</v>
      </c>
      <c r="J1019" s="16">
        <v>447.82960000000003</v>
      </c>
      <c r="K1019" s="19">
        <f t="shared" si="75"/>
        <v>1051476.1834000002</v>
      </c>
      <c r="L1019" s="22">
        <f t="shared" si="76"/>
        <v>1069.6604103763989</v>
      </c>
      <c r="M1019" s="22">
        <f t="shared" si="77"/>
        <v>345</v>
      </c>
      <c r="N1019" s="22" t="str">
        <f t="shared" si="78"/>
        <v>Low Value</v>
      </c>
      <c r="O1019" s="22" t="str">
        <f t="shared" si="79"/>
        <v>Jun-2025</v>
      </c>
      <c r="P1019" s="22" t="s">
        <v>1653</v>
      </c>
      <c r="Q1019" s="22" t="s">
        <v>1531</v>
      </c>
      <c r="R1019" s="22" t="s">
        <v>1360</v>
      </c>
      <c r="S1019" s="22"/>
      <c r="T1019" s="22"/>
      <c r="V1019" s="26" t="s">
        <v>1936</v>
      </c>
      <c r="W1019" s="6">
        <v>4</v>
      </c>
    </row>
    <row r="1020" spans="1:23">
      <c r="A1020" t="s">
        <v>2957</v>
      </c>
      <c r="B1020" s="8">
        <v>45823</v>
      </c>
      <c r="C1020" t="s">
        <v>418</v>
      </c>
      <c r="D1020" t="s">
        <v>1710</v>
      </c>
      <c r="E1020" t="s">
        <v>1883</v>
      </c>
      <c r="F1020">
        <v>3</v>
      </c>
      <c r="G1020" s="10">
        <v>593.62</v>
      </c>
      <c r="H1020" s="13">
        <v>0.08</v>
      </c>
      <c r="I1020" t="s">
        <v>1931</v>
      </c>
      <c r="J1020" s="16">
        <v>1638.3912</v>
      </c>
      <c r="K1020" s="19">
        <f t="shared" si="75"/>
        <v>1051028.3538000002</v>
      </c>
      <c r="L1020" s="22">
        <f t="shared" si="76"/>
        <v>1070.2936393075358</v>
      </c>
      <c r="M1020" s="22">
        <f t="shared" si="77"/>
        <v>345</v>
      </c>
      <c r="N1020" s="22" t="str">
        <f t="shared" si="78"/>
        <v>High Value</v>
      </c>
      <c r="O1020" s="22" t="str">
        <f t="shared" si="79"/>
        <v>Jun-2025</v>
      </c>
      <c r="P1020" s="22" t="s">
        <v>1711</v>
      </c>
      <c r="Q1020" s="22" t="s">
        <v>1569</v>
      </c>
      <c r="R1020" s="22" t="s">
        <v>419</v>
      </c>
      <c r="S1020" s="22"/>
      <c r="T1020" s="22"/>
      <c r="V1020" s="26" t="s">
        <v>1931</v>
      </c>
      <c r="W1020" s="6">
        <v>3</v>
      </c>
    </row>
    <row r="1021" spans="1:23">
      <c r="A1021" t="s">
        <v>2958</v>
      </c>
      <c r="B1021" s="8">
        <v>45733</v>
      </c>
      <c r="C1021" t="s">
        <v>1102</v>
      </c>
      <c r="D1021" t="s">
        <v>1687</v>
      </c>
      <c r="E1021" t="s">
        <v>1876</v>
      </c>
      <c r="F1021">
        <v>2</v>
      </c>
      <c r="G1021" s="10">
        <v>825.04</v>
      </c>
      <c r="H1021" s="13">
        <v>0.2</v>
      </c>
      <c r="I1021" t="s">
        <v>1931</v>
      </c>
      <c r="J1021" s="16">
        <v>1320.0640000000001</v>
      </c>
      <c r="K1021" s="19">
        <f t="shared" si="75"/>
        <v>1049389.9626000002</v>
      </c>
      <c r="L1021" s="22">
        <f t="shared" si="76"/>
        <v>1069.7145388379206</v>
      </c>
      <c r="M1021" s="22">
        <f t="shared" si="77"/>
        <v>345</v>
      </c>
      <c r="N1021" s="22" t="str">
        <f t="shared" si="78"/>
        <v>High Value</v>
      </c>
      <c r="O1021" s="22" t="str">
        <f t="shared" si="79"/>
        <v>Mar-2025</v>
      </c>
      <c r="P1021" s="22" t="s">
        <v>1688</v>
      </c>
      <c r="Q1021" s="22" t="s">
        <v>1569</v>
      </c>
      <c r="R1021" s="22" t="s">
        <v>3955</v>
      </c>
      <c r="S1021" s="22"/>
      <c r="T1021" s="22"/>
      <c r="V1021" s="26" t="s">
        <v>1933</v>
      </c>
      <c r="W1021" s="6">
        <v>5</v>
      </c>
    </row>
    <row r="1022" spans="1:23">
      <c r="A1022" t="s">
        <v>2959</v>
      </c>
      <c r="B1022" s="8">
        <v>45322</v>
      </c>
      <c r="C1022" t="s">
        <v>1943</v>
      </c>
      <c r="D1022" t="s">
        <v>1624</v>
      </c>
      <c r="E1022" t="s">
        <v>1904</v>
      </c>
      <c r="F1022">
        <v>1</v>
      </c>
      <c r="G1022" s="10">
        <v>963.76</v>
      </c>
      <c r="H1022" s="13">
        <v>0.14000000000000001</v>
      </c>
      <c r="I1022" t="s">
        <v>1933</v>
      </c>
      <c r="J1022" s="16">
        <v>828.83359999999993</v>
      </c>
      <c r="K1022" s="19">
        <f t="shared" si="75"/>
        <v>1048069.8985999998</v>
      </c>
      <c r="L1022" s="22">
        <f t="shared" si="76"/>
        <v>1069.4590802040814</v>
      </c>
      <c r="M1022" s="22">
        <f t="shared" si="77"/>
        <v>345</v>
      </c>
      <c r="N1022" s="22" t="str">
        <f t="shared" si="78"/>
        <v>Low Value</v>
      </c>
      <c r="O1022" s="22" t="str">
        <f t="shared" si="79"/>
        <v>Jan-2024</v>
      </c>
      <c r="P1022" s="22" t="s">
        <v>1625</v>
      </c>
      <c r="Q1022" s="22" t="s">
        <v>1536</v>
      </c>
      <c r="R1022" s="22" t="s">
        <v>1422</v>
      </c>
      <c r="S1022" s="22"/>
      <c r="T1022" s="22"/>
      <c r="V1022" s="25" t="s">
        <v>603</v>
      </c>
      <c r="W1022" s="6">
        <v>10</v>
      </c>
    </row>
    <row r="1023" spans="1:23">
      <c r="A1023" t="s">
        <v>2960</v>
      </c>
      <c r="B1023" s="8">
        <v>45415</v>
      </c>
      <c r="C1023" t="s">
        <v>924</v>
      </c>
      <c r="D1023" t="s">
        <v>1719</v>
      </c>
      <c r="E1023" t="s">
        <v>1883</v>
      </c>
      <c r="F1023">
        <v>1</v>
      </c>
      <c r="G1023" s="10">
        <v>238.24</v>
      </c>
      <c r="H1023" s="13">
        <v>0.12</v>
      </c>
      <c r="I1023" t="s">
        <v>1933</v>
      </c>
      <c r="J1023" s="16">
        <v>209.65119999999999</v>
      </c>
      <c r="K1023" s="19">
        <f t="shared" si="75"/>
        <v>1047241.0650000001</v>
      </c>
      <c r="L1023" s="22">
        <f t="shared" si="76"/>
        <v>1069.7048672114404</v>
      </c>
      <c r="M1023" s="22">
        <f t="shared" si="77"/>
        <v>344</v>
      </c>
      <c r="N1023" s="22" t="str">
        <f t="shared" si="78"/>
        <v>Low Value</v>
      </c>
      <c r="O1023" s="22" t="str">
        <f t="shared" si="79"/>
        <v>May-2024</v>
      </c>
      <c r="P1023" s="22" t="s">
        <v>1720</v>
      </c>
      <c r="Q1023" s="22" t="s">
        <v>1560</v>
      </c>
      <c r="R1023" s="22" t="s">
        <v>925</v>
      </c>
      <c r="S1023" s="22"/>
      <c r="T1023" s="22"/>
      <c r="V1023" s="26" t="s">
        <v>1936</v>
      </c>
      <c r="W1023" s="6">
        <v>1</v>
      </c>
    </row>
    <row r="1024" spans="1:23">
      <c r="A1024" t="s">
        <v>2961</v>
      </c>
      <c r="B1024" s="8">
        <v>45644</v>
      </c>
      <c r="C1024" t="s">
        <v>1402</v>
      </c>
      <c r="D1024" t="s">
        <v>1801</v>
      </c>
      <c r="E1024" t="s">
        <v>1911</v>
      </c>
      <c r="F1024">
        <v>1</v>
      </c>
      <c r="G1024" s="10">
        <v>756.63</v>
      </c>
      <c r="H1024" s="13">
        <v>0.04</v>
      </c>
      <c r="I1024" t="s">
        <v>1933</v>
      </c>
      <c r="J1024" s="16">
        <v>726.36479999999995</v>
      </c>
      <c r="K1024" s="19">
        <f t="shared" si="75"/>
        <v>1047031.4137999999</v>
      </c>
      <c r="L1024" s="22">
        <f t="shared" si="76"/>
        <v>1070.5842676891614</v>
      </c>
      <c r="M1024" s="22">
        <f t="shared" si="77"/>
        <v>343</v>
      </c>
      <c r="N1024" s="22" t="str">
        <f t="shared" si="78"/>
        <v>Low Value</v>
      </c>
      <c r="O1024" s="22" t="str">
        <f t="shared" si="79"/>
        <v>Dec-2024</v>
      </c>
      <c r="P1024" s="22" t="s">
        <v>1802</v>
      </c>
      <c r="Q1024" s="22" t="s">
        <v>1569</v>
      </c>
      <c r="R1024" s="22" t="s">
        <v>1403</v>
      </c>
      <c r="S1024" s="22"/>
      <c r="T1024" s="22"/>
      <c r="V1024" s="26" t="s">
        <v>1931</v>
      </c>
      <c r="W1024" s="6">
        <v>7</v>
      </c>
    </row>
    <row r="1025" spans="1:23">
      <c r="A1025" t="s">
        <v>2962</v>
      </c>
      <c r="B1025" s="8">
        <v>45845</v>
      </c>
      <c r="C1025" t="s">
        <v>85</v>
      </c>
      <c r="D1025" t="s">
        <v>1834</v>
      </c>
      <c r="E1025" t="s">
        <v>1886</v>
      </c>
      <c r="F1025">
        <v>3</v>
      </c>
      <c r="G1025" s="10">
        <v>159.76</v>
      </c>
      <c r="H1025" s="13">
        <v>0.22</v>
      </c>
      <c r="I1025" t="s">
        <v>1931</v>
      </c>
      <c r="J1025" s="16">
        <v>373.83839999999998</v>
      </c>
      <c r="K1025" s="19">
        <f t="shared" si="75"/>
        <v>1046305.049</v>
      </c>
      <c r="L1025" s="22">
        <f t="shared" si="76"/>
        <v>1070.9365905834186</v>
      </c>
      <c r="M1025" s="22">
        <f t="shared" si="77"/>
        <v>342</v>
      </c>
      <c r="N1025" s="22" t="str">
        <f t="shared" si="78"/>
        <v>Low Value</v>
      </c>
      <c r="O1025" s="22" t="str">
        <f t="shared" si="79"/>
        <v>Jul-2025</v>
      </c>
      <c r="P1025" s="22" t="s">
        <v>1835</v>
      </c>
      <c r="Q1025" s="22" t="s">
        <v>1531</v>
      </c>
      <c r="R1025" s="22" t="s">
        <v>86</v>
      </c>
      <c r="S1025" s="22"/>
      <c r="T1025" s="22"/>
      <c r="V1025" s="26" t="s">
        <v>1933</v>
      </c>
      <c r="W1025" s="6">
        <v>2</v>
      </c>
    </row>
    <row r="1026" spans="1:23">
      <c r="A1026" t="s">
        <v>2963</v>
      </c>
      <c r="B1026" s="8">
        <v>45354</v>
      </c>
      <c r="C1026" t="s">
        <v>1145</v>
      </c>
      <c r="D1026" t="s">
        <v>1840</v>
      </c>
      <c r="E1026" t="s">
        <v>1889</v>
      </c>
      <c r="F1026">
        <v>1</v>
      </c>
      <c r="G1026" s="10">
        <v>329.94</v>
      </c>
      <c r="H1026" s="13">
        <v>0.14000000000000001</v>
      </c>
      <c r="I1026" t="s">
        <v>1936</v>
      </c>
      <c r="J1026" s="16">
        <v>283.7484</v>
      </c>
      <c r="K1026" s="19">
        <f t="shared" ref="K1026:K1089" si="80">SUM(J1026:J3025)</f>
        <v>1045931.2106</v>
      </c>
      <c r="L1026" s="22">
        <f t="shared" ref="L1026:L1089" si="81">AVERAGE(J1026:J3025)</f>
        <v>1071.6508305327868</v>
      </c>
      <c r="M1026" s="22">
        <f t="shared" ref="M1026:M1089" si="82">COUNTIF(I1026:I3025,"PayPal")</f>
        <v>342</v>
      </c>
      <c r="N1026" s="22" t="str">
        <f t="shared" ref="N1026:N1089" si="83">IF(J1026&gt;=1000,"High Value","Low Value")</f>
        <v>Low Value</v>
      </c>
      <c r="O1026" s="22" t="str">
        <f t="shared" ref="O1026:O1089" si="84">TEXT(B1026,"mmm-yyyy")</f>
        <v>Mar-2024</v>
      </c>
      <c r="P1026" s="22" t="s">
        <v>1841</v>
      </c>
      <c r="Q1026" s="22" t="s">
        <v>1569</v>
      </c>
      <c r="R1026" s="22" t="s">
        <v>1146</v>
      </c>
      <c r="S1026" s="22"/>
      <c r="T1026" s="22"/>
      <c r="V1026" s="25" t="s">
        <v>1240</v>
      </c>
      <c r="W1026" s="6">
        <v>9</v>
      </c>
    </row>
    <row r="1027" spans="1:23">
      <c r="A1027" t="s">
        <v>2964</v>
      </c>
      <c r="B1027" s="8">
        <v>45720</v>
      </c>
      <c r="C1027" t="s">
        <v>221</v>
      </c>
      <c r="D1027" t="s">
        <v>1597</v>
      </c>
      <c r="E1027" t="s">
        <v>1889</v>
      </c>
      <c r="F1027">
        <v>1</v>
      </c>
      <c r="G1027" s="10">
        <v>234.06</v>
      </c>
      <c r="H1027" s="13">
        <v>0.11</v>
      </c>
      <c r="I1027" t="s">
        <v>1933</v>
      </c>
      <c r="J1027" s="16">
        <v>208.3134</v>
      </c>
      <c r="K1027" s="19">
        <f t="shared" si="80"/>
        <v>1045647.4622000001</v>
      </c>
      <c r="L1027" s="22">
        <f t="shared" si="81"/>
        <v>1072.4589355897438</v>
      </c>
      <c r="M1027" s="22">
        <f t="shared" si="82"/>
        <v>342</v>
      </c>
      <c r="N1027" s="22" t="str">
        <f t="shared" si="83"/>
        <v>Low Value</v>
      </c>
      <c r="O1027" s="22" t="str">
        <f t="shared" si="84"/>
        <v>Mar-2025</v>
      </c>
      <c r="P1027" s="22" t="s">
        <v>1598</v>
      </c>
      <c r="Q1027" s="22" t="s">
        <v>1569</v>
      </c>
      <c r="R1027" s="22" t="s">
        <v>222</v>
      </c>
      <c r="S1027" s="22"/>
      <c r="T1027" s="22"/>
      <c r="V1027" s="26" t="s">
        <v>1936</v>
      </c>
      <c r="W1027" s="6">
        <v>5</v>
      </c>
    </row>
    <row r="1028" spans="1:23">
      <c r="A1028" t="s">
        <v>2965</v>
      </c>
      <c r="B1028" s="8">
        <v>45278</v>
      </c>
      <c r="C1028" t="s">
        <v>996</v>
      </c>
      <c r="D1028" t="s">
        <v>1798</v>
      </c>
      <c r="E1028" t="s">
        <v>1859</v>
      </c>
      <c r="F1028">
        <v>2</v>
      </c>
      <c r="G1028" s="10">
        <v>773.75</v>
      </c>
      <c r="H1028" s="13">
        <v>0.16</v>
      </c>
      <c r="I1028" t="s">
        <v>1933</v>
      </c>
      <c r="J1028" s="16">
        <v>1299.9000000000001</v>
      </c>
      <c r="K1028" s="19">
        <f t="shared" si="80"/>
        <v>1045439.1488</v>
      </c>
      <c r="L1028" s="22">
        <f t="shared" si="81"/>
        <v>1073.3461486652977</v>
      </c>
      <c r="M1028" s="22">
        <f t="shared" si="82"/>
        <v>341</v>
      </c>
      <c r="N1028" s="22" t="str">
        <f t="shared" si="83"/>
        <v>High Value</v>
      </c>
      <c r="O1028" s="22" t="str">
        <f t="shared" si="84"/>
        <v>Dec-2023</v>
      </c>
      <c r="P1028" s="22" t="s">
        <v>1799</v>
      </c>
      <c r="Q1028" s="22" t="s">
        <v>1569</v>
      </c>
      <c r="R1028" s="22" t="s">
        <v>997</v>
      </c>
      <c r="S1028" s="22"/>
      <c r="T1028" s="22"/>
      <c r="V1028" s="26" t="s">
        <v>1931</v>
      </c>
      <c r="W1028" s="6">
        <v>4</v>
      </c>
    </row>
    <row r="1029" spans="1:23">
      <c r="A1029" t="s">
        <v>2966</v>
      </c>
      <c r="B1029" s="8">
        <v>45422</v>
      </c>
      <c r="C1029" t="s">
        <v>1343</v>
      </c>
      <c r="D1029" t="s">
        <v>1710</v>
      </c>
      <c r="E1029" t="s">
        <v>1917</v>
      </c>
      <c r="F1029">
        <v>1</v>
      </c>
      <c r="G1029" s="10">
        <v>73.88</v>
      </c>
      <c r="H1029" s="13">
        <v>0.04</v>
      </c>
      <c r="I1029" t="s">
        <v>1931</v>
      </c>
      <c r="J1029" s="16">
        <v>70.924799999999991</v>
      </c>
      <c r="K1029" s="19">
        <f t="shared" si="80"/>
        <v>1044139.2488000001</v>
      </c>
      <c r="L1029" s="22">
        <f t="shared" si="81"/>
        <v>1073.113308119219</v>
      </c>
      <c r="M1029" s="22">
        <f t="shared" si="82"/>
        <v>340</v>
      </c>
      <c r="N1029" s="22" t="str">
        <f t="shared" si="83"/>
        <v>Low Value</v>
      </c>
      <c r="O1029" s="22" t="str">
        <f t="shared" si="84"/>
        <v>May-2024</v>
      </c>
      <c r="P1029" s="22" t="s">
        <v>1711</v>
      </c>
      <c r="Q1029" s="22" t="s">
        <v>1569</v>
      </c>
      <c r="R1029" s="22" t="s">
        <v>1344</v>
      </c>
      <c r="S1029" s="22"/>
      <c r="T1029" s="22"/>
      <c r="V1029" s="25" t="s">
        <v>1188</v>
      </c>
      <c r="W1029" s="6">
        <v>13</v>
      </c>
    </row>
    <row r="1030" spans="1:23">
      <c r="A1030" t="s">
        <v>2967</v>
      </c>
      <c r="B1030" s="8">
        <v>45337</v>
      </c>
      <c r="C1030" t="s">
        <v>31</v>
      </c>
      <c r="D1030" t="s">
        <v>1813</v>
      </c>
      <c r="E1030" t="s">
        <v>1917</v>
      </c>
      <c r="F1030">
        <v>1</v>
      </c>
      <c r="G1030" s="10">
        <v>859.3</v>
      </c>
      <c r="H1030" s="13">
        <v>0.16</v>
      </c>
      <c r="I1030" t="s">
        <v>1933</v>
      </c>
      <c r="J1030" s="16">
        <v>721.8119999999999</v>
      </c>
      <c r="K1030" s="19">
        <f t="shared" si="80"/>
        <v>1044068.3240000001</v>
      </c>
      <c r="L1030" s="22">
        <f t="shared" si="81"/>
        <v>1074.1443662551442</v>
      </c>
      <c r="M1030" s="22">
        <f t="shared" si="82"/>
        <v>340</v>
      </c>
      <c r="N1030" s="22" t="str">
        <f t="shared" si="83"/>
        <v>Low Value</v>
      </c>
      <c r="O1030" s="22" t="str">
        <f t="shared" si="84"/>
        <v>Feb-2024</v>
      </c>
      <c r="P1030" s="22" t="s">
        <v>1814</v>
      </c>
      <c r="Q1030" s="22" t="s">
        <v>1560</v>
      </c>
      <c r="R1030" s="22" t="s">
        <v>32</v>
      </c>
      <c r="S1030" s="22"/>
      <c r="T1030" s="22"/>
      <c r="V1030" s="26" t="s">
        <v>1936</v>
      </c>
      <c r="W1030" s="6">
        <v>3</v>
      </c>
    </row>
    <row r="1031" spans="1:23">
      <c r="A1031" t="s">
        <v>2968</v>
      </c>
      <c r="B1031" s="8">
        <v>45564</v>
      </c>
      <c r="C1031" t="s">
        <v>440</v>
      </c>
      <c r="D1031" t="s">
        <v>1798</v>
      </c>
      <c r="E1031" t="s">
        <v>1883</v>
      </c>
      <c r="F1031">
        <v>4</v>
      </c>
      <c r="G1031" s="10">
        <v>762.43</v>
      </c>
      <c r="H1031" s="13">
        <v>0.05</v>
      </c>
      <c r="I1031" t="s">
        <v>1931</v>
      </c>
      <c r="J1031" s="16">
        <v>2897.233999999999</v>
      </c>
      <c r="K1031" s="19">
        <f t="shared" si="80"/>
        <v>1043346.512</v>
      </c>
      <c r="L1031" s="22">
        <f t="shared" si="81"/>
        <v>1074.5072214212153</v>
      </c>
      <c r="M1031" s="22">
        <f t="shared" si="82"/>
        <v>339</v>
      </c>
      <c r="N1031" s="22" t="str">
        <f t="shared" si="83"/>
        <v>High Value</v>
      </c>
      <c r="O1031" s="22" t="str">
        <f t="shared" si="84"/>
        <v>Sep-2024</v>
      </c>
      <c r="P1031" s="22" t="s">
        <v>1799</v>
      </c>
      <c r="Q1031" s="22" t="s">
        <v>1569</v>
      </c>
      <c r="R1031" s="22" t="s">
        <v>441</v>
      </c>
      <c r="S1031" s="22"/>
      <c r="T1031" s="22"/>
      <c r="V1031" s="26" t="s">
        <v>1931</v>
      </c>
      <c r="W1031" s="6">
        <v>6</v>
      </c>
    </row>
    <row r="1032" spans="1:23">
      <c r="A1032" t="s">
        <v>2969</v>
      </c>
      <c r="B1032" s="8">
        <v>45424</v>
      </c>
      <c r="C1032" t="s">
        <v>424</v>
      </c>
      <c r="D1032" t="s">
        <v>1774</v>
      </c>
      <c r="E1032" t="s">
        <v>1859</v>
      </c>
      <c r="F1032">
        <v>1</v>
      </c>
      <c r="G1032" s="10">
        <v>328.51</v>
      </c>
      <c r="H1032" s="13">
        <v>0.2</v>
      </c>
      <c r="I1032" t="s">
        <v>1936</v>
      </c>
      <c r="J1032" s="16">
        <v>262.80799999999999</v>
      </c>
      <c r="K1032" s="19">
        <f t="shared" si="80"/>
        <v>1040449.278</v>
      </c>
      <c r="L1032" s="22">
        <f t="shared" si="81"/>
        <v>1072.6281216494847</v>
      </c>
      <c r="M1032" s="22">
        <f t="shared" si="82"/>
        <v>339</v>
      </c>
      <c r="N1032" s="22" t="str">
        <f t="shared" si="83"/>
        <v>Low Value</v>
      </c>
      <c r="O1032" s="22" t="str">
        <f t="shared" si="84"/>
        <v>May-2024</v>
      </c>
      <c r="P1032" s="22" t="s">
        <v>1775</v>
      </c>
      <c r="Q1032" s="22" t="s">
        <v>1569</v>
      </c>
      <c r="R1032" s="22" t="s">
        <v>425</v>
      </c>
      <c r="S1032" s="22"/>
      <c r="T1032" s="22"/>
      <c r="V1032" s="26" t="s">
        <v>1933</v>
      </c>
      <c r="W1032" s="6">
        <v>4</v>
      </c>
    </row>
    <row r="1033" spans="1:23">
      <c r="A1033" t="s">
        <v>2970</v>
      </c>
      <c r="B1033" s="8">
        <v>45719</v>
      </c>
      <c r="C1033" t="s">
        <v>871</v>
      </c>
      <c r="D1033" t="s">
        <v>1684</v>
      </c>
      <c r="E1033" t="s">
        <v>1876</v>
      </c>
      <c r="F1033">
        <v>1</v>
      </c>
      <c r="G1033" s="10">
        <v>34.51</v>
      </c>
      <c r="H1033" s="13">
        <v>0.04</v>
      </c>
      <c r="I1033" t="s">
        <v>1936</v>
      </c>
      <c r="J1033" s="16">
        <v>33.129600000000003</v>
      </c>
      <c r="K1033" s="19">
        <f t="shared" si="80"/>
        <v>1040186.4700000001</v>
      </c>
      <c r="L1033" s="22">
        <f t="shared" si="81"/>
        <v>1073.4638493292055</v>
      </c>
      <c r="M1033" s="22">
        <f t="shared" si="82"/>
        <v>339</v>
      </c>
      <c r="N1033" s="22" t="str">
        <f t="shared" si="83"/>
        <v>Low Value</v>
      </c>
      <c r="O1033" s="22" t="str">
        <f t="shared" si="84"/>
        <v>Mar-2025</v>
      </c>
      <c r="P1033" s="22" t="s">
        <v>1685</v>
      </c>
      <c r="Q1033" s="22" t="s">
        <v>1569</v>
      </c>
      <c r="R1033" s="22" t="s">
        <v>872</v>
      </c>
      <c r="S1033" s="22"/>
      <c r="T1033" s="22"/>
      <c r="V1033" s="25" t="s">
        <v>656</v>
      </c>
      <c r="W1033" s="6">
        <v>18</v>
      </c>
    </row>
    <row r="1034" spans="1:23">
      <c r="A1034" t="s">
        <v>2971</v>
      </c>
      <c r="B1034" s="8">
        <v>45250</v>
      </c>
      <c r="C1034" t="s">
        <v>367</v>
      </c>
      <c r="D1034" t="s">
        <v>1603</v>
      </c>
      <c r="E1034" t="s">
        <v>1899</v>
      </c>
      <c r="F1034">
        <v>3</v>
      </c>
      <c r="G1034" s="10">
        <v>663.73</v>
      </c>
      <c r="H1034" s="13">
        <v>0.06</v>
      </c>
      <c r="I1034" t="s">
        <v>1936</v>
      </c>
      <c r="J1034" s="16">
        <v>1871.7185999999999</v>
      </c>
      <c r="K1034" s="19">
        <f t="shared" si="80"/>
        <v>1040153.3404</v>
      </c>
      <c r="L1034" s="22">
        <f t="shared" si="81"/>
        <v>1074.5385747933883</v>
      </c>
      <c r="M1034" s="22">
        <f t="shared" si="82"/>
        <v>339</v>
      </c>
      <c r="N1034" s="22" t="str">
        <f t="shared" si="83"/>
        <v>High Value</v>
      </c>
      <c r="O1034" s="22" t="str">
        <f t="shared" si="84"/>
        <v>Nov-2023</v>
      </c>
      <c r="P1034" s="22" t="s">
        <v>1604</v>
      </c>
      <c r="Q1034" s="22" t="s">
        <v>1569</v>
      </c>
      <c r="R1034" s="22" t="s">
        <v>368</v>
      </c>
      <c r="S1034" s="22"/>
      <c r="T1034" s="22"/>
      <c r="V1034" s="26" t="s">
        <v>1936</v>
      </c>
      <c r="W1034" s="6">
        <v>8</v>
      </c>
    </row>
    <row r="1035" spans="1:23">
      <c r="A1035" t="s">
        <v>2972</v>
      </c>
      <c r="B1035" s="8">
        <v>45479</v>
      </c>
      <c r="C1035" t="s">
        <v>789</v>
      </c>
      <c r="D1035" t="s">
        <v>1649</v>
      </c>
      <c r="E1035" t="s">
        <v>1893</v>
      </c>
      <c r="F1035">
        <v>1</v>
      </c>
      <c r="G1035" s="10">
        <v>409.41</v>
      </c>
      <c r="H1035" s="13">
        <v>0.13</v>
      </c>
      <c r="I1035" t="s">
        <v>1933</v>
      </c>
      <c r="J1035" s="16">
        <v>356.18669999999997</v>
      </c>
      <c r="K1035" s="19">
        <f t="shared" si="80"/>
        <v>1038281.6218</v>
      </c>
      <c r="L1035" s="22">
        <f t="shared" si="81"/>
        <v>1073.7141900723889</v>
      </c>
      <c r="M1035" s="22">
        <f t="shared" si="82"/>
        <v>339</v>
      </c>
      <c r="N1035" s="22" t="str">
        <f t="shared" si="83"/>
        <v>Low Value</v>
      </c>
      <c r="O1035" s="22" t="str">
        <f t="shared" si="84"/>
        <v>Jul-2024</v>
      </c>
      <c r="P1035" s="22" t="s">
        <v>1650</v>
      </c>
      <c r="Q1035" s="22" t="s">
        <v>1560</v>
      </c>
      <c r="R1035" s="22" t="s">
        <v>790</v>
      </c>
      <c r="S1035" s="22"/>
      <c r="T1035" s="22"/>
      <c r="V1035" s="26" t="s">
        <v>1931</v>
      </c>
      <c r="W1035" s="6">
        <v>6</v>
      </c>
    </row>
    <row r="1036" spans="1:23">
      <c r="A1036" t="s">
        <v>2973</v>
      </c>
      <c r="B1036" s="8">
        <v>45727</v>
      </c>
      <c r="C1036" t="s">
        <v>327</v>
      </c>
      <c r="D1036" t="s">
        <v>1789</v>
      </c>
      <c r="E1036" t="s">
        <v>1873</v>
      </c>
      <c r="F1036">
        <v>3</v>
      </c>
      <c r="G1036" s="10">
        <v>461.03</v>
      </c>
      <c r="H1036" s="13">
        <v>0.11</v>
      </c>
      <c r="I1036" t="s">
        <v>1933</v>
      </c>
      <c r="J1036" s="16">
        <v>1230.9501</v>
      </c>
      <c r="K1036" s="19">
        <f t="shared" si="80"/>
        <v>1037925.4351</v>
      </c>
      <c r="L1036" s="22">
        <f t="shared" si="81"/>
        <v>1074.4569721532091</v>
      </c>
      <c r="M1036" s="22">
        <f t="shared" si="82"/>
        <v>338</v>
      </c>
      <c r="N1036" s="22" t="str">
        <f t="shared" si="83"/>
        <v>High Value</v>
      </c>
      <c r="O1036" s="22" t="str">
        <f t="shared" si="84"/>
        <v>Mar-2025</v>
      </c>
      <c r="P1036" s="22" t="s">
        <v>1790</v>
      </c>
      <c r="Q1036" s="22" t="s">
        <v>1560</v>
      </c>
      <c r="R1036" s="22" t="s">
        <v>328</v>
      </c>
      <c r="S1036" s="22"/>
      <c r="T1036" s="22"/>
      <c r="V1036" s="26" t="s">
        <v>1933</v>
      </c>
      <c r="W1036" s="6">
        <v>4</v>
      </c>
    </row>
    <row r="1037" spans="1:23">
      <c r="A1037" t="s">
        <v>2974</v>
      </c>
      <c r="B1037" s="8">
        <v>45394</v>
      </c>
      <c r="C1037" t="s">
        <v>1145</v>
      </c>
      <c r="D1037" t="s">
        <v>1603</v>
      </c>
      <c r="E1037" t="s">
        <v>1906</v>
      </c>
      <c r="F1037">
        <v>2</v>
      </c>
      <c r="G1037" s="10">
        <v>760.14</v>
      </c>
      <c r="H1037" s="13">
        <v>0.02</v>
      </c>
      <c r="I1037" t="s">
        <v>1936</v>
      </c>
      <c r="J1037" s="16">
        <v>1489.8743999999999</v>
      </c>
      <c r="K1037" s="19">
        <f t="shared" si="80"/>
        <v>1036694.485</v>
      </c>
      <c r="L1037" s="22">
        <f t="shared" si="81"/>
        <v>1074.2948031088083</v>
      </c>
      <c r="M1037" s="22">
        <f t="shared" si="82"/>
        <v>337</v>
      </c>
      <c r="N1037" s="22" t="str">
        <f t="shared" si="83"/>
        <v>High Value</v>
      </c>
      <c r="O1037" s="22" t="str">
        <f t="shared" si="84"/>
        <v>Apr-2024</v>
      </c>
      <c r="P1037" s="22" t="s">
        <v>1604</v>
      </c>
      <c r="Q1037" s="22" t="s">
        <v>1569</v>
      </c>
      <c r="R1037" s="22" t="s">
        <v>1146</v>
      </c>
      <c r="S1037" s="22"/>
      <c r="T1037" s="22"/>
      <c r="V1037" s="25" t="s">
        <v>790</v>
      </c>
      <c r="W1037" s="6">
        <v>8</v>
      </c>
    </row>
    <row r="1038" spans="1:23">
      <c r="A1038" t="s">
        <v>2975</v>
      </c>
      <c r="B1038" s="8">
        <v>45773</v>
      </c>
      <c r="C1038" t="s">
        <v>883</v>
      </c>
      <c r="D1038" t="s">
        <v>1617</v>
      </c>
      <c r="E1038" t="s">
        <v>1864</v>
      </c>
      <c r="F1038">
        <v>3</v>
      </c>
      <c r="G1038" s="10">
        <v>688.76</v>
      </c>
      <c r="H1038" s="13">
        <v>0.12</v>
      </c>
      <c r="I1038" t="s">
        <v>1933</v>
      </c>
      <c r="J1038" s="16">
        <v>1818.3263999999999</v>
      </c>
      <c r="K1038" s="19">
        <f t="shared" si="80"/>
        <v>1035204.6105999999</v>
      </c>
      <c r="L1038" s="22">
        <f t="shared" si="81"/>
        <v>1073.8637039419086</v>
      </c>
      <c r="M1038" s="22">
        <f t="shared" si="82"/>
        <v>337</v>
      </c>
      <c r="N1038" s="22" t="str">
        <f t="shared" si="83"/>
        <v>High Value</v>
      </c>
      <c r="O1038" s="22" t="str">
        <f t="shared" si="84"/>
        <v>Apr-2025</v>
      </c>
      <c r="P1038" s="22" t="s">
        <v>1618</v>
      </c>
      <c r="Q1038" s="22" t="s">
        <v>1536</v>
      </c>
      <c r="R1038" s="22" t="s">
        <v>884</v>
      </c>
      <c r="S1038" s="22"/>
      <c r="T1038" s="22"/>
      <c r="V1038" s="26" t="s">
        <v>1936</v>
      </c>
      <c r="W1038" s="6">
        <v>7</v>
      </c>
    </row>
    <row r="1039" spans="1:23">
      <c r="A1039" t="s">
        <v>2976</v>
      </c>
      <c r="B1039" s="8">
        <v>45779</v>
      </c>
      <c r="C1039" t="s">
        <v>530</v>
      </c>
      <c r="D1039" t="s">
        <v>1681</v>
      </c>
      <c r="E1039" t="s">
        <v>1893</v>
      </c>
      <c r="F1039">
        <v>2</v>
      </c>
      <c r="G1039" s="10">
        <v>257.77999999999997</v>
      </c>
      <c r="H1039" s="13">
        <v>0.05</v>
      </c>
      <c r="I1039" t="s">
        <v>1931</v>
      </c>
      <c r="J1039" s="16">
        <v>489.78199999999993</v>
      </c>
      <c r="K1039" s="19">
        <f t="shared" si="80"/>
        <v>1033386.2842</v>
      </c>
      <c r="L1039" s="22">
        <f t="shared" si="81"/>
        <v>1073.0906377985461</v>
      </c>
      <c r="M1039" s="22">
        <f t="shared" si="82"/>
        <v>336</v>
      </c>
      <c r="N1039" s="22" t="str">
        <f t="shared" si="83"/>
        <v>Low Value</v>
      </c>
      <c r="O1039" s="22" t="str">
        <f t="shared" si="84"/>
        <v>May-2025</v>
      </c>
      <c r="P1039" s="22" t="s">
        <v>1682</v>
      </c>
      <c r="Q1039" s="22" t="s">
        <v>1531</v>
      </c>
      <c r="R1039" s="22" t="s">
        <v>531</v>
      </c>
      <c r="S1039" s="22"/>
      <c r="T1039" s="22"/>
      <c r="V1039" s="26" t="s">
        <v>1933</v>
      </c>
      <c r="W1039" s="6">
        <v>1</v>
      </c>
    </row>
    <row r="1040" spans="1:23">
      <c r="A1040" t="s">
        <v>2977</v>
      </c>
      <c r="B1040" s="8">
        <v>45400</v>
      </c>
      <c r="C1040" t="s">
        <v>195</v>
      </c>
      <c r="D1040" t="s">
        <v>1713</v>
      </c>
      <c r="E1040" t="s">
        <v>1886</v>
      </c>
      <c r="F1040">
        <v>2</v>
      </c>
      <c r="G1040" s="10">
        <v>314.29000000000002</v>
      </c>
      <c r="H1040" s="13">
        <v>0.19</v>
      </c>
      <c r="I1040" t="s">
        <v>1936</v>
      </c>
      <c r="J1040" s="16">
        <v>509.14980000000008</v>
      </c>
      <c r="K1040" s="19">
        <f t="shared" si="80"/>
        <v>1032896.5021999999</v>
      </c>
      <c r="L1040" s="22">
        <f t="shared" si="81"/>
        <v>1073.6969877338877</v>
      </c>
      <c r="M1040" s="22">
        <f t="shared" si="82"/>
        <v>336</v>
      </c>
      <c r="N1040" s="22" t="str">
        <f t="shared" si="83"/>
        <v>Low Value</v>
      </c>
      <c r="O1040" s="22" t="str">
        <f t="shared" si="84"/>
        <v>Apr-2024</v>
      </c>
      <c r="P1040" s="22" t="s">
        <v>1714</v>
      </c>
      <c r="Q1040" s="22" t="s">
        <v>1536</v>
      </c>
      <c r="R1040" s="22" t="s">
        <v>196</v>
      </c>
      <c r="S1040" s="22"/>
      <c r="T1040" s="22"/>
      <c r="V1040" s="25" t="s">
        <v>947</v>
      </c>
      <c r="W1040" s="6">
        <v>9</v>
      </c>
    </row>
    <row r="1041" spans="1:23">
      <c r="A1041" t="s">
        <v>2978</v>
      </c>
      <c r="B1041" s="8">
        <v>45520</v>
      </c>
      <c r="C1041" t="s">
        <v>518</v>
      </c>
      <c r="D1041" t="s">
        <v>1771</v>
      </c>
      <c r="E1041" t="s">
        <v>1906</v>
      </c>
      <c r="F1041">
        <v>3</v>
      </c>
      <c r="G1041" s="10">
        <v>336.09</v>
      </c>
      <c r="H1041" s="13">
        <v>0.01</v>
      </c>
      <c r="I1041" t="s">
        <v>1933</v>
      </c>
      <c r="J1041" s="16">
        <v>998.18729999999994</v>
      </c>
      <c r="K1041" s="19">
        <f t="shared" si="80"/>
        <v>1032387.3523999999</v>
      </c>
      <c r="L1041" s="22">
        <f t="shared" si="81"/>
        <v>1074.2844457856397</v>
      </c>
      <c r="M1041" s="22">
        <f t="shared" si="82"/>
        <v>336</v>
      </c>
      <c r="N1041" s="22" t="str">
        <f t="shared" si="83"/>
        <v>Low Value</v>
      </c>
      <c r="O1041" s="22" t="str">
        <f t="shared" si="84"/>
        <v>Aug-2024</v>
      </c>
      <c r="P1041" s="22" t="s">
        <v>1772</v>
      </c>
      <c r="Q1041" s="22" t="s">
        <v>1569</v>
      </c>
      <c r="R1041" s="22" t="s">
        <v>519</v>
      </c>
      <c r="S1041" s="22"/>
      <c r="T1041" s="22"/>
      <c r="V1041" s="26" t="s">
        <v>1936</v>
      </c>
      <c r="W1041" s="6">
        <v>3</v>
      </c>
    </row>
    <row r="1042" spans="1:23">
      <c r="A1042" t="s">
        <v>2979</v>
      </c>
      <c r="B1042" s="8">
        <v>45861</v>
      </c>
      <c r="C1042" t="s">
        <v>19</v>
      </c>
      <c r="D1042" t="s">
        <v>1780</v>
      </c>
      <c r="E1042" t="s">
        <v>1914</v>
      </c>
      <c r="F1042">
        <v>3</v>
      </c>
      <c r="G1042" s="10">
        <v>202.07</v>
      </c>
      <c r="H1042" s="13">
        <v>0.23</v>
      </c>
      <c r="I1042" t="s">
        <v>1933</v>
      </c>
      <c r="J1042" s="16">
        <v>466.78170000000011</v>
      </c>
      <c r="K1042" s="19">
        <f t="shared" si="80"/>
        <v>1031389.1650999998</v>
      </c>
      <c r="L1042" s="22">
        <f t="shared" si="81"/>
        <v>1074.3637136458331</v>
      </c>
      <c r="M1042" s="22">
        <f t="shared" si="82"/>
        <v>335</v>
      </c>
      <c r="N1042" s="22" t="str">
        <f t="shared" si="83"/>
        <v>Low Value</v>
      </c>
      <c r="O1042" s="22" t="str">
        <f t="shared" si="84"/>
        <v>Jul-2025</v>
      </c>
      <c r="P1042" s="22" t="s">
        <v>1781</v>
      </c>
      <c r="Q1042" s="22" t="s">
        <v>1536</v>
      </c>
      <c r="R1042" s="22" t="s">
        <v>3940</v>
      </c>
      <c r="S1042" s="22"/>
      <c r="T1042" s="22"/>
      <c r="V1042" s="26" t="s">
        <v>1931</v>
      </c>
      <c r="W1042" s="6">
        <v>1</v>
      </c>
    </row>
    <row r="1043" spans="1:23">
      <c r="A1043" t="s">
        <v>2980</v>
      </c>
      <c r="B1043" s="8">
        <v>45781</v>
      </c>
      <c r="C1043" t="s">
        <v>975</v>
      </c>
      <c r="D1043" t="s">
        <v>1597</v>
      </c>
      <c r="E1043" t="s">
        <v>1889</v>
      </c>
      <c r="F1043">
        <v>2</v>
      </c>
      <c r="G1043" s="10">
        <v>485.25</v>
      </c>
      <c r="H1043" s="13">
        <v>0.28000000000000003</v>
      </c>
      <c r="I1043" t="s">
        <v>1931</v>
      </c>
      <c r="J1043" s="16">
        <v>698.76</v>
      </c>
      <c r="K1043" s="19">
        <f t="shared" si="80"/>
        <v>1030922.3833999998</v>
      </c>
      <c r="L1043" s="22">
        <f t="shared" si="81"/>
        <v>1074.9972715328465</v>
      </c>
      <c r="M1043" s="22">
        <f t="shared" si="82"/>
        <v>334</v>
      </c>
      <c r="N1043" s="22" t="str">
        <f t="shared" si="83"/>
        <v>Low Value</v>
      </c>
      <c r="O1043" s="22" t="str">
        <f t="shared" si="84"/>
        <v>May-2025</v>
      </c>
      <c r="P1043" s="22" t="s">
        <v>1598</v>
      </c>
      <c r="Q1043" s="22" t="s">
        <v>1569</v>
      </c>
      <c r="R1043" s="22" t="s">
        <v>976</v>
      </c>
      <c r="S1043" s="22"/>
      <c r="T1043" s="22"/>
      <c r="V1043" s="26" t="s">
        <v>1933</v>
      </c>
      <c r="W1043" s="6">
        <v>5</v>
      </c>
    </row>
    <row r="1044" spans="1:23">
      <c r="A1044" t="s">
        <v>2981</v>
      </c>
      <c r="B1044" s="8">
        <v>45906</v>
      </c>
      <c r="C1044" t="s">
        <v>565</v>
      </c>
      <c r="D1044" t="s">
        <v>1780</v>
      </c>
      <c r="E1044" t="s">
        <v>1896</v>
      </c>
      <c r="F1044">
        <v>4</v>
      </c>
      <c r="G1044" s="10">
        <v>552.38</v>
      </c>
      <c r="H1044" s="13">
        <v>0.1</v>
      </c>
      <c r="I1044" t="s">
        <v>1933</v>
      </c>
      <c r="J1044" s="16">
        <v>1988.568</v>
      </c>
      <c r="K1044" s="19">
        <f t="shared" si="80"/>
        <v>1030223.6234</v>
      </c>
      <c r="L1044" s="22">
        <f t="shared" si="81"/>
        <v>1075.3900035490606</v>
      </c>
      <c r="M1044" s="22">
        <f t="shared" si="82"/>
        <v>334</v>
      </c>
      <c r="N1044" s="22" t="str">
        <f t="shared" si="83"/>
        <v>High Value</v>
      </c>
      <c r="O1044" s="22" t="str">
        <f t="shared" si="84"/>
        <v>Sep-2025</v>
      </c>
      <c r="P1044" s="22" t="s">
        <v>1781</v>
      </c>
      <c r="Q1044" s="22" t="s">
        <v>1536</v>
      </c>
      <c r="R1044" s="22" t="s">
        <v>566</v>
      </c>
      <c r="S1044" s="22"/>
      <c r="T1044" s="22"/>
      <c r="V1044" s="25" t="s">
        <v>460</v>
      </c>
      <c r="W1044" s="6">
        <v>14</v>
      </c>
    </row>
    <row r="1045" spans="1:23">
      <c r="A1045" t="s">
        <v>2982</v>
      </c>
      <c r="B1045" s="8">
        <v>45251</v>
      </c>
      <c r="C1045" t="s">
        <v>373</v>
      </c>
      <c r="D1045" t="s">
        <v>1728</v>
      </c>
      <c r="E1045" t="s">
        <v>1914</v>
      </c>
      <c r="F1045">
        <v>4</v>
      </c>
      <c r="G1045" s="10">
        <v>377.26</v>
      </c>
      <c r="H1045" s="13">
        <v>0.22</v>
      </c>
      <c r="I1045" t="s">
        <v>1936</v>
      </c>
      <c r="J1045" s="16">
        <v>1177.0512000000001</v>
      </c>
      <c r="K1045" s="19">
        <f t="shared" si="80"/>
        <v>1028235.0554000001</v>
      </c>
      <c r="L1045" s="22">
        <f t="shared" si="81"/>
        <v>1074.4357945663533</v>
      </c>
      <c r="M1045" s="22">
        <f t="shared" si="82"/>
        <v>333</v>
      </c>
      <c r="N1045" s="22" t="str">
        <f t="shared" si="83"/>
        <v>High Value</v>
      </c>
      <c r="O1045" s="22" t="str">
        <f t="shared" si="84"/>
        <v>Nov-2023</v>
      </c>
      <c r="P1045" s="22" t="s">
        <v>1729</v>
      </c>
      <c r="Q1045" s="22" t="s">
        <v>1536</v>
      </c>
      <c r="R1045" s="22" t="s">
        <v>374</v>
      </c>
      <c r="S1045" s="22"/>
      <c r="T1045" s="22"/>
      <c r="V1045" s="26" t="s">
        <v>1936</v>
      </c>
      <c r="W1045" s="6">
        <v>7</v>
      </c>
    </row>
    <row r="1046" spans="1:23">
      <c r="A1046" t="s">
        <v>2983</v>
      </c>
      <c r="B1046" s="8">
        <v>45257</v>
      </c>
      <c r="C1046" t="s">
        <v>199</v>
      </c>
      <c r="D1046" t="s">
        <v>1693</v>
      </c>
      <c r="E1046" t="s">
        <v>1920</v>
      </c>
      <c r="F1046">
        <v>4</v>
      </c>
      <c r="G1046" s="10">
        <v>189.07</v>
      </c>
      <c r="H1046" s="13">
        <v>0.1</v>
      </c>
      <c r="I1046" t="s">
        <v>1936</v>
      </c>
      <c r="J1046" s="16">
        <v>680.65200000000004</v>
      </c>
      <c r="K1046" s="19">
        <f t="shared" si="80"/>
        <v>1027058.0042</v>
      </c>
      <c r="L1046" s="22">
        <f t="shared" si="81"/>
        <v>1074.3284562761505</v>
      </c>
      <c r="M1046" s="22">
        <f t="shared" si="82"/>
        <v>333</v>
      </c>
      <c r="N1046" s="22" t="str">
        <f t="shared" si="83"/>
        <v>Low Value</v>
      </c>
      <c r="O1046" s="22" t="str">
        <f t="shared" si="84"/>
        <v>Nov-2023</v>
      </c>
      <c r="P1046" s="22" t="s">
        <v>1694</v>
      </c>
      <c r="Q1046" s="22" t="s">
        <v>1555</v>
      </c>
      <c r="R1046" s="22" t="s">
        <v>200</v>
      </c>
      <c r="S1046" s="22"/>
      <c r="T1046" s="22"/>
      <c r="V1046" s="26" t="s">
        <v>1931</v>
      </c>
      <c r="W1046" s="6">
        <v>4</v>
      </c>
    </row>
    <row r="1047" spans="1:23">
      <c r="A1047" t="s">
        <v>2984</v>
      </c>
      <c r="B1047" s="8">
        <v>45818</v>
      </c>
      <c r="C1047" t="s">
        <v>2114</v>
      </c>
      <c r="D1047" t="s">
        <v>1639</v>
      </c>
      <c r="E1047" t="s">
        <v>1876</v>
      </c>
      <c r="F1047">
        <v>3</v>
      </c>
      <c r="G1047" s="10">
        <v>272.27</v>
      </c>
      <c r="H1047" s="13">
        <v>0.01</v>
      </c>
      <c r="I1047" t="s">
        <v>1931</v>
      </c>
      <c r="J1047" s="16">
        <v>808.64189999999996</v>
      </c>
      <c r="K1047" s="19">
        <f t="shared" si="80"/>
        <v>1026377.3522000002</v>
      </c>
      <c r="L1047" s="22">
        <f t="shared" si="81"/>
        <v>1074.7406829319373</v>
      </c>
      <c r="M1047" s="22">
        <f t="shared" si="82"/>
        <v>333</v>
      </c>
      <c r="N1047" s="22" t="str">
        <f t="shared" si="83"/>
        <v>Low Value</v>
      </c>
      <c r="O1047" s="22" t="str">
        <f t="shared" si="84"/>
        <v>Jun-2025</v>
      </c>
      <c r="P1047" s="22" t="s">
        <v>1640</v>
      </c>
      <c r="Q1047" s="22" t="s">
        <v>1560</v>
      </c>
      <c r="R1047" s="22" t="s">
        <v>1520</v>
      </c>
      <c r="S1047" s="22"/>
      <c r="T1047" s="22"/>
      <c r="V1047" s="26" t="s">
        <v>1933</v>
      </c>
      <c r="W1047" s="6">
        <v>3</v>
      </c>
    </row>
    <row r="1048" spans="1:23">
      <c r="A1048" t="s">
        <v>2985</v>
      </c>
      <c r="B1048" s="8">
        <v>45806</v>
      </c>
      <c r="C1048" t="s">
        <v>842</v>
      </c>
      <c r="D1048" t="s">
        <v>1831</v>
      </c>
      <c r="E1048" t="s">
        <v>1899</v>
      </c>
      <c r="F1048">
        <v>1</v>
      </c>
      <c r="G1048" s="10">
        <v>209.39</v>
      </c>
      <c r="H1048" s="13">
        <v>0.28000000000000003</v>
      </c>
      <c r="I1048" t="s">
        <v>1933</v>
      </c>
      <c r="J1048" s="16">
        <v>150.76079999999999</v>
      </c>
      <c r="K1048" s="19">
        <f t="shared" si="80"/>
        <v>1025568.7103</v>
      </c>
      <c r="L1048" s="22">
        <f t="shared" si="81"/>
        <v>1075.0196124737945</v>
      </c>
      <c r="M1048" s="22">
        <f t="shared" si="82"/>
        <v>333</v>
      </c>
      <c r="N1048" s="22" t="str">
        <f t="shared" si="83"/>
        <v>Low Value</v>
      </c>
      <c r="O1048" s="22" t="str">
        <f t="shared" si="84"/>
        <v>May-2025</v>
      </c>
      <c r="P1048" s="22" t="s">
        <v>1832</v>
      </c>
      <c r="Q1048" s="22" t="s">
        <v>1560</v>
      </c>
      <c r="R1048" s="22" t="s">
        <v>843</v>
      </c>
      <c r="S1048" s="22"/>
      <c r="T1048" s="22"/>
      <c r="V1048" s="25" t="s">
        <v>189</v>
      </c>
      <c r="W1048" s="6">
        <v>8</v>
      </c>
    </row>
    <row r="1049" spans="1:23">
      <c r="A1049" t="s">
        <v>2986</v>
      </c>
      <c r="B1049" s="8">
        <v>45288</v>
      </c>
      <c r="C1049" t="s">
        <v>199</v>
      </c>
      <c r="D1049" t="s">
        <v>1795</v>
      </c>
      <c r="E1049" t="s">
        <v>1893</v>
      </c>
      <c r="F1049">
        <v>1</v>
      </c>
      <c r="G1049" s="10">
        <v>813.87</v>
      </c>
      <c r="H1049" s="13">
        <v>0.23</v>
      </c>
      <c r="I1049" t="s">
        <v>1931</v>
      </c>
      <c r="J1049" s="16">
        <v>626.67989999999998</v>
      </c>
      <c r="K1049" s="19">
        <f t="shared" si="80"/>
        <v>1025417.9495000002</v>
      </c>
      <c r="L1049" s="22">
        <f t="shared" si="81"/>
        <v>1075.9894538300107</v>
      </c>
      <c r="M1049" s="22">
        <f t="shared" si="82"/>
        <v>332</v>
      </c>
      <c r="N1049" s="22" t="str">
        <f t="shared" si="83"/>
        <v>Low Value</v>
      </c>
      <c r="O1049" s="22" t="str">
        <f t="shared" si="84"/>
        <v>Dec-2023</v>
      </c>
      <c r="P1049" s="22" t="s">
        <v>1796</v>
      </c>
      <c r="Q1049" s="22" t="s">
        <v>1560</v>
      </c>
      <c r="R1049" s="22" t="s">
        <v>200</v>
      </c>
      <c r="S1049" s="22"/>
      <c r="T1049" s="22"/>
      <c r="V1049" s="26" t="s">
        <v>1936</v>
      </c>
      <c r="W1049" s="6">
        <v>5</v>
      </c>
    </row>
    <row r="1050" spans="1:23">
      <c r="A1050" t="s">
        <v>2987</v>
      </c>
      <c r="B1050" s="8">
        <v>45783</v>
      </c>
      <c r="C1050" t="s">
        <v>821</v>
      </c>
      <c r="D1050" t="s">
        <v>1633</v>
      </c>
      <c r="E1050" t="s">
        <v>1859</v>
      </c>
      <c r="F1050">
        <v>1</v>
      </c>
      <c r="G1050" s="10">
        <v>143.69999999999999</v>
      </c>
      <c r="H1050" s="13">
        <v>0.19</v>
      </c>
      <c r="I1050" t="s">
        <v>1933</v>
      </c>
      <c r="J1050" s="16">
        <v>116.39700000000001</v>
      </c>
      <c r="K1050" s="19">
        <f t="shared" si="80"/>
        <v>1024791.2696000001</v>
      </c>
      <c r="L1050" s="22">
        <f t="shared" si="81"/>
        <v>1076.4614176470589</v>
      </c>
      <c r="M1050" s="22">
        <f t="shared" si="82"/>
        <v>332</v>
      </c>
      <c r="N1050" s="22" t="str">
        <f t="shared" si="83"/>
        <v>Low Value</v>
      </c>
      <c r="O1050" s="22" t="str">
        <f t="shared" si="84"/>
        <v>May-2025</v>
      </c>
      <c r="P1050" s="22" t="s">
        <v>1634</v>
      </c>
      <c r="Q1050" s="22" t="s">
        <v>1569</v>
      </c>
      <c r="R1050" s="22" t="s">
        <v>822</v>
      </c>
      <c r="S1050" s="22"/>
      <c r="T1050" s="22"/>
      <c r="V1050" s="26" t="s">
        <v>1933</v>
      </c>
      <c r="W1050" s="6">
        <v>3</v>
      </c>
    </row>
    <row r="1051" spans="1:23">
      <c r="A1051" t="s">
        <v>2988</v>
      </c>
      <c r="B1051" s="8">
        <v>45385</v>
      </c>
      <c r="C1051" t="s">
        <v>1439</v>
      </c>
      <c r="D1051" t="s">
        <v>1690</v>
      </c>
      <c r="E1051" t="s">
        <v>1864</v>
      </c>
      <c r="F1051">
        <v>4</v>
      </c>
      <c r="G1051" s="10">
        <v>837.34</v>
      </c>
      <c r="H1051" s="13">
        <v>0.05</v>
      </c>
      <c r="I1051" t="s">
        <v>1933</v>
      </c>
      <c r="J1051" s="16">
        <v>3181.8919999999998</v>
      </c>
      <c r="K1051" s="19">
        <f t="shared" si="80"/>
        <v>1024674.8726</v>
      </c>
      <c r="L1051" s="22">
        <f t="shared" si="81"/>
        <v>1077.470949106204</v>
      </c>
      <c r="M1051" s="22">
        <f t="shared" si="82"/>
        <v>331</v>
      </c>
      <c r="N1051" s="22" t="str">
        <f t="shared" si="83"/>
        <v>High Value</v>
      </c>
      <c r="O1051" s="22" t="str">
        <f t="shared" si="84"/>
        <v>Apr-2024</v>
      </c>
      <c r="P1051" s="22" t="s">
        <v>1691</v>
      </c>
      <c r="Q1051" s="22" t="s">
        <v>1536</v>
      </c>
      <c r="R1051" s="22" t="s">
        <v>1440</v>
      </c>
      <c r="S1051" s="22"/>
      <c r="T1051" s="22"/>
      <c r="V1051" s="25" t="s">
        <v>843</v>
      </c>
      <c r="W1051" s="6">
        <v>10</v>
      </c>
    </row>
    <row r="1052" spans="1:23">
      <c r="A1052" t="s">
        <v>2989</v>
      </c>
      <c r="B1052" s="8">
        <v>45878</v>
      </c>
      <c r="C1052" t="s">
        <v>412</v>
      </c>
      <c r="D1052" t="s">
        <v>1590</v>
      </c>
      <c r="E1052" t="s">
        <v>1920</v>
      </c>
      <c r="F1052">
        <v>1</v>
      </c>
      <c r="G1052" s="10">
        <v>151.66</v>
      </c>
      <c r="H1052" s="13">
        <v>0.16</v>
      </c>
      <c r="I1052" t="s">
        <v>1936</v>
      </c>
      <c r="J1052" s="16">
        <v>127.3944</v>
      </c>
      <c r="K1052" s="19">
        <f t="shared" si="80"/>
        <v>1021492.9806000002</v>
      </c>
      <c r="L1052" s="22">
        <f t="shared" si="81"/>
        <v>1075.2557690526319</v>
      </c>
      <c r="M1052" s="22">
        <f t="shared" si="82"/>
        <v>330</v>
      </c>
      <c r="N1052" s="22" t="str">
        <f t="shared" si="83"/>
        <v>Low Value</v>
      </c>
      <c r="O1052" s="22" t="str">
        <f t="shared" si="84"/>
        <v>Aug-2025</v>
      </c>
      <c r="P1052" s="22" t="s">
        <v>1591</v>
      </c>
      <c r="Q1052" s="22" t="s">
        <v>1531</v>
      </c>
      <c r="R1052" s="22" t="s">
        <v>413</v>
      </c>
      <c r="S1052" s="22"/>
      <c r="T1052" s="22"/>
      <c r="V1052" s="26" t="s">
        <v>1936</v>
      </c>
      <c r="W1052" s="6">
        <v>5</v>
      </c>
    </row>
    <row r="1053" spans="1:23">
      <c r="A1053" t="s">
        <v>2990</v>
      </c>
      <c r="B1053" s="8">
        <v>45720</v>
      </c>
      <c r="C1053" t="s">
        <v>2114</v>
      </c>
      <c r="D1053" t="s">
        <v>1684</v>
      </c>
      <c r="E1053" t="s">
        <v>1889</v>
      </c>
      <c r="F1053">
        <v>3</v>
      </c>
      <c r="G1053" s="10">
        <v>961.4</v>
      </c>
      <c r="H1053" s="13">
        <v>0.02</v>
      </c>
      <c r="I1053" t="s">
        <v>1933</v>
      </c>
      <c r="J1053" s="16">
        <v>2826.5160000000001</v>
      </c>
      <c r="K1053" s="19">
        <f t="shared" si="80"/>
        <v>1021365.5862000001</v>
      </c>
      <c r="L1053" s="22">
        <f t="shared" si="81"/>
        <v>1076.2545692307694</v>
      </c>
      <c r="M1053" s="22">
        <f t="shared" si="82"/>
        <v>330</v>
      </c>
      <c r="N1053" s="22" t="str">
        <f t="shared" si="83"/>
        <v>High Value</v>
      </c>
      <c r="O1053" s="22" t="str">
        <f t="shared" si="84"/>
        <v>Mar-2025</v>
      </c>
      <c r="P1053" s="22" t="s">
        <v>1685</v>
      </c>
      <c r="Q1053" s="22" t="s">
        <v>1569</v>
      </c>
      <c r="R1053" s="22" t="s">
        <v>1520</v>
      </c>
      <c r="S1053" s="22"/>
      <c r="T1053" s="22"/>
      <c r="V1053" s="26" t="s">
        <v>1931</v>
      </c>
      <c r="W1053" s="6">
        <v>4</v>
      </c>
    </row>
    <row r="1054" spans="1:23">
      <c r="A1054" t="s">
        <v>2991</v>
      </c>
      <c r="B1054" s="8">
        <v>45503</v>
      </c>
      <c r="C1054" t="s">
        <v>1151</v>
      </c>
      <c r="D1054" t="s">
        <v>1777</v>
      </c>
      <c r="E1054" t="s">
        <v>1917</v>
      </c>
      <c r="F1054">
        <v>4</v>
      </c>
      <c r="G1054" s="10">
        <v>475.98</v>
      </c>
      <c r="H1054" s="13">
        <v>0.19</v>
      </c>
      <c r="I1054" t="s">
        <v>1933</v>
      </c>
      <c r="J1054" s="16">
        <v>1542.1751999999999</v>
      </c>
      <c r="K1054" s="19">
        <f t="shared" si="80"/>
        <v>1018539.0702000001</v>
      </c>
      <c r="L1054" s="22">
        <f t="shared" si="81"/>
        <v>1074.4083018987342</v>
      </c>
      <c r="M1054" s="22">
        <f t="shared" si="82"/>
        <v>329</v>
      </c>
      <c r="N1054" s="22" t="str">
        <f t="shared" si="83"/>
        <v>High Value</v>
      </c>
      <c r="O1054" s="22" t="str">
        <f t="shared" si="84"/>
        <v>Jul-2024</v>
      </c>
      <c r="P1054" s="22" t="s">
        <v>1778</v>
      </c>
      <c r="Q1054" s="22" t="s">
        <v>1531</v>
      </c>
      <c r="R1054" s="22" t="s">
        <v>1152</v>
      </c>
      <c r="S1054" s="22"/>
      <c r="T1054" s="22"/>
      <c r="V1054" s="26" t="s">
        <v>1933</v>
      </c>
      <c r="W1054" s="6">
        <v>1</v>
      </c>
    </row>
    <row r="1055" spans="1:23">
      <c r="A1055" t="s">
        <v>2992</v>
      </c>
      <c r="B1055" s="8">
        <v>45551</v>
      </c>
      <c r="C1055" t="s">
        <v>1181</v>
      </c>
      <c r="D1055" t="s">
        <v>1665</v>
      </c>
      <c r="E1055" t="s">
        <v>1908</v>
      </c>
      <c r="F1055">
        <v>4</v>
      </c>
      <c r="G1055" s="10">
        <v>132.88999999999999</v>
      </c>
      <c r="H1055" s="13">
        <v>0.12</v>
      </c>
      <c r="I1055" t="s">
        <v>1931</v>
      </c>
      <c r="J1055" s="16">
        <v>467.77280000000002</v>
      </c>
      <c r="K1055" s="19">
        <f t="shared" si="80"/>
        <v>1016996.8950000001</v>
      </c>
      <c r="L1055" s="22">
        <f t="shared" si="81"/>
        <v>1073.9143558606127</v>
      </c>
      <c r="M1055" s="22">
        <f t="shared" si="82"/>
        <v>328</v>
      </c>
      <c r="N1055" s="22" t="str">
        <f t="shared" si="83"/>
        <v>Low Value</v>
      </c>
      <c r="O1055" s="22" t="str">
        <f t="shared" si="84"/>
        <v>Sep-2024</v>
      </c>
      <c r="P1055" s="22" t="s">
        <v>1666</v>
      </c>
      <c r="Q1055" s="22" t="s">
        <v>1569</v>
      </c>
      <c r="R1055" s="22" t="s">
        <v>1182</v>
      </c>
      <c r="S1055" s="22"/>
      <c r="T1055" s="22"/>
      <c r="V1055" s="25" t="s">
        <v>642</v>
      </c>
      <c r="W1055" s="6">
        <v>4</v>
      </c>
    </row>
    <row r="1056" spans="1:23">
      <c r="A1056" t="s">
        <v>2993</v>
      </c>
      <c r="B1056" s="8">
        <v>45850</v>
      </c>
      <c r="C1056" t="s">
        <v>1346</v>
      </c>
      <c r="D1056" t="s">
        <v>1655</v>
      </c>
      <c r="E1056" t="s">
        <v>1901</v>
      </c>
      <c r="F1056">
        <v>3</v>
      </c>
      <c r="G1056" s="10">
        <v>471.31</v>
      </c>
      <c r="H1056" s="13">
        <v>0</v>
      </c>
      <c r="I1056" t="s">
        <v>1933</v>
      </c>
      <c r="J1056" s="16">
        <v>1413.93</v>
      </c>
      <c r="K1056" s="19">
        <f t="shared" si="80"/>
        <v>1016529.1222000002</v>
      </c>
      <c r="L1056" s="22">
        <f t="shared" si="81"/>
        <v>1074.5550974630023</v>
      </c>
      <c r="M1056" s="22">
        <f t="shared" si="82"/>
        <v>328</v>
      </c>
      <c r="N1056" s="22" t="str">
        <f t="shared" si="83"/>
        <v>High Value</v>
      </c>
      <c r="O1056" s="22" t="str">
        <f t="shared" si="84"/>
        <v>Jul-2025</v>
      </c>
      <c r="P1056" s="22" t="s">
        <v>1656</v>
      </c>
      <c r="Q1056" s="22" t="s">
        <v>1560</v>
      </c>
      <c r="R1056" s="22" t="s">
        <v>1347</v>
      </c>
      <c r="S1056" s="22"/>
      <c r="T1056" s="22"/>
      <c r="V1056" s="26" t="s">
        <v>1931</v>
      </c>
      <c r="W1056" s="6">
        <v>1</v>
      </c>
    </row>
    <row r="1057" spans="1:23">
      <c r="A1057" t="s">
        <v>2994</v>
      </c>
      <c r="B1057" s="8">
        <v>45441</v>
      </c>
      <c r="C1057" t="s">
        <v>1943</v>
      </c>
      <c r="D1057" t="s">
        <v>1783</v>
      </c>
      <c r="E1057" t="s">
        <v>1906</v>
      </c>
      <c r="F1057">
        <v>2</v>
      </c>
      <c r="G1057" s="10">
        <v>720.32</v>
      </c>
      <c r="H1057" s="13">
        <v>0.26</v>
      </c>
      <c r="I1057" t="s">
        <v>1931</v>
      </c>
      <c r="J1057" s="16">
        <v>1066.0735999999999</v>
      </c>
      <c r="K1057" s="19">
        <f t="shared" si="80"/>
        <v>1015115.1922</v>
      </c>
      <c r="L1057" s="22">
        <f t="shared" si="81"/>
        <v>1074.1959705820107</v>
      </c>
      <c r="M1057" s="22">
        <f t="shared" si="82"/>
        <v>327</v>
      </c>
      <c r="N1057" s="22" t="str">
        <f t="shared" si="83"/>
        <v>High Value</v>
      </c>
      <c r="O1057" s="22" t="str">
        <f t="shared" si="84"/>
        <v>May-2024</v>
      </c>
      <c r="P1057" s="22" t="s">
        <v>1784</v>
      </c>
      <c r="Q1057" s="22" t="s">
        <v>1531</v>
      </c>
      <c r="R1057" s="22" t="s">
        <v>1422</v>
      </c>
      <c r="S1057" s="22"/>
      <c r="T1057" s="22"/>
      <c r="V1057" s="26" t="s">
        <v>1933</v>
      </c>
      <c r="W1057" s="6">
        <v>3</v>
      </c>
    </row>
    <row r="1058" spans="1:23">
      <c r="A1058" t="s">
        <v>2995</v>
      </c>
      <c r="B1058" s="8">
        <v>45431</v>
      </c>
      <c r="C1058" t="s">
        <v>272</v>
      </c>
      <c r="D1058" t="s">
        <v>1752</v>
      </c>
      <c r="E1058" t="s">
        <v>1917</v>
      </c>
      <c r="F1058">
        <v>4</v>
      </c>
      <c r="G1058" s="10">
        <v>99.92</v>
      </c>
      <c r="H1058" s="13">
        <v>0.11</v>
      </c>
      <c r="I1058" t="s">
        <v>1936</v>
      </c>
      <c r="J1058" s="16">
        <v>355.71519999999998</v>
      </c>
      <c r="K1058" s="19">
        <f t="shared" si="80"/>
        <v>1014049.1186</v>
      </c>
      <c r="L1058" s="22">
        <f t="shared" si="81"/>
        <v>1074.2045747881357</v>
      </c>
      <c r="M1058" s="22">
        <f t="shared" si="82"/>
        <v>327</v>
      </c>
      <c r="N1058" s="22" t="str">
        <f t="shared" si="83"/>
        <v>Low Value</v>
      </c>
      <c r="O1058" s="22" t="str">
        <f t="shared" si="84"/>
        <v>May-2024</v>
      </c>
      <c r="P1058" s="22" t="s">
        <v>1753</v>
      </c>
      <c r="Q1058" s="22" t="s">
        <v>1555</v>
      </c>
      <c r="R1058" s="22" t="s">
        <v>273</v>
      </c>
      <c r="S1058" s="22"/>
      <c r="T1058" s="22"/>
      <c r="V1058" s="25" t="s">
        <v>1277</v>
      </c>
      <c r="W1058" s="6">
        <v>5</v>
      </c>
    </row>
    <row r="1059" spans="1:23">
      <c r="A1059" t="s">
        <v>2996</v>
      </c>
      <c r="B1059" s="8">
        <v>45873</v>
      </c>
      <c r="C1059" t="s">
        <v>244</v>
      </c>
      <c r="D1059" t="s">
        <v>1572</v>
      </c>
      <c r="E1059" t="s">
        <v>1873</v>
      </c>
      <c r="F1059">
        <v>3</v>
      </c>
      <c r="G1059" s="10">
        <v>900.63</v>
      </c>
      <c r="H1059" s="13">
        <v>0.11</v>
      </c>
      <c r="I1059" t="s">
        <v>1936</v>
      </c>
      <c r="J1059" s="16">
        <v>2404.6821</v>
      </c>
      <c r="K1059" s="19">
        <f t="shared" si="80"/>
        <v>1013693.4034000001</v>
      </c>
      <c r="L1059" s="22">
        <f t="shared" si="81"/>
        <v>1074.9664935312833</v>
      </c>
      <c r="M1059" s="22">
        <f t="shared" si="82"/>
        <v>327</v>
      </c>
      <c r="N1059" s="22" t="str">
        <f t="shared" si="83"/>
        <v>High Value</v>
      </c>
      <c r="O1059" s="22" t="str">
        <f t="shared" si="84"/>
        <v>Aug-2025</v>
      </c>
      <c r="P1059" s="22" t="s">
        <v>1573</v>
      </c>
      <c r="Q1059" s="22" t="s">
        <v>1560</v>
      </c>
      <c r="R1059" s="22" t="s">
        <v>245</v>
      </c>
      <c r="S1059" s="22"/>
      <c r="T1059" s="22"/>
      <c r="V1059" s="26" t="s">
        <v>1933</v>
      </c>
      <c r="W1059" s="6">
        <v>5</v>
      </c>
    </row>
    <row r="1060" spans="1:23">
      <c r="A1060" t="s">
        <v>2997</v>
      </c>
      <c r="B1060" s="8">
        <v>45629</v>
      </c>
      <c r="C1060" t="s">
        <v>1359</v>
      </c>
      <c r="D1060" t="s">
        <v>1690</v>
      </c>
      <c r="E1060" t="s">
        <v>1889</v>
      </c>
      <c r="F1060">
        <v>1</v>
      </c>
      <c r="G1060" s="10">
        <v>681.72</v>
      </c>
      <c r="H1060" s="13">
        <v>0.11</v>
      </c>
      <c r="I1060" t="s">
        <v>1933</v>
      </c>
      <c r="J1060" s="16">
        <v>606.73080000000004</v>
      </c>
      <c r="K1060" s="19">
        <f t="shared" si="80"/>
        <v>1011288.7213</v>
      </c>
      <c r="L1060" s="22">
        <f t="shared" si="81"/>
        <v>1073.5549058386412</v>
      </c>
      <c r="M1060" s="22">
        <f t="shared" si="82"/>
        <v>327</v>
      </c>
      <c r="N1060" s="22" t="str">
        <f t="shared" si="83"/>
        <v>Low Value</v>
      </c>
      <c r="O1060" s="22" t="str">
        <f t="shared" si="84"/>
        <v>Dec-2024</v>
      </c>
      <c r="P1060" s="22" t="s">
        <v>1691</v>
      </c>
      <c r="Q1060" s="22" t="s">
        <v>1536</v>
      </c>
      <c r="R1060" s="22" t="s">
        <v>1360</v>
      </c>
      <c r="S1060" s="22"/>
      <c r="T1060" s="22"/>
      <c r="V1060" s="25" t="s">
        <v>1120</v>
      </c>
      <c r="W1060" s="6">
        <v>12</v>
      </c>
    </row>
    <row r="1061" spans="1:23">
      <c r="A1061" t="s">
        <v>2998</v>
      </c>
      <c r="B1061" s="8">
        <v>45222</v>
      </c>
      <c r="C1061" t="s">
        <v>48</v>
      </c>
      <c r="D1061" t="s">
        <v>1789</v>
      </c>
      <c r="E1061" t="s">
        <v>1904</v>
      </c>
      <c r="F1061">
        <v>2</v>
      </c>
      <c r="G1061" s="10">
        <v>838.22</v>
      </c>
      <c r="H1061" s="13">
        <v>0.3</v>
      </c>
      <c r="I1061" t="s">
        <v>1931</v>
      </c>
      <c r="J1061" s="16">
        <v>1173.508</v>
      </c>
      <c r="K1061" s="19">
        <f t="shared" si="80"/>
        <v>1010681.9905</v>
      </c>
      <c r="L1061" s="22">
        <f t="shared" si="81"/>
        <v>1074.0509994686504</v>
      </c>
      <c r="M1061" s="22">
        <f t="shared" si="82"/>
        <v>326</v>
      </c>
      <c r="N1061" s="22" t="str">
        <f t="shared" si="83"/>
        <v>High Value</v>
      </c>
      <c r="O1061" s="22" t="str">
        <f t="shared" si="84"/>
        <v>Oct-2023</v>
      </c>
      <c r="P1061" s="22" t="s">
        <v>1790</v>
      </c>
      <c r="Q1061" s="22" t="s">
        <v>1560</v>
      </c>
      <c r="R1061" s="22" t="s">
        <v>49</v>
      </c>
      <c r="S1061" s="22"/>
      <c r="T1061" s="22"/>
      <c r="V1061" s="26" t="s">
        <v>1936</v>
      </c>
      <c r="W1061" s="6">
        <v>6</v>
      </c>
    </row>
    <row r="1062" spans="1:23">
      <c r="A1062" t="s">
        <v>2999</v>
      </c>
      <c r="B1062" s="8">
        <v>45797</v>
      </c>
      <c r="C1062" t="s">
        <v>635</v>
      </c>
      <c r="D1062" t="s">
        <v>1816</v>
      </c>
      <c r="E1062" t="s">
        <v>1901</v>
      </c>
      <c r="F1062">
        <v>2</v>
      </c>
      <c r="G1062" s="10">
        <v>816.22</v>
      </c>
      <c r="H1062" s="13">
        <v>0.27</v>
      </c>
      <c r="I1062" t="s">
        <v>1931</v>
      </c>
      <c r="J1062" s="16">
        <v>1191.6812</v>
      </c>
      <c r="K1062" s="19">
        <f t="shared" si="80"/>
        <v>1009508.4825</v>
      </c>
      <c r="L1062" s="22">
        <f t="shared" si="81"/>
        <v>1073.9451941489363</v>
      </c>
      <c r="M1062" s="22">
        <f t="shared" si="82"/>
        <v>326</v>
      </c>
      <c r="N1062" s="22" t="str">
        <f t="shared" si="83"/>
        <v>High Value</v>
      </c>
      <c r="O1062" s="22" t="str">
        <f t="shared" si="84"/>
        <v>May-2025</v>
      </c>
      <c r="P1062" s="22" t="s">
        <v>1817</v>
      </c>
      <c r="Q1062" s="22" t="s">
        <v>1560</v>
      </c>
      <c r="R1062" s="22" t="s">
        <v>636</v>
      </c>
      <c r="S1062" s="22"/>
      <c r="T1062" s="22"/>
      <c r="V1062" s="26" t="s">
        <v>1933</v>
      </c>
      <c r="W1062" s="6">
        <v>6</v>
      </c>
    </row>
    <row r="1063" spans="1:23">
      <c r="A1063" t="s">
        <v>3000</v>
      </c>
      <c r="B1063" s="8">
        <v>45554</v>
      </c>
      <c r="C1063" t="s">
        <v>1181</v>
      </c>
      <c r="D1063" t="s">
        <v>1737</v>
      </c>
      <c r="E1063" t="s">
        <v>1886</v>
      </c>
      <c r="F1063">
        <v>2</v>
      </c>
      <c r="G1063" s="10">
        <v>654.12</v>
      </c>
      <c r="H1063" s="13">
        <v>0.27</v>
      </c>
      <c r="I1063" t="s">
        <v>1933</v>
      </c>
      <c r="J1063" s="16">
        <v>955.01519999999994</v>
      </c>
      <c r="K1063" s="19">
        <f t="shared" si="80"/>
        <v>1008316.8013000001</v>
      </c>
      <c r="L1063" s="22">
        <f t="shared" si="81"/>
        <v>1073.8198096911608</v>
      </c>
      <c r="M1063" s="22">
        <f t="shared" si="82"/>
        <v>326</v>
      </c>
      <c r="N1063" s="22" t="str">
        <f t="shared" si="83"/>
        <v>Low Value</v>
      </c>
      <c r="O1063" s="22" t="str">
        <f t="shared" si="84"/>
        <v>Sep-2024</v>
      </c>
      <c r="P1063" s="22" t="s">
        <v>1738</v>
      </c>
      <c r="Q1063" s="22" t="s">
        <v>1569</v>
      </c>
      <c r="R1063" s="22" t="s">
        <v>1182</v>
      </c>
      <c r="S1063" s="22"/>
      <c r="T1063" s="22"/>
      <c r="V1063" s="25" t="s">
        <v>1143</v>
      </c>
      <c r="W1063" s="6">
        <v>3</v>
      </c>
    </row>
    <row r="1064" spans="1:23">
      <c r="A1064" t="s">
        <v>3001</v>
      </c>
      <c r="B1064" s="8">
        <v>45385</v>
      </c>
      <c r="C1064" t="s">
        <v>367</v>
      </c>
      <c r="D1064" t="s">
        <v>1774</v>
      </c>
      <c r="E1064" t="s">
        <v>1904</v>
      </c>
      <c r="F1064">
        <v>4</v>
      </c>
      <c r="G1064" s="10">
        <v>528.22</v>
      </c>
      <c r="H1064" s="13">
        <v>0.2</v>
      </c>
      <c r="I1064" t="s">
        <v>1933</v>
      </c>
      <c r="J1064" s="16">
        <v>1690.3040000000001</v>
      </c>
      <c r="K1064" s="19">
        <f t="shared" si="80"/>
        <v>1007361.7861</v>
      </c>
      <c r="L1064" s="22">
        <f t="shared" si="81"/>
        <v>1073.9464670575694</v>
      </c>
      <c r="M1064" s="22">
        <f t="shared" si="82"/>
        <v>325</v>
      </c>
      <c r="N1064" s="22" t="str">
        <f t="shared" si="83"/>
        <v>High Value</v>
      </c>
      <c r="O1064" s="22" t="str">
        <f t="shared" si="84"/>
        <v>Apr-2024</v>
      </c>
      <c r="P1064" s="22" t="s">
        <v>1775</v>
      </c>
      <c r="Q1064" s="22" t="s">
        <v>1569</v>
      </c>
      <c r="R1064" s="22" t="s">
        <v>368</v>
      </c>
      <c r="S1064" s="22"/>
      <c r="T1064" s="22"/>
      <c r="V1064" s="26" t="s">
        <v>1933</v>
      </c>
      <c r="W1064" s="6">
        <v>3</v>
      </c>
    </row>
    <row r="1065" spans="1:23">
      <c r="A1065" t="s">
        <v>3002</v>
      </c>
      <c r="B1065" s="8">
        <v>45704</v>
      </c>
      <c r="C1065" t="s">
        <v>716</v>
      </c>
      <c r="D1065" t="s">
        <v>1652</v>
      </c>
      <c r="E1065" t="s">
        <v>1886</v>
      </c>
      <c r="F1065">
        <v>4</v>
      </c>
      <c r="G1065" s="10">
        <v>36.72</v>
      </c>
      <c r="H1065" s="13">
        <v>7.0000000000000007E-2</v>
      </c>
      <c r="I1065" t="s">
        <v>1936</v>
      </c>
      <c r="J1065" s="16">
        <v>136.5984</v>
      </c>
      <c r="K1065" s="19">
        <f t="shared" si="80"/>
        <v>1005671.4821</v>
      </c>
      <c r="L1065" s="22">
        <f t="shared" si="81"/>
        <v>1073.2886681963714</v>
      </c>
      <c r="M1065" s="22">
        <f t="shared" si="82"/>
        <v>324</v>
      </c>
      <c r="N1065" s="22" t="str">
        <f t="shared" si="83"/>
        <v>Low Value</v>
      </c>
      <c r="O1065" s="22" t="str">
        <f t="shared" si="84"/>
        <v>Feb-2025</v>
      </c>
      <c r="P1065" s="22" t="s">
        <v>1653</v>
      </c>
      <c r="Q1065" s="22" t="s">
        <v>1531</v>
      </c>
      <c r="R1065" s="22" t="s">
        <v>717</v>
      </c>
      <c r="S1065" s="22"/>
      <c r="T1065" s="22"/>
      <c r="V1065" s="25" t="s">
        <v>1347</v>
      </c>
      <c r="W1065" s="6">
        <v>14</v>
      </c>
    </row>
    <row r="1066" spans="1:23">
      <c r="A1066" t="s">
        <v>3003</v>
      </c>
      <c r="B1066" s="8">
        <v>45545</v>
      </c>
      <c r="C1066" t="s">
        <v>1151</v>
      </c>
      <c r="D1066" t="s">
        <v>1789</v>
      </c>
      <c r="E1066" t="s">
        <v>1920</v>
      </c>
      <c r="F1066">
        <v>2</v>
      </c>
      <c r="G1066" s="10">
        <v>705.97</v>
      </c>
      <c r="H1066" s="13">
        <v>0.1</v>
      </c>
      <c r="I1066" t="s">
        <v>1933</v>
      </c>
      <c r="J1066" s="16">
        <v>1270.7460000000001</v>
      </c>
      <c r="K1066" s="19">
        <f t="shared" si="80"/>
        <v>1005534.8837</v>
      </c>
      <c r="L1066" s="22">
        <f t="shared" si="81"/>
        <v>1074.2894056623932</v>
      </c>
      <c r="M1066" s="22">
        <f t="shared" si="82"/>
        <v>324</v>
      </c>
      <c r="N1066" s="22" t="str">
        <f t="shared" si="83"/>
        <v>High Value</v>
      </c>
      <c r="O1066" s="22" t="str">
        <f t="shared" si="84"/>
        <v>Sep-2024</v>
      </c>
      <c r="P1066" s="22" t="s">
        <v>1790</v>
      </c>
      <c r="Q1066" s="22" t="s">
        <v>1560</v>
      </c>
      <c r="R1066" s="22" t="s">
        <v>1152</v>
      </c>
      <c r="S1066" s="22"/>
      <c r="T1066" s="22"/>
      <c r="V1066" s="26" t="s">
        <v>1931</v>
      </c>
      <c r="W1066" s="6">
        <v>1</v>
      </c>
    </row>
    <row r="1067" spans="1:23">
      <c r="A1067" t="s">
        <v>3004</v>
      </c>
      <c r="B1067" s="8">
        <v>45736</v>
      </c>
      <c r="C1067" t="s">
        <v>100</v>
      </c>
      <c r="D1067" t="s">
        <v>1672</v>
      </c>
      <c r="E1067" t="s">
        <v>1864</v>
      </c>
      <c r="F1067">
        <v>2</v>
      </c>
      <c r="G1067" s="10">
        <v>994.29</v>
      </c>
      <c r="H1067" s="13">
        <v>0.01</v>
      </c>
      <c r="I1067" t="s">
        <v>1933</v>
      </c>
      <c r="J1067" s="16">
        <v>1968.6941999999999</v>
      </c>
      <c r="K1067" s="19">
        <f t="shared" si="80"/>
        <v>1004264.1377</v>
      </c>
      <c r="L1067" s="22">
        <f t="shared" si="81"/>
        <v>1074.0792916577541</v>
      </c>
      <c r="M1067" s="22">
        <f t="shared" si="82"/>
        <v>323</v>
      </c>
      <c r="N1067" s="22" t="str">
        <f t="shared" si="83"/>
        <v>High Value</v>
      </c>
      <c r="O1067" s="22" t="str">
        <f t="shared" si="84"/>
        <v>Mar-2025</v>
      </c>
      <c r="P1067" s="22" t="s">
        <v>1673</v>
      </c>
      <c r="Q1067" s="22" t="s">
        <v>1531</v>
      </c>
      <c r="R1067" s="22" t="s">
        <v>101</v>
      </c>
      <c r="S1067" s="22"/>
      <c r="T1067" s="22"/>
      <c r="V1067" s="26" t="s">
        <v>1933</v>
      </c>
      <c r="W1067" s="6">
        <v>13</v>
      </c>
    </row>
    <row r="1068" spans="1:23">
      <c r="A1068" t="s">
        <v>3005</v>
      </c>
      <c r="B1068" s="8">
        <v>45608</v>
      </c>
      <c r="C1068" t="s">
        <v>1299</v>
      </c>
      <c r="D1068" t="s">
        <v>1831</v>
      </c>
      <c r="E1068" t="s">
        <v>1917</v>
      </c>
      <c r="F1068">
        <v>1</v>
      </c>
      <c r="G1068" s="10">
        <v>909.04</v>
      </c>
      <c r="H1068" s="13">
        <v>0.11</v>
      </c>
      <c r="I1068" t="s">
        <v>1931</v>
      </c>
      <c r="J1068" s="16">
        <v>809.04560000000004</v>
      </c>
      <c r="K1068" s="19">
        <f t="shared" si="80"/>
        <v>1002295.4435000002</v>
      </c>
      <c r="L1068" s="22">
        <f t="shared" si="81"/>
        <v>1073.1214598501072</v>
      </c>
      <c r="M1068" s="22">
        <f t="shared" si="82"/>
        <v>322</v>
      </c>
      <c r="N1068" s="22" t="str">
        <f t="shared" si="83"/>
        <v>Low Value</v>
      </c>
      <c r="O1068" s="22" t="str">
        <f t="shared" si="84"/>
        <v>Nov-2024</v>
      </c>
      <c r="P1068" s="22" t="s">
        <v>1832</v>
      </c>
      <c r="Q1068" s="22" t="s">
        <v>1560</v>
      </c>
      <c r="R1068" s="22" t="s">
        <v>1300</v>
      </c>
      <c r="S1068" s="22"/>
      <c r="T1068" s="22"/>
      <c r="V1068" s="25" t="s">
        <v>1493</v>
      </c>
      <c r="W1068" s="6">
        <v>7</v>
      </c>
    </row>
    <row r="1069" spans="1:23">
      <c r="A1069" t="s">
        <v>3006</v>
      </c>
      <c r="B1069" s="8">
        <v>45334</v>
      </c>
      <c r="C1069" t="s">
        <v>1090</v>
      </c>
      <c r="D1069" t="s">
        <v>1652</v>
      </c>
      <c r="E1069" t="s">
        <v>1899</v>
      </c>
      <c r="F1069">
        <v>1</v>
      </c>
      <c r="G1069" s="10">
        <v>164.73</v>
      </c>
      <c r="H1069" s="13">
        <v>0.12</v>
      </c>
      <c r="I1069" t="s">
        <v>1933</v>
      </c>
      <c r="J1069" s="16">
        <v>144.9624</v>
      </c>
      <c r="K1069" s="19">
        <f t="shared" si="80"/>
        <v>1001486.3979000001</v>
      </c>
      <c r="L1069" s="22">
        <f t="shared" si="81"/>
        <v>1073.4044993569132</v>
      </c>
      <c r="M1069" s="22">
        <f t="shared" si="82"/>
        <v>322</v>
      </c>
      <c r="N1069" s="22" t="str">
        <f t="shared" si="83"/>
        <v>Low Value</v>
      </c>
      <c r="O1069" s="22" t="str">
        <f t="shared" si="84"/>
        <v>Feb-2024</v>
      </c>
      <c r="P1069" s="22" t="s">
        <v>1653</v>
      </c>
      <c r="Q1069" s="22" t="s">
        <v>1531</v>
      </c>
      <c r="R1069" s="22" t="s">
        <v>1091</v>
      </c>
      <c r="S1069" s="22"/>
      <c r="T1069" s="22"/>
      <c r="V1069" s="26" t="s">
        <v>1936</v>
      </c>
      <c r="W1069" s="6">
        <v>4</v>
      </c>
    </row>
    <row r="1070" spans="1:23">
      <c r="A1070" t="s">
        <v>3007</v>
      </c>
      <c r="B1070" s="8">
        <v>45690</v>
      </c>
      <c r="C1070" t="s">
        <v>227</v>
      </c>
      <c r="D1070" t="s">
        <v>1661</v>
      </c>
      <c r="E1070" t="s">
        <v>1886</v>
      </c>
      <c r="F1070">
        <v>2</v>
      </c>
      <c r="G1070" s="10">
        <v>606.35</v>
      </c>
      <c r="H1070" s="13">
        <v>0.16</v>
      </c>
      <c r="I1070" t="s">
        <v>1936</v>
      </c>
      <c r="J1070" s="16">
        <v>1018.668</v>
      </c>
      <c r="K1070" s="19">
        <f t="shared" si="80"/>
        <v>1001341.4355000003</v>
      </c>
      <c r="L1070" s="22">
        <f t="shared" si="81"/>
        <v>1074.4006818669532</v>
      </c>
      <c r="M1070" s="22">
        <f t="shared" si="82"/>
        <v>321</v>
      </c>
      <c r="N1070" s="22" t="str">
        <f t="shared" si="83"/>
        <v>High Value</v>
      </c>
      <c r="O1070" s="22" t="str">
        <f t="shared" si="84"/>
        <v>Feb-2025</v>
      </c>
      <c r="P1070" s="22" t="s">
        <v>1662</v>
      </c>
      <c r="Q1070" s="22" t="s">
        <v>1536</v>
      </c>
      <c r="R1070" s="22" t="s">
        <v>228</v>
      </c>
      <c r="S1070" s="22"/>
      <c r="T1070" s="22"/>
      <c r="V1070" s="26" t="s">
        <v>1933</v>
      </c>
      <c r="W1070" s="6">
        <v>3</v>
      </c>
    </row>
    <row r="1071" spans="1:23">
      <c r="A1071" t="s">
        <v>3008</v>
      </c>
      <c r="B1071" s="8">
        <v>45481</v>
      </c>
      <c r="C1071" t="s">
        <v>542</v>
      </c>
      <c r="D1071" t="s">
        <v>1849</v>
      </c>
      <c r="E1071" t="s">
        <v>1876</v>
      </c>
      <c r="F1071">
        <v>3</v>
      </c>
      <c r="G1071" s="10">
        <v>904.19</v>
      </c>
      <c r="H1071" s="13">
        <v>0.09</v>
      </c>
      <c r="I1071" t="s">
        <v>1931</v>
      </c>
      <c r="J1071" s="16">
        <v>2468.4387000000002</v>
      </c>
      <c r="K1071" s="19">
        <f t="shared" si="80"/>
        <v>1000322.7675000002</v>
      </c>
      <c r="L1071" s="22">
        <f t="shared" si="81"/>
        <v>1074.4605451127823</v>
      </c>
      <c r="M1071" s="22">
        <f t="shared" si="82"/>
        <v>321</v>
      </c>
      <c r="N1071" s="22" t="str">
        <f t="shared" si="83"/>
        <v>High Value</v>
      </c>
      <c r="O1071" s="22" t="str">
        <f t="shared" si="84"/>
        <v>Jul-2024</v>
      </c>
      <c r="P1071" s="22" t="s">
        <v>1850</v>
      </c>
      <c r="Q1071" s="22" t="s">
        <v>1531</v>
      </c>
      <c r="R1071" s="22" t="s">
        <v>543</v>
      </c>
      <c r="S1071" s="22"/>
      <c r="T1071" s="22"/>
      <c r="V1071" s="25" t="s">
        <v>3947</v>
      </c>
      <c r="W1071" s="6">
        <v>18</v>
      </c>
    </row>
    <row r="1072" spans="1:23">
      <c r="A1072" t="s">
        <v>3009</v>
      </c>
      <c r="B1072" s="8">
        <v>45576</v>
      </c>
      <c r="C1072" t="s">
        <v>506</v>
      </c>
      <c r="D1072" t="s">
        <v>1704</v>
      </c>
      <c r="E1072" t="s">
        <v>1868</v>
      </c>
      <c r="F1072">
        <v>4</v>
      </c>
      <c r="G1072" s="10">
        <v>694.61</v>
      </c>
      <c r="H1072" s="13">
        <v>0.18</v>
      </c>
      <c r="I1072" t="s">
        <v>1936</v>
      </c>
      <c r="J1072" s="16">
        <v>2278.3208</v>
      </c>
      <c r="K1072" s="19">
        <f t="shared" si="80"/>
        <v>997854.32880000013</v>
      </c>
      <c r="L1072" s="22">
        <f t="shared" si="81"/>
        <v>1072.9616438709679</v>
      </c>
      <c r="M1072" s="22">
        <f t="shared" si="82"/>
        <v>321</v>
      </c>
      <c r="N1072" s="22" t="str">
        <f t="shared" si="83"/>
        <v>High Value</v>
      </c>
      <c r="O1072" s="22" t="str">
        <f t="shared" si="84"/>
        <v>Oct-2024</v>
      </c>
      <c r="P1072" s="22" t="s">
        <v>1705</v>
      </c>
      <c r="Q1072" s="22" t="s">
        <v>1569</v>
      </c>
      <c r="R1072" s="22" t="s">
        <v>507</v>
      </c>
      <c r="S1072" s="22"/>
      <c r="T1072" s="22"/>
      <c r="V1072" s="26" t="s">
        <v>1936</v>
      </c>
      <c r="W1072" s="6">
        <v>5</v>
      </c>
    </row>
    <row r="1073" spans="1:23">
      <c r="A1073" t="s">
        <v>3010</v>
      </c>
      <c r="B1073" s="8">
        <v>45215</v>
      </c>
      <c r="C1073" t="s">
        <v>728</v>
      </c>
      <c r="D1073" t="s">
        <v>1822</v>
      </c>
      <c r="E1073" t="s">
        <v>1868</v>
      </c>
      <c r="F1073">
        <v>4</v>
      </c>
      <c r="G1073" s="10">
        <v>753.83</v>
      </c>
      <c r="H1073" s="13">
        <v>0.24</v>
      </c>
      <c r="I1073" t="s">
        <v>1931</v>
      </c>
      <c r="J1073" s="16">
        <v>2291.6432</v>
      </c>
      <c r="K1073" s="19">
        <f t="shared" si="80"/>
        <v>995576.00800000003</v>
      </c>
      <c r="L1073" s="22">
        <f t="shared" si="81"/>
        <v>1071.6641636167924</v>
      </c>
      <c r="M1073" s="22">
        <f t="shared" si="82"/>
        <v>321</v>
      </c>
      <c r="N1073" s="22" t="str">
        <f t="shared" si="83"/>
        <v>High Value</v>
      </c>
      <c r="O1073" s="22" t="str">
        <f t="shared" si="84"/>
        <v>Oct-2023</v>
      </c>
      <c r="P1073" s="22" t="s">
        <v>1823</v>
      </c>
      <c r="Q1073" s="22" t="s">
        <v>1555</v>
      </c>
      <c r="R1073" s="22" t="s">
        <v>729</v>
      </c>
      <c r="S1073" s="22"/>
      <c r="T1073" s="22"/>
      <c r="V1073" s="26" t="s">
        <v>1931</v>
      </c>
      <c r="W1073" s="6">
        <v>8</v>
      </c>
    </row>
    <row r="1074" spans="1:23">
      <c r="A1074" t="s">
        <v>3011</v>
      </c>
      <c r="B1074" s="8">
        <v>45653</v>
      </c>
      <c r="C1074" t="s">
        <v>644</v>
      </c>
      <c r="D1074" t="s">
        <v>1610</v>
      </c>
      <c r="E1074" t="s">
        <v>1889</v>
      </c>
      <c r="F1074">
        <v>1</v>
      </c>
      <c r="G1074" s="10">
        <v>66.22</v>
      </c>
      <c r="H1074" s="13">
        <v>0.02</v>
      </c>
      <c r="I1074" t="s">
        <v>1931</v>
      </c>
      <c r="J1074" s="16">
        <v>64.895600000000002</v>
      </c>
      <c r="K1074" s="19">
        <f t="shared" si="80"/>
        <v>993284.36480000021</v>
      </c>
      <c r="L1074" s="22">
        <f t="shared" si="81"/>
        <v>1070.3495310344829</v>
      </c>
      <c r="M1074" s="22">
        <f t="shared" si="82"/>
        <v>321</v>
      </c>
      <c r="N1074" s="22" t="str">
        <f t="shared" si="83"/>
        <v>Low Value</v>
      </c>
      <c r="O1074" s="22" t="str">
        <f t="shared" si="84"/>
        <v>Dec-2024</v>
      </c>
      <c r="P1074" s="22" t="s">
        <v>1611</v>
      </c>
      <c r="Q1074" s="22" t="s">
        <v>1560</v>
      </c>
      <c r="R1074" s="22" t="s">
        <v>645</v>
      </c>
      <c r="S1074" s="22"/>
      <c r="T1074" s="22"/>
      <c r="V1074" s="26" t="s">
        <v>1933</v>
      </c>
      <c r="W1074" s="6">
        <v>5</v>
      </c>
    </row>
    <row r="1075" spans="1:23">
      <c r="A1075" t="s">
        <v>3012</v>
      </c>
      <c r="B1075" s="8">
        <v>45241</v>
      </c>
      <c r="C1075" t="s">
        <v>1055</v>
      </c>
      <c r="D1075" t="s">
        <v>1746</v>
      </c>
      <c r="E1075" t="s">
        <v>1906</v>
      </c>
      <c r="F1075">
        <v>2</v>
      </c>
      <c r="G1075" s="10">
        <v>891.8</v>
      </c>
      <c r="H1075" s="13">
        <v>0.28999999999999998</v>
      </c>
      <c r="I1075" t="s">
        <v>1936</v>
      </c>
      <c r="J1075" s="16">
        <v>1266.356</v>
      </c>
      <c r="K1075" s="19">
        <f t="shared" si="80"/>
        <v>993219.46920000028</v>
      </c>
      <c r="L1075" s="22">
        <f t="shared" si="81"/>
        <v>1071.4341631067964</v>
      </c>
      <c r="M1075" s="22">
        <f t="shared" si="82"/>
        <v>321</v>
      </c>
      <c r="N1075" s="22" t="str">
        <f t="shared" si="83"/>
        <v>High Value</v>
      </c>
      <c r="O1075" s="22" t="str">
        <f t="shared" si="84"/>
        <v>Nov-2023</v>
      </c>
      <c r="P1075" s="22" t="s">
        <v>1747</v>
      </c>
      <c r="Q1075" s="22" t="s">
        <v>1555</v>
      </c>
      <c r="R1075" s="22" t="s">
        <v>1056</v>
      </c>
      <c r="S1075" s="22"/>
      <c r="T1075" s="22"/>
      <c r="V1075" s="25" t="s">
        <v>600</v>
      </c>
      <c r="W1075" s="6">
        <v>11</v>
      </c>
    </row>
    <row r="1076" spans="1:23">
      <c r="A1076" t="s">
        <v>3013</v>
      </c>
      <c r="B1076" s="8">
        <v>45428</v>
      </c>
      <c r="C1076" t="s">
        <v>1130</v>
      </c>
      <c r="D1076" t="s">
        <v>1780</v>
      </c>
      <c r="E1076" t="s">
        <v>1893</v>
      </c>
      <c r="F1076">
        <v>4</v>
      </c>
      <c r="G1076" s="10">
        <v>255.48</v>
      </c>
      <c r="H1076" s="13">
        <v>0.03</v>
      </c>
      <c r="I1076" t="s">
        <v>1936</v>
      </c>
      <c r="J1076" s="16">
        <v>991.26239999999996</v>
      </c>
      <c r="K1076" s="19">
        <f t="shared" si="80"/>
        <v>991953.11320000037</v>
      </c>
      <c r="L1076" s="22">
        <f t="shared" si="81"/>
        <v>1071.2236643628514</v>
      </c>
      <c r="M1076" s="22">
        <f t="shared" si="82"/>
        <v>321</v>
      </c>
      <c r="N1076" s="22" t="str">
        <f t="shared" si="83"/>
        <v>Low Value</v>
      </c>
      <c r="O1076" s="22" t="str">
        <f t="shared" si="84"/>
        <v>May-2024</v>
      </c>
      <c r="P1076" s="22" t="s">
        <v>1781</v>
      </c>
      <c r="Q1076" s="22" t="s">
        <v>1536</v>
      </c>
      <c r="R1076" s="22" t="s">
        <v>1131</v>
      </c>
      <c r="S1076" s="22"/>
      <c r="T1076" s="22"/>
      <c r="V1076" s="26" t="s">
        <v>1936</v>
      </c>
      <c r="W1076" s="6">
        <v>3</v>
      </c>
    </row>
    <row r="1077" spans="1:23">
      <c r="A1077" t="s">
        <v>3014</v>
      </c>
      <c r="B1077" s="8">
        <v>45593</v>
      </c>
      <c r="C1077" t="s">
        <v>949</v>
      </c>
      <c r="D1077" t="s">
        <v>1807</v>
      </c>
      <c r="E1077" t="s">
        <v>1914</v>
      </c>
      <c r="F1077">
        <v>4</v>
      </c>
      <c r="G1077" s="10">
        <v>604.87</v>
      </c>
      <c r="H1077" s="13">
        <v>0.28000000000000003</v>
      </c>
      <c r="I1077" t="s">
        <v>1933</v>
      </c>
      <c r="J1077" s="16">
        <v>1742.0255999999999</v>
      </c>
      <c r="K1077" s="19">
        <f t="shared" si="80"/>
        <v>990961.85080000048</v>
      </c>
      <c r="L1077" s="22">
        <f t="shared" si="81"/>
        <v>1071.3101089729735</v>
      </c>
      <c r="M1077" s="22">
        <f t="shared" si="82"/>
        <v>321</v>
      </c>
      <c r="N1077" s="22" t="str">
        <f t="shared" si="83"/>
        <v>High Value</v>
      </c>
      <c r="O1077" s="22" t="str">
        <f t="shared" si="84"/>
        <v>Oct-2024</v>
      </c>
      <c r="P1077" s="22" t="s">
        <v>1808</v>
      </c>
      <c r="Q1077" s="22" t="s">
        <v>1560</v>
      </c>
      <c r="R1077" s="22" t="s">
        <v>950</v>
      </c>
      <c r="S1077" s="22"/>
      <c r="T1077" s="22"/>
      <c r="V1077" s="26" t="s">
        <v>1933</v>
      </c>
      <c r="W1077" s="6">
        <v>8</v>
      </c>
    </row>
    <row r="1078" spans="1:23">
      <c r="A1078" t="s">
        <v>3015</v>
      </c>
      <c r="B1078" s="8">
        <v>45370</v>
      </c>
      <c r="C1078" t="s">
        <v>174</v>
      </c>
      <c r="D1078" t="s">
        <v>1649</v>
      </c>
      <c r="E1078" t="s">
        <v>1914</v>
      </c>
      <c r="F1078">
        <v>3</v>
      </c>
      <c r="G1078" s="10">
        <v>623.82000000000005</v>
      </c>
      <c r="H1078" s="13">
        <v>0.13</v>
      </c>
      <c r="I1078" t="s">
        <v>1936</v>
      </c>
      <c r="J1078" s="16">
        <v>1628.1702</v>
      </c>
      <c r="K1078" s="19">
        <f t="shared" si="80"/>
        <v>989219.82520000043</v>
      </c>
      <c r="L1078" s="22">
        <f t="shared" si="81"/>
        <v>1070.584226406927</v>
      </c>
      <c r="M1078" s="22">
        <f t="shared" si="82"/>
        <v>320</v>
      </c>
      <c r="N1078" s="22" t="str">
        <f t="shared" si="83"/>
        <v>High Value</v>
      </c>
      <c r="O1078" s="22" t="str">
        <f t="shared" si="84"/>
        <v>Mar-2024</v>
      </c>
      <c r="P1078" s="22" t="s">
        <v>1650</v>
      </c>
      <c r="Q1078" s="22" t="s">
        <v>1560</v>
      </c>
      <c r="R1078" s="22" t="s">
        <v>3944</v>
      </c>
      <c r="S1078" s="22"/>
      <c r="T1078" s="22"/>
      <c r="V1078" s="25" t="s">
        <v>44</v>
      </c>
      <c r="W1078" s="6">
        <v>6</v>
      </c>
    </row>
    <row r="1079" spans="1:23">
      <c r="A1079" t="s">
        <v>3016</v>
      </c>
      <c r="B1079" s="8">
        <v>45882</v>
      </c>
      <c r="C1079" t="s">
        <v>468</v>
      </c>
      <c r="D1079" t="s">
        <v>1768</v>
      </c>
      <c r="E1079" t="s">
        <v>1911</v>
      </c>
      <c r="F1079">
        <v>3</v>
      </c>
      <c r="G1079" s="10">
        <v>575.24</v>
      </c>
      <c r="H1079" s="13">
        <v>0.12</v>
      </c>
      <c r="I1079" t="s">
        <v>1936</v>
      </c>
      <c r="J1079" s="16">
        <v>1518.6335999999999</v>
      </c>
      <c r="K1079" s="19">
        <f t="shared" si="80"/>
        <v>987591.65500000038</v>
      </c>
      <c r="L1079" s="22">
        <f t="shared" si="81"/>
        <v>1069.9801245937165</v>
      </c>
      <c r="M1079" s="22">
        <f t="shared" si="82"/>
        <v>320</v>
      </c>
      <c r="N1079" s="22" t="str">
        <f t="shared" si="83"/>
        <v>High Value</v>
      </c>
      <c r="O1079" s="22" t="str">
        <f t="shared" si="84"/>
        <v>Aug-2025</v>
      </c>
      <c r="P1079" s="22" t="s">
        <v>1769</v>
      </c>
      <c r="Q1079" s="22" t="s">
        <v>1555</v>
      </c>
      <c r="R1079" s="22" t="s">
        <v>469</v>
      </c>
      <c r="S1079" s="22"/>
      <c r="T1079" s="22"/>
      <c r="V1079" s="26" t="s">
        <v>1936</v>
      </c>
      <c r="W1079" s="6">
        <v>1</v>
      </c>
    </row>
    <row r="1080" spans="1:23">
      <c r="A1080" t="s">
        <v>3017</v>
      </c>
      <c r="B1080" s="8">
        <v>45878</v>
      </c>
      <c r="C1080" t="s">
        <v>1279</v>
      </c>
      <c r="D1080" t="s">
        <v>1545</v>
      </c>
      <c r="E1080" t="s">
        <v>1899</v>
      </c>
      <c r="F1080">
        <v>1</v>
      </c>
      <c r="G1080" s="10">
        <v>769.4</v>
      </c>
      <c r="H1080" s="13">
        <v>0.16</v>
      </c>
      <c r="I1080" t="s">
        <v>1931</v>
      </c>
      <c r="J1080" s="16">
        <v>646.29599999999994</v>
      </c>
      <c r="K1080" s="19">
        <f t="shared" si="80"/>
        <v>986073.02140000055</v>
      </c>
      <c r="L1080" s="22">
        <f t="shared" si="81"/>
        <v>1069.4935156182219</v>
      </c>
      <c r="M1080" s="22">
        <f t="shared" si="82"/>
        <v>320</v>
      </c>
      <c r="N1080" s="22" t="str">
        <f t="shared" si="83"/>
        <v>Low Value</v>
      </c>
      <c r="O1080" s="22" t="str">
        <f t="shared" si="84"/>
        <v>Aug-2025</v>
      </c>
      <c r="P1080" s="22" t="s">
        <v>1546</v>
      </c>
      <c r="Q1080" s="22" t="s">
        <v>1536</v>
      </c>
      <c r="R1080" s="22" t="s">
        <v>1280</v>
      </c>
      <c r="S1080" s="22"/>
      <c r="T1080" s="22"/>
      <c r="V1080" s="26" t="s">
        <v>1931</v>
      </c>
      <c r="W1080" s="6">
        <v>3</v>
      </c>
    </row>
    <row r="1081" spans="1:23">
      <c r="A1081" t="s">
        <v>3018</v>
      </c>
      <c r="B1081" s="8">
        <v>45420</v>
      </c>
      <c r="C1081" t="s">
        <v>1031</v>
      </c>
      <c r="D1081" t="s">
        <v>1545</v>
      </c>
      <c r="E1081" t="s">
        <v>1914</v>
      </c>
      <c r="F1081">
        <v>1</v>
      </c>
      <c r="G1081" s="10">
        <v>227.28</v>
      </c>
      <c r="H1081" s="13">
        <v>0.13</v>
      </c>
      <c r="I1081" t="s">
        <v>1936</v>
      </c>
      <c r="J1081" s="16">
        <v>197.7336</v>
      </c>
      <c r="K1081" s="19">
        <f t="shared" si="80"/>
        <v>985426.72540000046</v>
      </c>
      <c r="L1081" s="22">
        <f t="shared" si="81"/>
        <v>1069.953013463627</v>
      </c>
      <c r="M1081" s="22">
        <f t="shared" si="82"/>
        <v>320</v>
      </c>
      <c r="N1081" s="22" t="str">
        <f t="shared" si="83"/>
        <v>Low Value</v>
      </c>
      <c r="O1081" s="22" t="str">
        <f t="shared" si="84"/>
        <v>May-2024</v>
      </c>
      <c r="P1081" s="22" t="s">
        <v>1546</v>
      </c>
      <c r="Q1081" s="22" t="s">
        <v>1536</v>
      </c>
      <c r="R1081" s="22" t="s">
        <v>1032</v>
      </c>
      <c r="S1081" s="22"/>
      <c r="T1081" s="22"/>
      <c r="V1081" s="26" t="s">
        <v>1933</v>
      </c>
      <c r="W1081" s="6">
        <v>2</v>
      </c>
    </row>
    <row r="1082" spans="1:23">
      <c r="A1082" t="s">
        <v>3019</v>
      </c>
      <c r="B1082" s="8">
        <v>45361</v>
      </c>
      <c r="C1082" t="s">
        <v>192</v>
      </c>
      <c r="D1082" t="s">
        <v>1539</v>
      </c>
      <c r="E1082" t="s">
        <v>1914</v>
      </c>
      <c r="F1082">
        <v>4</v>
      </c>
      <c r="G1082" s="10">
        <v>127.58</v>
      </c>
      <c r="H1082" s="13">
        <v>0.15</v>
      </c>
      <c r="I1082" t="s">
        <v>1931</v>
      </c>
      <c r="J1082" s="16">
        <v>433.77199999999999</v>
      </c>
      <c r="K1082" s="19">
        <f t="shared" si="80"/>
        <v>985228.99180000031</v>
      </c>
      <c r="L1082" s="22">
        <f t="shared" si="81"/>
        <v>1070.9010780434785</v>
      </c>
      <c r="M1082" s="22">
        <f t="shared" si="82"/>
        <v>320</v>
      </c>
      <c r="N1082" s="22" t="str">
        <f t="shared" si="83"/>
        <v>Low Value</v>
      </c>
      <c r="O1082" s="22" t="str">
        <f t="shared" si="84"/>
        <v>Mar-2024</v>
      </c>
      <c r="P1082" s="22" t="s">
        <v>1540</v>
      </c>
      <c r="Q1082" s="22" t="s">
        <v>1536</v>
      </c>
      <c r="R1082" s="22" t="s">
        <v>193</v>
      </c>
      <c r="S1082" s="22"/>
      <c r="T1082" s="22"/>
      <c r="V1082" s="25" t="s">
        <v>1280</v>
      </c>
      <c r="W1082" s="6">
        <v>1</v>
      </c>
    </row>
    <row r="1083" spans="1:23">
      <c r="A1083" t="s">
        <v>3020</v>
      </c>
      <c r="B1083" s="8">
        <v>45702</v>
      </c>
      <c r="C1083" t="s">
        <v>1291</v>
      </c>
      <c r="D1083" t="s">
        <v>1684</v>
      </c>
      <c r="E1083" t="s">
        <v>1873</v>
      </c>
      <c r="F1083">
        <v>1</v>
      </c>
      <c r="G1083" s="10">
        <v>793.21</v>
      </c>
      <c r="H1083" s="13">
        <v>0.09</v>
      </c>
      <c r="I1083" t="s">
        <v>1931</v>
      </c>
      <c r="J1083" s="16">
        <v>721.8211</v>
      </c>
      <c r="K1083" s="19">
        <f t="shared" si="80"/>
        <v>984795.21980000043</v>
      </c>
      <c r="L1083" s="22">
        <f t="shared" si="81"/>
        <v>1071.5943632208928</v>
      </c>
      <c r="M1083" s="22">
        <f t="shared" si="82"/>
        <v>320</v>
      </c>
      <c r="N1083" s="22" t="str">
        <f t="shared" si="83"/>
        <v>Low Value</v>
      </c>
      <c r="O1083" s="22" t="str">
        <f t="shared" si="84"/>
        <v>Feb-2025</v>
      </c>
      <c r="P1083" s="22" t="s">
        <v>1685</v>
      </c>
      <c r="Q1083" s="22" t="s">
        <v>1569</v>
      </c>
      <c r="R1083" s="22" t="s">
        <v>1292</v>
      </c>
      <c r="S1083" s="22"/>
      <c r="T1083" s="22"/>
      <c r="V1083" s="26" t="s">
        <v>1931</v>
      </c>
      <c r="W1083" s="6">
        <v>1</v>
      </c>
    </row>
    <row r="1084" spans="1:23">
      <c r="A1084" t="s">
        <v>3021</v>
      </c>
      <c r="B1084" s="8">
        <v>45871</v>
      </c>
      <c r="C1084" t="s">
        <v>949</v>
      </c>
      <c r="D1084" t="s">
        <v>1804</v>
      </c>
      <c r="E1084" t="s">
        <v>1901</v>
      </c>
      <c r="F1084">
        <v>3</v>
      </c>
      <c r="G1084" s="10">
        <v>435.61</v>
      </c>
      <c r="H1084" s="13">
        <v>0.03</v>
      </c>
      <c r="I1084" t="s">
        <v>1933</v>
      </c>
      <c r="J1084" s="16">
        <v>1267.6251</v>
      </c>
      <c r="K1084" s="19">
        <f t="shared" si="80"/>
        <v>984073.39870000037</v>
      </c>
      <c r="L1084" s="22">
        <f t="shared" si="81"/>
        <v>1071.9753798474949</v>
      </c>
      <c r="M1084" s="22">
        <f t="shared" si="82"/>
        <v>320</v>
      </c>
      <c r="N1084" s="22" t="str">
        <f t="shared" si="83"/>
        <v>High Value</v>
      </c>
      <c r="O1084" s="22" t="str">
        <f t="shared" si="84"/>
        <v>Aug-2025</v>
      </c>
      <c r="P1084" s="22" t="s">
        <v>1805</v>
      </c>
      <c r="Q1084" s="22" t="s">
        <v>1555</v>
      </c>
      <c r="R1084" s="22" t="s">
        <v>950</v>
      </c>
      <c r="S1084" s="22"/>
      <c r="T1084" s="22"/>
      <c r="V1084" s="25" t="s">
        <v>419</v>
      </c>
      <c r="W1084" s="6">
        <v>12</v>
      </c>
    </row>
    <row r="1085" spans="1:23">
      <c r="A1085" t="s">
        <v>3022</v>
      </c>
      <c r="B1085" s="8">
        <v>45531</v>
      </c>
      <c r="C1085" t="s">
        <v>1196</v>
      </c>
      <c r="D1085" t="s">
        <v>1636</v>
      </c>
      <c r="E1085" t="s">
        <v>1911</v>
      </c>
      <c r="F1085">
        <v>1</v>
      </c>
      <c r="G1085" s="10">
        <v>850.06</v>
      </c>
      <c r="H1085" s="13">
        <v>0.28999999999999998</v>
      </c>
      <c r="I1085" t="s">
        <v>1933</v>
      </c>
      <c r="J1085" s="16">
        <v>603.54259999999988</v>
      </c>
      <c r="K1085" s="19">
        <f t="shared" si="80"/>
        <v>982805.77360000031</v>
      </c>
      <c r="L1085" s="22">
        <f t="shared" si="81"/>
        <v>1071.7620213740461</v>
      </c>
      <c r="M1085" s="22">
        <f t="shared" si="82"/>
        <v>319</v>
      </c>
      <c r="N1085" s="22" t="str">
        <f t="shared" si="83"/>
        <v>Low Value</v>
      </c>
      <c r="O1085" s="22" t="str">
        <f t="shared" si="84"/>
        <v>Aug-2024</v>
      </c>
      <c r="P1085" s="22" t="s">
        <v>1637</v>
      </c>
      <c r="Q1085" s="22" t="s">
        <v>1560</v>
      </c>
      <c r="R1085" s="22" t="s">
        <v>1197</v>
      </c>
      <c r="S1085" s="22"/>
      <c r="T1085" s="22"/>
      <c r="V1085" s="26" t="s">
        <v>1936</v>
      </c>
      <c r="W1085" s="6">
        <v>9</v>
      </c>
    </row>
    <row r="1086" spans="1:23">
      <c r="A1086" t="s">
        <v>3023</v>
      </c>
      <c r="B1086" s="8">
        <v>45330</v>
      </c>
      <c r="C1086" t="s">
        <v>1085</v>
      </c>
      <c r="D1086" t="s">
        <v>1970</v>
      </c>
      <c r="E1086" t="s">
        <v>1911</v>
      </c>
      <c r="F1086">
        <v>2</v>
      </c>
      <c r="G1086" s="10">
        <v>753.92</v>
      </c>
      <c r="H1086" s="13">
        <v>0.17</v>
      </c>
      <c r="I1086" t="s">
        <v>1933</v>
      </c>
      <c r="J1086" s="16">
        <v>1251.5072</v>
      </c>
      <c r="K1086" s="19">
        <f t="shared" si="80"/>
        <v>982202.23100000026</v>
      </c>
      <c r="L1086" s="22">
        <f t="shared" si="81"/>
        <v>1072.2731779475985</v>
      </c>
      <c r="M1086" s="22">
        <f t="shared" si="82"/>
        <v>318</v>
      </c>
      <c r="N1086" s="22" t="str">
        <f t="shared" si="83"/>
        <v>High Value</v>
      </c>
      <c r="O1086" s="22" t="str">
        <f t="shared" si="84"/>
        <v>Feb-2024</v>
      </c>
      <c r="P1086" s="22" t="s">
        <v>1594</v>
      </c>
      <c r="Q1086" s="22" t="s">
        <v>1555</v>
      </c>
      <c r="R1086" s="22" t="s">
        <v>3954</v>
      </c>
      <c r="S1086" s="22"/>
      <c r="T1086" s="22"/>
      <c r="V1086" s="26" t="s">
        <v>1931</v>
      </c>
      <c r="W1086" s="6">
        <v>3</v>
      </c>
    </row>
    <row r="1087" spans="1:23">
      <c r="A1087" t="s">
        <v>3024</v>
      </c>
      <c r="B1087" s="8">
        <v>45311</v>
      </c>
      <c r="C1087" t="s">
        <v>1489</v>
      </c>
      <c r="D1087" t="s">
        <v>1545</v>
      </c>
      <c r="E1087" t="s">
        <v>1904</v>
      </c>
      <c r="F1087">
        <v>3</v>
      </c>
      <c r="G1087" s="10">
        <v>408.99</v>
      </c>
      <c r="H1087" s="13">
        <v>0.27</v>
      </c>
      <c r="I1087" t="s">
        <v>1933</v>
      </c>
      <c r="J1087" s="16">
        <v>895.68809999999996</v>
      </c>
      <c r="K1087" s="19">
        <f t="shared" si="80"/>
        <v>980950.72380000039</v>
      </c>
      <c r="L1087" s="22">
        <f t="shared" si="81"/>
        <v>1072.0772937704921</v>
      </c>
      <c r="M1087" s="22">
        <f t="shared" si="82"/>
        <v>317</v>
      </c>
      <c r="N1087" s="22" t="str">
        <f t="shared" si="83"/>
        <v>Low Value</v>
      </c>
      <c r="O1087" s="22" t="str">
        <f t="shared" si="84"/>
        <v>Jan-2024</v>
      </c>
      <c r="P1087" s="22" t="s">
        <v>1546</v>
      </c>
      <c r="Q1087" s="22" t="s">
        <v>1536</v>
      </c>
      <c r="R1087" s="22" t="s">
        <v>1490</v>
      </c>
      <c r="S1087" s="22"/>
      <c r="T1087" s="22"/>
      <c r="V1087" s="25" t="s">
        <v>507</v>
      </c>
      <c r="W1087" s="6">
        <v>10</v>
      </c>
    </row>
    <row r="1088" spans="1:23">
      <c r="A1088" t="s">
        <v>3025</v>
      </c>
      <c r="B1088" s="8">
        <v>45567</v>
      </c>
      <c r="C1088" t="s">
        <v>904</v>
      </c>
      <c r="D1088" t="s">
        <v>1725</v>
      </c>
      <c r="E1088" t="s">
        <v>1880</v>
      </c>
      <c r="F1088">
        <v>3</v>
      </c>
      <c r="G1088" s="10">
        <v>404.5</v>
      </c>
      <c r="H1088" s="13">
        <v>0.22</v>
      </c>
      <c r="I1088" t="s">
        <v>1933</v>
      </c>
      <c r="J1088" s="16">
        <v>946.53000000000009</v>
      </c>
      <c r="K1088" s="19">
        <f t="shared" si="80"/>
        <v>980055.03570000024</v>
      </c>
      <c r="L1088" s="22">
        <f t="shared" si="81"/>
        <v>1072.2702797593001</v>
      </c>
      <c r="M1088" s="22">
        <f t="shared" si="82"/>
        <v>316</v>
      </c>
      <c r="N1088" s="22" t="str">
        <f t="shared" si="83"/>
        <v>Low Value</v>
      </c>
      <c r="O1088" s="22" t="str">
        <f t="shared" si="84"/>
        <v>Oct-2024</v>
      </c>
      <c r="P1088" s="22" t="s">
        <v>1726</v>
      </c>
      <c r="Q1088" s="22" t="s">
        <v>1569</v>
      </c>
      <c r="R1088" s="22" t="s">
        <v>905</v>
      </c>
      <c r="S1088" s="22"/>
      <c r="T1088" s="22"/>
      <c r="V1088" s="26" t="s">
        <v>1936</v>
      </c>
      <c r="W1088" s="6">
        <v>4</v>
      </c>
    </row>
    <row r="1089" spans="1:23">
      <c r="A1089" t="s">
        <v>3026</v>
      </c>
      <c r="B1089" s="8">
        <v>45239</v>
      </c>
      <c r="C1089" t="s">
        <v>1181</v>
      </c>
      <c r="D1089" t="s">
        <v>1668</v>
      </c>
      <c r="E1089" t="s">
        <v>1873</v>
      </c>
      <c r="F1089">
        <v>3</v>
      </c>
      <c r="G1089" s="10">
        <v>717.81</v>
      </c>
      <c r="H1089" s="13">
        <v>0.17</v>
      </c>
      <c r="I1089" t="s">
        <v>1936</v>
      </c>
      <c r="J1089" s="16">
        <v>1787.3469</v>
      </c>
      <c r="K1089" s="19">
        <f t="shared" si="80"/>
        <v>979108.50570000021</v>
      </c>
      <c r="L1089" s="22">
        <f t="shared" si="81"/>
        <v>1072.4080018619936</v>
      </c>
      <c r="M1089" s="22">
        <f t="shared" si="82"/>
        <v>315</v>
      </c>
      <c r="N1089" s="22" t="str">
        <f t="shared" si="83"/>
        <v>High Value</v>
      </c>
      <c r="O1089" s="22" t="str">
        <f t="shared" si="84"/>
        <v>Nov-2023</v>
      </c>
      <c r="P1089" s="22" t="s">
        <v>1669</v>
      </c>
      <c r="Q1089" s="22" t="s">
        <v>1531</v>
      </c>
      <c r="R1089" s="22" t="s">
        <v>1182</v>
      </c>
      <c r="S1089" s="22"/>
      <c r="T1089" s="22"/>
      <c r="V1089" s="26" t="s">
        <v>1933</v>
      </c>
      <c r="W1089" s="6">
        <v>6</v>
      </c>
    </row>
    <row r="1090" spans="1:23">
      <c r="A1090" t="s">
        <v>3027</v>
      </c>
      <c r="B1090" s="8">
        <v>45284</v>
      </c>
      <c r="C1090" t="s">
        <v>804</v>
      </c>
      <c r="D1090" t="s">
        <v>1807</v>
      </c>
      <c r="E1090" t="s">
        <v>1864</v>
      </c>
      <c r="F1090">
        <v>3</v>
      </c>
      <c r="G1090" s="10">
        <v>204.77</v>
      </c>
      <c r="H1090" s="13">
        <v>0.14000000000000001</v>
      </c>
      <c r="I1090" t="s">
        <v>1931</v>
      </c>
      <c r="J1090" s="16">
        <v>528.3066</v>
      </c>
      <c r="K1090" s="19">
        <f t="shared" ref="K1090:K1153" si="85">SUM(J1090:J3089)</f>
        <v>977321.15880000044</v>
      </c>
      <c r="L1090" s="22">
        <f t="shared" ref="L1090:L1153" si="86">AVERAGE(J1090:J3089)</f>
        <v>1071.6240776315794</v>
      </c>
      <c r="M1090" s="22">
        <f t="shared" ref="M1090:M1153" si="87">COUNTIF(I1090:I3089,"PayPal")</f>
        <v>315</v>
      </c>
      <c r="N1090" s="22" t="str">
        <f t="shared" ref="N1090:N1153" si="88">IF(J1090&gt;=1000,"High Value","Low Value")</f>
        <v>Low Value</v>
      </c>
      <c r="O1090" s="22" t="str">
        <f t="shared" ref="O1090:O1153" si="89">TEXT(B1090,"mmm-yyyy")</f>
        <v>Dec-2023</v>
      </c>
      <c r="P1090" s="22" t="s">
        <v>1808</v>
      </c>
      <c r="Q1090" s="22" t="s">
        <v>1560</v>
      </c>
      <c r="R1090" s="22" t="s">
        <v>805</v>
      </c>
      <c r="S1090" s="22"/>
      <c r="T1090" s="22"/>
      <c r="V1090" s="25" t="s">
        <v>1431</v>
      </c>
      <c r="W1090" s="6">
        <v>9</v>
      </c>
    </row>
    <row r="1091" spans="1:23">
      <c r="A1091" t="s">
        <v>3028</v>
      </c>
      <c r="B1091" s="8">
        <v>45686</v>
      </c>
      <c r="C1091" t="s">
        <v>152</v>
      </c>
      <c r="D1091" t="s">
        <v>1697</v>
      </c>
      <c r="E1091" t="s">
        <v>1917</v>
      </c>
      <c r="F1091">
        <v>4</v>
      </c>
      <c r="G1091" s="10">
        <v>106.23</v>
      </c>
      <c r="H1091" s="13">
        <v>0.28000000000000003</v>
      </c>
      <c r="I1091" t="s">
        <v>1936</v>
      </c>
      <c r="J1091" s="16">
        <v>305.94240000000002</v>
      </c>
      <c r="K1091" s="19">
        <f t="shared" si="85"/>
        <v>976792.85220000043</v>
      </c>
      <c r="L1091" s="22">
        <f t="shared" si="86"/>
        <v>1072.2204744237106</v>
      </c>
      <c r="M1091" s="22">
        <f t="shared" si="87"/>
        <v>315</v>
      </c>
      <c r="N1091" s="22" t="str">
        <f t="shared" si="88"/>
        <v>Low Value</v>
      </c>
      <c r="O1091" s="22" t="str">
        <f t="shared" si="89"/>
        <v>Jan-2025</v>
      </c>
      <c r="P1091" s="22" t="s">
        <v>1698</v>
      </c>
      <c r="Q1091" s="22" t="s">
        <v>1531</v>
      </c>
      <c r="R1091" s="22" t="s">
        <v>153</v>
      </c>
      <c r="S1091" s="22"/>
      <c r="T1091" s="22"/>
      <c r="V1091" s="26" t="s">
        <v>1931</v>
      </c>
      <c r="W1091" s="6">
        <v>5</v>
      </c>
    </row>
    <row r="1092" spans="1:23">
      <c r="A1092" t="s">
        <v>3029</v>
      </c>
      <c r="B1092" s="8">
        <v>45824</v>
      </c>
      <c r="C1092" t="s">
        <v>1019</v>
      </c>
      <c r="D1092" t="s">
        <v>1752</v>
      </c>
      <c r="E1092" t="s">
        <v>1880</v>
      </c>
      <c r="F1092">
        <v>2</v>
      </c>
      <c r="G1092" s="10">
        <v>769.48</v>
      </c>
      <c r="H1092" s="13">
        <v>0.11</v>
      </c>
      <c r="I1092" t="s">
        <v>1933</v>
      </c>
      <c r="J1092" s="16">
        <v>1369.6744000000001</v>
      </c>
      <c r="K1092" s="19">
        <f t="shared" si="85"/>
        <v>976486.90980000037</v>
      </c>
      <c r="L1092" s="22">
        <f t="shared" si="86"/>
        <v>1073.0625382417586</v>
      </c>
      <c r="M1092" s="22">
        <f t="shared" si="87"/>
        <v>315</v>
      </c>
      <c r="N1092" s="22" t="str">
        <f t="shared" si="88"/>
        <v>High Value</v>
      </c>
      <c r="O1092" s="22" t="str">
        <f t="shared" si="89"/>
        <v>Jun-2025</v>
      </c>
      <c r="P1092" s="22" t="s">
        <v>1753</v>
      </c>
      <c r="Q1092" s="22" t="s">
        <v>1555</v>
      </c>
      <c r="R1092" s="22" t="s">
        <v>1020</v>
      </c>
      <c r="S1092" s="22"/>
      <c r="T1092" s="22"/>
      <c r="V1092" s="26" t="s">
        <v>1933</v>
      </c>
      <c r="W1092" s="6">
        <v>4</v>
      </c>
    </row>
    <row r="1093" spans="1:23">
      <c r="A1093" t="s">
        <v>3030</v>
      </c>
      <c r="B1093" s="8">
        <v>45867</v>
      </c>
      <c r="C1093" t="s">
        <v>815</v>
      </c>
      <c r="D1093" t="s">
        <v>1725</v>
      </c>
      <c r="E1093" t="s">
        <v>1904</v>
      </c>
      <c r="F1093">
        <v>2</v>
      </c>
      <c r="G1093" s="10">
        <v>714.21</v>
      </c>
      <c r="H1093" s="13">
        <v>0.14000000000000001</v>
      </c>
      <c r="I1093" t="s">
        <v>1931</v>
      </c>
      <c r="J1093" s="16">
        <v>1228.4412</v>
      </c>
      <c r="K1093" s="19">
        <f t="shared" si="85"/>
        <v>975117.23540000047</v>
      </c>
      <c r="L1093" s="22">
        <f t="shared" si="86"/>
        <v>1072.7362325632569</v>
      </c>
      <c r="M1093" s="22">
        <f t="shared" si="87"/>
        <v>314</v>
      </c>
      <c r="N1093" s="22" t="str">
        <f t="shared" si="88"/>
        <v>High Value</v>
      </c>
      <c r="O1093" s="22" t="str">
        <f t="shared" si="89"/>
        <v>Jul-2025</v>
      </c>
      <c r="P1093" s="22" t="s">
        <v>1726</v>
      </c>
      <c r="Q1093" s="22" t="s">
        <v>1569</v>
      </c>
      <c r="R1093" s="22" t="s">
        <v>816</v>
      </c>
      <c r="S1093" s="22"/>
      <c r="T1093" s="22"/>
      <c r="V1093" s="25" t="s">
        <v>1155</v>
      </c>
      <c r="W1093" s="6">
        <v>24</v>
      </c>
    </row>
    <row r="1094" spans="1:23">
      <c r="A1094" t="s">
        <v>3031</v>
      </c>
      <c r="B1094" s="8">
        <v>45578</v>
      </c>
      <c r="C1094" t="s">
        <v>863</v>
      </c>
      <c r="D1094" t="s">
        <v>1576</v>
      </c>
      <c r="E1094" t="s">
        <v>1908</v>
      </c>
      <c r="F1094">
        <v>4</v>
      </c>
      <c r="G1094" s="10">
        <v>632.24</v>
      </c>
      <c r="H1094" s="13">
        <v>0.25</v>
      </c>
      <c r="I1094" t="s">
        <v>1933</v>
      </c>
      <c r="J1094" s="16">
        <v>1896.72</v>
      </c>
      <c r="K1094" s="19">
        <f t="shared" si="85"/>
        <v>973888.79420000024</v>
      </c>
      <c r="L1094" s="22">
        <f t="shared" si="86"/>
        <v>1072.5647513215861</v>
      </c>
      <c r="M1094" s="22">
        <f t="shared" si="87"/>
        <v>314</v>
      </c>
      <c r="N1094" s="22" t="str">
        <f t="shared" si="88"/>
        <v>High Value</v>
      </c>
      <c r="O1094" s="22" t="str">
        <f t="shared" si="89"/>
        <v>Oct-2024</v>
      </c>
      <c r="P1094" s="22" t="s">
        <v>1577</v>
      </c>
      <c r="Q1094" s="22" t="s">
        <v>1531</v>
      </c>
      <c r="R1094" s="22" t="s">
        <v>3950</v>
      </c>
      <c r="S1094" s="22"/>
      <c r="T1094" s="22"/>
      <c r="V1094" s="26" t="s">
        <v>1936</v>
      </c>
      <c r="W1094" s="6">
        <v>4</v>
      </c>
    </row>
    <row r="1095" spans="1:23">
      <c r="A1095" t="s">
        <v>3032</v>
      </c>
      <c r="B1095" s="8">
        <v>45575</v>
      </c>
      <c r="C1095" t="s">
        <v>536</v>
      </c>
      <c r="D1095" t="s">
        <v>1789</v>
      </c>
      <c r="E1095" t="s">
        <v>1873</v>
      </c>
      <c r="F1095">
        <v>2</v>
      </c>
      <c r="G1095" s="10">
        <v>845.27</v>
      </c>
      <c r="H1095" s="13">
        <v>0.18</v>
      </c>
      <c r="I1095" t="s">
        <v>1933</v>
      </c>
      <c r="J1095" s="16">
        <v>1386.2428</v>
      </c>
      <c r="K1095" s="19">
        <f t="shared" si="85"/>
        <v>971992.07420000026</v>
      </c>
      <c r="L1095" s="22">
        <f t="shared" si="86"/>
        <v>1071.6560906284458</v>
      </c>
      <c r="M1095" s="22">
        <f t="shared" si="87"/>
        <v>313</v>
      </c>
      <c r="N1095" s="22" t="str">
        <f t="shared" si="88"/>
        <v>High Value</v>
      </c>
      <c r="O1095" s="22" t="str">
        <f t="shared" si="89"/>
        <v>Oct-2024</v>
      </c>
      <c r="P1095" s="22" t="s">
        <v>1790</v>
      </c>
      <c r="Q1095" s="22" t="s">
        <v>1560</v>
      </c>
      <c r="R1095" s="22" t="s">
        <v>537</v>
      </c>
      <c r="S1095" s="22"/>
      <c r="T1095" s="22"/>
      <c r="V1095" s="26" t="s">
        <v>1931</v>
      </c>
      <c r="W1095" s="6">
        <v>8</v>
      </c>
    </row>
    <row r="1096" spans="1:23">
      <c r="A1096" t="s">
        <v>3033</v>
      </c>
      <c r="B1096" s="8">
        <v>45816</v>
      </c>
      <c r="C1096" t="s">
        <v>1514</v>
      </c>
      <c r="D1096" t="s">
        <v>1816</v>
      </c>
      <c r="E1096" t="s">
        <v>1904</v>
      </c>
      <c r="F1096">
        <v>1</v>
      </c>
      <c r="G1096" s="10">
        <v>575.94000000000005</v>
      </c>
      <c r="H1096" s="13">
        <v>0.17</v>
      </c>
      <c r="I1096" t="s">
        <v>1931</v>
      </c>
      <c r="J1096" s="16">
        <v>478.03019999999998</v>
      </c>
      <c r="K1096" s="19">
        <f t="shared" si="85"/>
        <v>970605.83140000037</v>
      </c>
      <c r="L1096" s="22">
        <f t="shared" si="86"/>
        <v>1071.3088646799122</v>
      </c>
      <c r="M1096" s="22">
        <f t="shared" si="87"/>
        <v>312</v>
      </c>
      <c r="N1096" s="22" t="str">
        <f t="shared" si="88"/>
        <v>Low Value</v>
      </c>
      <c r="O1096" s="22" t="str">
        <f t="shared" si="89"/>
        <v>Jun-2025</v>
      </c>
      <c r="P1096" s="22" t="s">
        <v>1817</v>
      </c>
      <c r="Q1096" s="22" t="s">
        <v>1560</v>
      </c>
      <c r="R1096" s="22" t="s">
        <v>1515</v>
      </c>
      <c r="S1096" s="22"/>
      <c r="T1096" s="22"/>
      <c r="V1096" s="26" t="s">
        <v>1933</v>
      </c>
      <c r="W1096" s="6">
        <v>12</v>
      </c>
    </row>
    <row r="1097" spans="1:23">
      <c r="A1097" t="s">
        <v>3034</v>
      </c>
      <c r="B1097" s="8">
        <v>45620</v>
      </c>
      <c r="C1097" t="s">
        <v>804</v>
      </c>
      <c r="D1097" t="s">
        <v>1807</v>
      </c>
      <c r="E1097" t="s">
        <v>1908</v>
      </c>
      <c r="F1097">
        <v>1</v>
      </c>
      <c r="G1097" s="10">
        <v>907.97</v>
      </c>
      <c r="H1097" s="13">
        <v>0.26</v>
      </c>
      <c r="I1097" t="s">
        <v>1936</v>
      </c>
      <c r="J1097" s="16">
        <v>671.89779999999996</v>
      </c>
      <c r="K1097" s="19">
        <f t="shared" si="85"/>
        <v>970127.80120000045</v>
      </c>
      <c r="L1097" s="22">
        <f t="shared" si="86"/>
        <v>1071.9644212154701</v>
      </c>
      <c r="M1097" s="22">
        <f t="shared" si="87"/>
        <v>312</v>
      </c>
      <c r="N1097" s="22" t="str">
        <f t="shared" si="88"/>
        <v>Low Value</v>
      </c>
      <c r="O1097" s="22" t="str">
        <f t="shared" si="89"/>
        <v>Nov-2024</v>
      </c>
      <c r="P1097" s="22" t="s">
        <v>1808</v>
      </c>
      <c r="Q1097" s="22" t="s">
        <v>1560</v>
      </c>
      <c r="R1097" s="22" t="s">
        <v>805</v>
      </c>
      <c r="S1097" s="22"/>
      <c r="T1097" s="22"/>
      <c r="V1097" s="25" t="s">
        <v>1100</v>
      </c>
      <c r="W1097" s="6">
        <v>8</v>
      </c>
    </row>
    <row r="1098" spans="1:23">
      <c r="A1098" t="s">
        <v>3035</v>
      </c>
      <c r="B1098" s="8">
        <v>45695</v>
      </c>
      <c r="C1098" t="s">
        <v>849</v>
      </c>
      <c r="D1098" t="s">
        <v>1607</v>
      </c>
      <c r="E1098" t="s">
        <v>1901</v>
      </c>
      <c r="F1098">
        <v>1</v>
      </c>
      <c r="G1098" s="10">
        <v>99.35</v>
      </c>
      <c r="H1098" s="13">
        <v>0.08</v>
      </c>
      <c r="I1098" t="s">
        <v>1936</v>
      </c>
      <c r="J1098" s="16">
        <v>91.402000000000001</v>
      </c>
      <c r="K1098" s="19">
        <f t="shared" si="85"/>
        <v>969455.9034000003</v>
      </c>
      <c r="L1098" s="22">
        <f t="shared" si="86"/>
        <v>1072.406972787611</v>
      </c>
      <c r="M1098" s="22">
        <f t="shared" si="87"/>
        <v>312</v>
      </c>
      <c r="N1098" s="22" t="str">
        <f t="shared" si="88"/>
        <v>Low Value</v>
      </c>
      <c r="O1098" s="22" t="str">
        <f t="shared" si="89"/>
        <v>Feb-2025</v>
      </c>
      <c r="P1098" s="22" t="s">
        <v>1608</v>
      </c>
      <c r="Q1098" s="22" t="s">
        <v>1569</v>
      </c>
      <c r="R1098" s="22" t="s">
        <v>850</v>
      </c>
      <c r="S1098" s="22"/>
      <c r="T1098" s="22"/>
      <c r="V1098" s="26" t="s">
        <v>1936</v>
      </c>
      <c r="W1098" s="6">
        <v>2</v>
      </c>
    </row>
    <row r="1099" spans="1:23">
      <c r="A1099" t="s">
        <v>3036</v>
      </c>
      <c r="B1099" s="8">
        <v>45596</v>
      </c>
      <c r="C1099" t="s">
        <v>258</v>
      </c>
      <c r="D1099" t="s">
        <v>1529</v>
      </c>
      <c r="E1099" t="s">
        <v>1873</v>
      </c>
      <c r="F1099">
        <v>2</v>
      </c>
      <c r="G1099" s="10">
        <v>374.42</v>
      </c>
      <c r="H1099" s="13">
        <v>0.21</v>
      </c>
      <c r="I1099" t="s">
        <v>1936</v>
      </c>
      <c r="J1099" s="16">
        <v>591.58360000000005</v>
      </c>
      <c r="K1099" s="19">
        <f t="shared" si="85"/>
        <v>969364.5014000003</v>
      </c>
      <c r="L1099" s="22">
        <f t="shared" si="86"/>
        <v>1073.4933570321155</v>
      </c>
      <c r="M1099" s="22">
        <f t="shared" si="87"/>
        <v>312</v>
      </c>
      <c r="N1099" s="22" t="str">
        <f t="shared" si="88"/>
        <v>Low Value</v>
      </c>
      <c r="O1099" s="22" t="str">
        <f t="shared" si="89"/>
        <v>Oct-2024</v>
      </c>
      <c r="P1099" s="22" t="s">
        <v>1530</v>
      </c>
      <c r="Q1099" s="22" t="s">
        <v>1531</v>
      </c>
      <c r="R1099" s="22" t="s">
        <v>259</v>
      </c>
      <c r="S1099" s="22"/>
      <c r="T1099" s="22"/>
      <c r="V1099" s="26" t="s">
        <v>1931</v>
      </c>
      <c r="W1099" s="6">
        <v>3</v>
      </c>
    </row>
    <row r="1100" spans="1:23">
      <c r="A1100" t="s">
        <v>3037</v>
      </c>
      <c r="B1100" s="8">
        <v>45869</v>
      </c>
      <c r="C1100" t="s">
        <v>1470</v>
      </c>
      <c r="D1100" t="s">
        <v>1590</v>
      </c>
      <c r="E1100" t="s">
        <v>1908</v>
      </c>
      <c r="F1100">
        <v>3</v>
      </c>
      <c r="G1100" s="10">
        <v>248.43</v>
      </c>
      <c r="H1100" s="13">
        <v>0.24</v>
      </c>
      <c r="I1100" t="s">
        <v>1936</v>
      </c>
      <c r="J1100" s="16">
        <v>566.42039999999997</v>
      </c>
      <c r="K1100" s="19">
        <f t="shared" si="85"/>
        <v>968772.91780000052</v>
      </c>
      <c r="L1100" s="22">
        <f t="shared" si="86"/>
        <v>1074.027625055433</v>
      </c>
      <c r="M1100" s="22">
        <f t="shared" si="87"/>
        <v>312</v>
      </c>
      <c r="N1100" s="22" t="str">
        <f t="shared" si="88"/>
        <v>Low Value</v>
      </c>
      <c r="O1100" s="22" t="str">
        <f t="shared" si="89"/>
        <v>Jul-2025</v>
      </c>
      <c r="P1100" s="22" t="s">
        <v>1591</v>
      </c>
      <c r="Q1100" s="22" t="s">
        <v>1531</v>
      </c>
      <c r="R1100" s="22" t="s">
        <v>1471</v>
      </c>
      <c r="S1100" s="22"/>
      <c r="T1100" s="22"/>
      <c r="V1100" s="26" t="s">
        <v>1933</v>
      </c>
      <c r="W1100" s="6">
        <v>3</v>
      </c>
    </row>
    <row r="1101" spans="1:23">
      <c r="A1101" t="s">
        <v>3038</v>
      </c>
      <c r="B1101" s="8">
        <v>45631</v>
      </c>
      <c r="C1101" t="s">
        <v>1433</v>
      </c>
      <c r="D1101" t="s">
        <v>1810</v>
      </c>
      <c r="E1101" t="s">
        <v>1864</v>
      </c>
      <c r="F1101">
        <v>1</v>
      </c>
      <c r="G1101" s="10">
        <v>784.46</v>
      </c>
      <c r="H1101" s="13">
        <v>0.14000000000000001</v>
      </c>
      <c r="I1101" t="s">
        <v>1936</v>
      </c>
      <c r="J1101" s="16">
        <v>674.63560000000007</v>
      </c>
      <c r="K1101" s="19">
        <f t="shared" si="85"/>
        <v>968206.49740000034</v>
      </c>
      <c r="L1101" s="22">
        <f t="shared" si="86"/>
        <v>1074.591007103219</v>
      </c>
      <c r="M1101" s="22">
        <f t="shared" si="87"/>
        <v>312</v>
      </c>
      <c r="N1101" s="22" t="str">
        <f t="shared" si="88"/>
        <v>Low Value</v>
      </c>
      <c r="O1101" s="22" t="str">
        <f t="shared" si="89"/>
        <v>Dec-2024</v>
      </c>
      <c r="P1101" s="22" t="s">
        <v>1811</v>
      </c>
      <c r="Q1101" s="22" t="s">
        <v>1536</v>
      </c>
      <c r="R1101" s="22" t="s">
        <v>1434</v>
      </c>
      <c r="S1101" s="22"/>
      <c r="T1101" s="22"/>
      <c r="V1101" s="25" t="s">
        <v>410</v>
      </c>
      <c r="W1101" s="6">
        <v>18</v>
      </c>
    </row>
    <row r="1102" spans="1:23">
      <c r="A1102" t="s">
        <v>3039</v>
      </c>
      <c r="B1102" s="8">
        <v>45379</v>
      </c>
      <c r="C1102" t="s">
        <v>827</v>
      </c>
      <c r="D1102" t="s">
        <v>1710</v>
      </c>
      <c r="E1102" t="s">
        <v>1896</v>
      </c>
      <c r="F1102">
        <v>3</v>
      </c>
      <c r="G1102" s="10">
        <v>70.88</v>
      </c>
      <c r="H1102" s="13">
        <v>0.27</v>
      </c>
      <c r="I1102" t="s">
        <v>1936</v>
      </c>
      <c r="J1102" s="16">
        <v>155.22720000000001</v>
      </c>
      <c r="K1102" s="19">
        <f t="shared" si="85"/>
        <v>967531.86180000042</v>
      </c>
      <c r="L1102" s="22">
        <f t="shared" si="86"/>
        <v>1075.0354020000004</v>
      </c>
      <c r="M1102" s="22">
        <f t="shared" si="87"/>
        <v>312</v>
      </c>
      <c r="N1102" s="22" t="str">
        <f t="shared" si="88"/>
        <v>Low Value</v>
      </c>
      <c r="O1102" s="22" t="str">
        <f t="shared" si="89"/>
        <v>Mar-2024</v>
      </c>
      <c r="P1102" s="22" t="s">
        <v>1711</v>
      </c>
      <c r="Q1102" s="22" t="s">
        <v>1569</v>
      </c>
      <c r="R1102" s="22" t="s">
        <v>828</v>
      </c>
      <c r="S1102" s="22"/>
      <c r="T1102" s="22"/>
      <c r="V1102" s="26" t="s">
        <v>1936</v>
      </c>
      <c r="W1102" s="6">
        <v>5</v>
      </c>
    </row>
    <row r="1103" spans="1:23">
      <c r="A1103" t="s">
        <v>3040</v>
      </c>
      <c r="B1103" s="8">
        <v>45641</v>
      </c>
      <c r="C1103" t="s">
        <v>382</v>
      </c>
      <c r="D1103" t="s">
        <v>1563</v>
      </c>
      <c r="E1103" t="s">
        <v>1864</v>
      </c>
      <c r="F1103">
        <v>3</v>
      </c>
      <c r="G1103" s="10">
        <v>324.29000000000002</v>
      </c>
      <c r="H1103" s="13">
        <v>0.16</v>
      </c>
      <c r="I1103" t="s">
        <v>1936</v>
      </c>
      <c r="J1103" s="16">
        <v>817.21080000000006</v>
      </c>
      <c r="K1103" s="19">
        <f t="shared" si="85"/>
        <v>967376.63460000034</v>
      </c>
      <c r="L1103" s="22">
        <f t="shared" si="86"/>
        <v>1076.0585479421584</v>
      </c>
      <c r="M1103" s="22">
        <f t="shared" si="87"/>
        <v>312</v>
      </c>
      <c r="N1103" s="22" t="str">
        <f t="shared" si="88"/>
        <v>Low Value</v>
      </c>
      <c r="O1103" s="22" t="str">
        <f t="shared" si="89"/>
        <v>Dec-2024</v>
      </c>
      <c r="P1103" s="22" t="s">
        <v>1564</v>
      </c>
      <c r="Q1103" s="22" t="s">
        <v>1531</v>
      </c>
      <c r="R1103" s="22" t="s">
        <v>383</v>
      </c>
      <c r="S1103" s="22"/>
      <c r="T1103" s="22"/>
      <c r="V1103" s="26" t="s">
        <v>1931</v>
      </c>
      <c r="W1103" s="6">
        <v>6</v>
      </c>
    </row>
    <row r="1104" spans="1:23">
      <c r="A1104" t="s">
        <v>3041</v>
      </c>
      <c r="B1104" s="8">
        <v>45842</v>
      </c>
      <c r="C1104" t="s">
        <v>476</v>
      </c>
      <c r="D1104" t="s">
        <v>1590</v>
      </c>
      <c r="E1104" t="s">
        <v>1873</v>
      </c>
      <c r="F1104">
        <v>4</v>
      </c>
      <c r="G1104" s="10">
        <v>243.92</v>
      </c>
      <c r="H1104" s="13">
        <v>0.02</v>
      </c>
      <c r="I1104" t="s">
        <v>1933</v>
      </c>
      <c r="J1104" s="16">
        <v>956.16639999999995</v>
      </c>
      <c r="K1104" s="19">
        <f t="shared" si="85"/>
        <v>966559.42380000034</v>
      </c>
      <c r="L1104" s="22">
        <f t="shared" si="86"/>
        <v>1076.3467971046775</v>
      </c>
      <c r="M1104" s="22">
        <f t="shared" si="87"/>
        <v>312</v>
      </c>
      <c r="N1104" s="22" t="str">
        <f t="shared" si="88"/>
        <v>Low Value</v>
      </c>
      <c r="O1104" s="22" t="str">
        <f t="shared" si="89"/>
        <v>Jul-2025</v>
      </c>
      <c r="P1104" s="22" t="s">
        <v>1591</v>
      </c>
      <c r="Q1104" s="22" t="s">
        <v>1531</v>
      </c>
      <c r="R1104" s="22" t="s">
        <v>477</v>
      </c>
      <c r="S1104" s="22"/>
      <c r="T1104" s="22"/>
      <c r="V1104" s="26" t="s">
        <v>1933</v>
      </c>
      <c r="W1104" s="6">
        <v>7</v>
      </c>
    </row>
    <row r="1105" spans="1:23">
      <c r="A1105" t="s">
        <v>3042</v>
      </c>
      <c r="B1105" s="8">
        <v>45257</v>
      </c>
      <c r="C1105" t="s">
        <v>1166</v>
      </c>
      <c r="D1105" t="s">
        <v>1633</v>
      </c>
      <c r="E1105" t="s">
        <v>1904</v>
      </c>
      <c r="F1105">
        <v>1</v>
      </c>
      <c r="G1105" s="10">
        <v>664.35</v>
      </c>
      <c r="H1105" s="13">
        <v>0</v>
      </c>
      <c r="I1105" t="s">
        <v>1931</v>
      </c>
      <c r="J1105" s="16">
        <v>664.35</v>
      </c>
      <c r="K1105" s="19">
        <f t="shared" si="85"/>
        <v>965603.25740000035</v>
      </c>
      <c r="L1105" s="22">
        <f t="shared" si="86"/>
        <v>1076.4807774804908</v>
      </c>
      <c r="M1105" s="22">
        <f t="shared" si="87"/>
        <v>311</v>
      </c>
      <c r="N1105" s="22" t="str">
        <f t="shared" si="88"/>
        <v>Low Value</v>
      </c>
      <c r="O1105" s="22" t="str">
        <f t="shared" si="89"/>
        <v>Nov-2023</v>
      </c>
      <c r="P1105" s="22" t="s">
        <v>1634</v>
      </c>
      <c r="Q1105" s="22" t="s">
        <v>1569</v>
      </c>
      <c r="R1105" s="22" t="s">
        <v>1167</v>
      </c>
      <c r="S1105" s="22"/>
      <c r="T1105" s="22"/>
      <c r="V1105" s="25" t="s">
        <v>1221</v>
      </c>
      <c r="W1105" s="6">
        <v>4</v>
      </c>
    </row>
    <row r="1106" spans="1:23">
      <c r="A1106" t="s">
        <v>3043</v>
      </c>
      <c r="B1106" s="8">
        <v>45468</v>
      </c>
      <c r="C1106" t="s">
        <v>1193</v>
      </c>
      <c r="D1106" t="s">
        <v>1610</v>
      </c>
      <c r="E1106" t="s">
        <v>1896</v>
      </c>
      <c r="F1106">
        <v>2</v>
      </c>
      <c r="G1106" s="10">
        <v>218.07</v>
      </c>
      <c r="H1106" s="13">
        <v>0.19</v>
      </c>
      <c r="I1106" t="s">
        <v>1933</v>
      </c>
      <c r="J1106" s="16">
        <v>353.27339999999998</v>
      </c>
      <c r="K1106" s="19">
        <f t="shared" si="85"/>
        <v>964938.90740000049</v>
      </c>
      <c r="L1106" s="22">
        <f t="shared" si="86"/>
        <v>1076.940744866072</v>
      </c>
      <c r="M1106" s="22">
        <f t="shared" si="87"/>
        <v>311</v>
      </c>
      <c r="N1106" s="22" t="str">
        <f t="shared" si="88"/>
        <v>Low Value</v>
      </c>
      <c r="O1106" s="22" t="str">
        <f t="shared" si="89"/>
        <v>Jun-2024</v>
      </c>
      <c r="P1106" s="22" t="s">
        <v>1611</v>
      </c>
      <c r="Q1106" s="22" t="s">
        <v>1560</v>
      </c>
      <c r="R1106" s="22" t="s">
        <v>1194</v>
      </c>
      <c r="S1106" s="22"/>
      <c r="T1106" s="22"/>
      <c r="V1106" s="26" t="s">
        <v>1936</v>
      </c>
      <c r="W1106" s="6">
        <v>4</v>
      </c>
    </row>
    <row r="1107" spans="1:23">
      <c r="A1107" t="s">
        <v>3044</v>
      </c>
      <c r="B1107" s="8">
        <v>45228</v>
      </c>
      <c r="C1107" t="s">
        <v>1190</v>
      </c>
      <c r="D1107" t="s">
        <v>1590</v>
      </c>
      <c r="E1107" t="s">
        <v>1873</v>
      </c>
      <c r="F1107">
        <v>4</v>
      </c>
      <c r="G1107" s="10">
        <v>921.83</v>
      </c>
      <c r="H1107" s="13">
        <v>0.27</v>
      </c>
      <c r="I1107" t="s">
        <v>1931</v>
      </c>
      <c r="J1107" s="16">
        <v>2691.7435999999998</v>
      </c>
      <c r="K1107" s="19">
        <f t="shared" si="85"/>
        <v>964585.63400000043</v>
      </c>
      <c r="L1107" s="22">
        <f t="shared" si="86"/>
        <v>1077.749311731844</v>
      </c>
      <c r="M1107" s="22">
        <f t="shared" si="87"/>
        <v>310</v>
      </c>
      <c r="N1107" s="22" t="str">
        <f t="shared" si="88"/>
        <v>High Value</v>
      </c>
      <c r="O1107" s="22" t="str">
        <f t="shared" si="89"/>
        <v>Oct-2023</v>
      </c>
      <c r="P1107" s="22" t="s">
        <v>1591</v>
      </c>
      <c r="Q1107" s="22" t="s">
        <v>1531</v>
      </c>
      <c r="R1107" s="22" t="s">
        <v>1191</v>
      </c>
      <c r="S1107" s="22"/>
      <c r="T1107" s="22"/>
      <c r="V1107" s="25" t="s">
        <v>239</v>
      </c>
      <c r="W1107" s="6">
        <v>17</v>
      </c>
    </row>
    <row r="1108" spans="1:23">
      <c r="A1108" t="s">
        <v>3045</v>
      </c>
      <c r="B1108" s="8">
        <v>45661</v>
      </c>
      <c r="C1108" t="s">
        <v>557</v>
      </c>
      <c r="D1108" t="s">
        <v>1704</v>
      </c>
      <c r="E1108" t="s">
        <v>1864</v>
      </c>
      <c r="F1108">
        <v>3</v>
      </c>
      <c r="G1108" s="10">
        <v>326.2</v>
      </c>
      <c r="H1108" s="13">
        <v>0.22</v>
      </c>
      <c r="I1108" t="s">
        <v>1936</v>
      </c>
      <c r="J1108" s="16">
        <v>763.30799999999999</v>
      </c>
      <c r="K1108" s="19">
        <f t="shared" si="85"/>
        <v>961893.8904000005</v>
      </c>
      <c r="L1108" s="22">
        <f t="shared" si="86"/>
        <v>1075.943948993289</v>
      </c>
      <c r="M1108" s="22">
        <f t="shared" si="87"/>
        <v>310</v>
      </c>
      <c r="N1108" s="22" t="str">
        <f t="shared" si="88"/>
        <v>Low Value</v>
      </c>
      <c r="O1108" s="22" t="str">
        <f t="shared" si="89"/>
        <v>Jan-2025</v>
      </c>
      <c r="P1108" s="22" t="s">
        <v>1705</v>
      </c>
      <c r="Q1108" s="22" t="s">
        <v>1569</v>
      </c>
      <c r="R1108" s="22" t="s">
        <v>558</v>
      </c>
      <c r="S1108" s="22"/>
      <c r="T1108" s="22"/>
      <c r="V1108" s="26" t="s">
        <v>1936</v>
      </c>
      <c r="W1108" s="6">
        <v>2</v>
      </c>
    </row>
    <row r="1109" spans="1:23">
      <c r="A1109" t="s">
        <v>3046</v>
      </c>
      <c r="B1109" s="8">
        <v>45701</v>
      </c>
      <c r="C1109" t="s">
        <v>1405</v>
      </c>
      <c r="D1109" t="s">
        <v>1597</v>
      </c>
      <c r="E1109" t="s">
        <v>1920</v>
      </c>
      <c r="F1109">
        <v>1</v>
      </c>
      <c r="G1109" s="10">
        <v>244.25</v>
      </c>
      <c r="H1109" s="13">
        <v>0.09</v>
      </c>
      <c r="I1109" t="s">
        <v>1933</v>
      </c>
      <c r="J1109" s="16">
        <v>222.26750000000001</v>
      </c>
      <c r="K1109" s="19">
        <f t="shared" si="85"/>
        <v>961130.58240000054</v>
      </c>
      <c r="L1109" s="22">
        <f t="shared" si="86"/>
        <v>1076.294045240762</v>
      </c>
      <c r="M1109" s="22">
        <f t="shared" si="87"/>
        <v>310</v>
      </c>
      <c r="N1109" s="22" t="str">
        <f t="shared" si="88"/>
        <v>Low Value</v>
      </c>
      <c r="O1109" s="22" t="str">
        <f t="shared" si="89"/>
        <v>Feb-2025</v>
      </c>
      <c r="P1109" s="22" t="s">
        <v>1598</v>
      </c>
      <c r="Q1109" s="22" t="s">
        <v>1569</v>
      </c>
      <c r="R1109" s="22" t="s">
        <v>1406</v>
      </c>
      <c r="S1109" s="22"/>
      <c r="T1109" s="22"/>
      <c r="V1109" s="26" t="s">
        <v>1931</v>
      </c>
      <c r="W1109" s="6">
        <v>5</v>
      </c>
    </row>
    <row r="1110" spans="1:23">
      <c r="A1110" t="s">
        <v>3047</v>
      </c>
      <c r="B1110" s="8">
        <v>45448</v>
      </c>
      <c r="C1110" t="s">
        <v>1148</v>
      </c>
      <c r="D1110" t="s">
        <v>1737</v>
      </c>
      <c r="E1110" t="s">
        <v>1896</v>
      </c>
      <c r="F1110">
        <v>3</v>
      </c>
      <c r="G1110" s="10">
        <v>808.87</v>
      </c>
      <c r="H1110" s="13">
        <v>0.12</v>
      </c>
      <c r="I1110" t="s">
        <v>1936</v>
      </c>
      <c r="J1110" s="16">
        <v>2135.4168</v>
      </c>
      <c r="K1110" s="19">
        <f t="shared" si="85"/>
        <v>960908.31490000046</v>
      </c>
      <c r="L1110" s="22">
        <f t="shared" si="86"/>
        <v>1077.2514741031396</v>
      </c>
      <c r="M1110" s="22">
        <f t="shared" si="87"/>
        <v>309</v>
      </c>
      <c r="N1110" s="22" t="str">
        <f t="shared" si="88"/>
        <v>High Value</v>
      </c>
      <c r="O1110" s="22" t="str">
        <f t="shared" si="89"/>
        <v>Jun-2024</v>
      </c>
      <c r="P1110" s="22" t="s">
        <v>1738</v>
      </c>
      <c r="Q1110" s="22" t="s">
        <v>1569</v>
      </c>
      <c r="R1110" s="22" t="s">
        <v>1149</v>
      </c>
      <c r="S1110" s="22"/>
      <c r="T1110" s="22"/>
      <c r="V1110" s="26" t="s">
        <v>1933</v>
      </c>
      <c r="W1110" s="6">
        <v>10</v>
      </c>
    </row>
    <row r="1111" spans="1:23">
      <c r="A1111" t="s">
        <v>3048</v>
      </c>
      <c r="B1111" s="8">
        <v>45387</v>
      </c>
      <c r="C1111" t="s">
        <v>1058</v>
      </c>
      <c r="D1111" t="s">
        <v>1642</v>
      </c>
      <c r="E1111" t="s">
        <v>1868</v>
      </c>
      <c r="F1111">
        <v>3</v>
      </c>
      <c r="G1111" s="10">
        <v>826.15</v>
      </c>
      <c r="H1111" s="13">
        <v>0</v>
      </c>
      <c r="I1111" t="s">
        <v>1933</v>
      </c>
      <c r="J1111" s="16">
        <v>2478.4499999999998</v>
      </c>
      <c r="K1111" s="19">
        <f t="shared" si="85"/>
        <v>958772.89810000046</v>
      </c>
      <c r="L1111" s="22">
        <f t="shared" si="86"/>
        <v>1076.0638586980926</v>
      </c>
      <c r="M1111" s="22">
        <f t="shared" si="87"/>
        <v>309</v>
      </c>
      <c r="N1111" s="22" t="str">
        <f t="shared" si="88"/>
        <v>High Value</v>
      </c>
      <c r="O1111" s="22" t="str">
        <f t="shared" si="89"/>
        <v>Apr-2024</v>
      </c>
      <c r="P1111" s="22" t="s">
        <v>1643</v>
      </c>
      <c r="Q1111" s="22" t="s">
        <v>1569</v>
      </c>
      <c r="R1111" s="22" t="s">
        <v>1059</v>
      </c>
      <c r="S1111" s="22"/>
      <c r="T1111" s="22"/>
      <c r="V1111" s="25" t="s">
        <v>86</v>
      </c>
      <c r="W1111" s="6">
        <v>10</v>
      </c>
    </row>
    <row r="1112" spans="1:23">
      <c r="A1112" t="s">
        <v>3049</v>
      </c>
      <c r="B1112" s="8">
        <v>45652</v>
      </c>
      <c r="C1112" t="s">
        <v>614</v>
      </c>
      <c r="D1112" t="s">
        <v>1620</v>
      </c>
      <c r="E1112" t="s">
        <v>1920</v>
      </c>
      <c r="F1112">
        <v>3</v>
      </c>
      <c r="G1112" s="10">
        <v>631.20000000000005</v>
      </c>
      <c r="H1112" s="13">
        <v>0.24</v>
      </c>
      <c r="I1112" t="s">
        <v>1931</v>
      </c>
      <c r="J1112" s="16">
        <v>1439.136</v>
      </c>
      <c r="K1112" s="19">
        <f t="shared" si="85"/>
        <v>956294.4481000005</v>
      </c>
      <c r="L1112" s="22">
        <f t="shared" si="86"/>
        <v>1074.4881439325848</v>
      </c>
      <c r="M1112" s="22">
        <f t="shared" si="87"/>
        <v>308</v>
      </c>
      <c r="N1112" s="22" t="str">
        <f t="shared" si="88"/>
        <v>High Value</v>
      </c>
      <c r="O1112" s="22" t="str">
        <f t="shared" si="89"/>
        <v>Dec-2024</v>
      </c>
      <c r="P1112" s="22" t="s">
        <v>1621</v>
      </c>
      <c r="Q1112" s="22" t="s">
        <v>1569</v>
      </c>
      <c r="R1112" s="22" t="s">
        <v>615</v>
      </c>
      <c r="S1112" s="22"/>
      <c r="T1112" s="22"/>
      <c r="V1112" s="26" t="s">
        <v>1931</v>
      </c>
      <c r="W1112" s="6">
        <v>6</v>
      </c>
    </row>
    <row r="1113" spans="1:23">
      <c r="A1113" t="s">
        <v>3050</v>
      </c>
      <c r="B1113" s="8">
        <v>45316</v>
      </c>
      <c r="C1113" t="s">
        <v>871</v>
      </c>
      <c r="D1113" t="s">
        <v>1728</v>
      </c>
      <c r="E1113" t="s">
        <v>1896</v>
      </c>
      <c r="F1113">
        <v>1</v>
      </c>
      <c r="G1113" s="10">
        <v>937.01</v>
      </c>
      <c r="H1113" s="13">
        <v>7.0000000000000007E-2</v>
      </c>
      <c r="I1113" t="s">
        <v>1931</v>
      </c>
      <c r="J1113" s="16">
        <v>871.41929999999991</v>
      </c>
      <c r="K1113" s="19">
        <f t="shared" si="85"/>
        <v>954855.31210000056</v>
      </c>
      <c r="L1113" s="22">
        <f t="shared" si="86"/>
        <v>1074.0779663667047</v>
      </c>
      <c r="M1113" s="22">
        <f t="shared" si="87"/>
        <v>308</v>
      </c>
      <c r="N1113" s="22" t="str">
        <f t="shared" si="88"/>
        <v>Low Value</v>
      </c>
      <c r="O1113" s="22" t="str">
        <f t="shared" si="89"/>
        <v>Jan-2024</v>
      </c>
      <c r="P1113" s="22" t="s">
        <v>1729</v>
      </c>
      <c r="Q1113" s="22" t="s">
        <v>1536</v>
      </c>
      <c r="R1113" s="22" t="s">
        <v>872</v>
      </c>
      <c r="S1113" s="22"/>
      <c r="T1113" s="22"/>
      <c r="V1113" s="26" t="s">
        <v>1933</v>
      </c>
      <c r="W1113" s="6">
        <v>4</v>
      </c>
    </row>
    <row r="1114" spans="1:23">
      <c r="A1114" t="s">
        <v>3051</v>
      </c>
      <c r="B1114" s="8">
        <v>45316</v>
      </c>
      <c r="C1114" t="s">
        <v>506</v>
      </c>
      <c r="D1114" t="s">
        <v>1774</v>
      </c>
      <c r="E1114" t="s">
        <v>1880</v>
      </c>
      <c r="F1114">
        <v>2</v>
      </c>
      <c r="G1114" s="10">
        <v>644</v>
      </c>
      <c r="H1114" s="13">
        <v>0.04</v>
      </c>
      <c r="I1114" t="s">
        <v>1933</v>
      </c>
      <c r="J1114" s="16">
        <v>1236.48</v>
      </c>
      <c r="K1114" s="19">
        <f t="shared" si="85"/>
        <v>953983.89280000038</v>
      </c>
      <c r="L1114" s="22">
        <f t="shared" si="86"/>
        <v>1074.306185585586</v>
      </c>
      <c r="M1114" s="22">
        <f t="shared" si="87"/>
        <v>308</v>
      </c>
      <c r="N1114" s="22" t="str">
        <f t="shared" si="88"/>
        <v>High Value</v>
      </c>
      <c r="O1114" s="22" t="str">
        <f t="shared" si="89"/>
        <v>Jan-2024</v>
      </c>
      <c r="P1114" s="22" t="s">
        <v>1775</v>
      </c>
      <c r="Q1114" s="22" t="s">
        <v>1569</v>
      </c>
      <c r="R1114" s="22" t="s">
        <v>507</v>
      </c>
      <c r="S1114" s="22"/>
      <c r="T1114" s="22"/>
      <c r="V1114" s="25" t="s">
        <v>1170</v>
      </c>
      <c r="W1114" s="6">
        <v>10</v>
      </c>
    </row>
    <row r="1115" spans="1:23">
      <c r="A1115" t="s">
        <v>3052</v>
      </c>
      <c r="B1115" s="8">
        <v>45888</v>
      </c>
      <c r="C1115" t="s">
        <v>333</v>
      </c>
      <c r="D1115" t="s">
        <v>1828</v>
      </c>
      <c r="E1115" t="s">
        <v>1880</v>
      </c>
      <c r="F1115">
        <v>3</v>
      </c>
      <c r="G1115" s="10">
        <v>629.58000000000004</v>
      </c>
      <c r="H1115" s="13">
        <v>0.05</v>
      </c>
      <c r="I1115" t="s">
        <v>1931</v>
      </c>
      <c r="J1115" s="16">
        <v>1794.3030000000001</v>
      </c>
      <c r="K1115" s="19">
        <f t="shared" si="85"/>
        <v>952747.41280000017</v>
      </c>
      <c r="L1115" s="22">
        <f t="shared" si="86"/>
        <v>1074.1233515219844</v>
      </c>
      <c r="M1115" s="22">
        <f t="shared" si="87"/>
        <v>307</v>
      </c>
      <c r="N1115" s="22" t="str">
        <f t="shared" si="88"/>
        <v>High Value</v>
      </c>
      <c r="O1115" s="22" t="str">
        <f t="shared" si="89"/>
        <v>Aug-2025</v>
      </c>
      <c r="P1115" s="22" t="s">
        <v>1829</v>
      </c>
      <c r="Q1115" s="22" t="s">
        <v>1536</v>
      </c>
      <c r="R1115" s="22" t="s">
        <v>334</v>
      </c>
      <c r="S1115" s="22"/>
      <c r="T1115" s="22"/>
      <c r="V1115" s="26" t="s">
        <v>1936</v>
      </c>
      <c r="W1115" s="6">
        <v>6</v>
      </c>
    </row>
    <row r="1116" spans="1:23">
      <c r="A1116" t="s">
        <v>3053</v>
      </c>
      <c r="B1116" s="8">
        <v>45791</v>
      </c>
      <c r="C1116" t="s">
        <v>1427</v>
      </c>
      <c r="D1116" t="s">
        <v>1816</v>
      </c>
      <c r="E1116" t="s">
        <v>1868</v>
      </c>
      <c r="F1116">
        <v>2</v>
      </c>
      <c r="G1116" s="10">
        <v>121.52</v>
      </c>
      <c r="H1116" s="13">
        <v>0.18</v>
      </c>
      <c r="I1116" t="s">
        <v>1936</v>
      </c>
      <c r="J1116" s="16">
        <v>199.2928</v>
      </c>
      <c r="K1116" s="19">
        <f t="shared" si="85"/>
        <v>950953.10980000033</v>
      </c>
      <c r="L1116" s="22">
        <f t="shared" si="86"/>
        <v>1073.3105076749439</v>
      </c>
      <c r="M1116" s="22">
        <f t="shared" si="87"/>
        <v>307</v>
      </c>
      <c r="N1116" s="22" t="str">
        <f t="shared" si="88"/>
        <v>Low Value</v>
      </c>
      <c r="O1116" s="22" t="str">
        <f t="shared" si="89"/>
        <v>May-2025</v>
      </c>
      <c r="P1116" s="22" t="s">
        <v>1817</v>
      </c>
      <c r="Q1116" s="22" t="s">
        <v>1560</v>
      </c>
      <c r="R1116" s="22" t="s">
        <v>1428</v>
      </c>
      <c r="S1116" s="22"/>
      <c r="T1116" s="22"/>
      <c r="V1116" s="26" t="s">
        <v>1931</v>
      </c>
      <c r="W1116" s="6">
        <v>4</v>
      </c>
    </row>
    <row r="1117" spans="1:23">
      <c r="A1117" t="s">
        <v>3054</v>
      </c>
      <c r="B1117" s="8">
        <v>45420</v>
      </c>
      <c r="C1117" t="s">
        <v>1242</v>
      </c>
      <c r="D1117" t="s">
        <v>1749</v>
      </c>
      <c r="E1117" t="s">
        <v>1920</v>
      </c>
      <c r="F1117">
        <v>2</v>
      </c>
      <c r="G1117" s="10">
        <v>549.83000000000004</v>
      </c>
      <c r="H1117" s="13">
        <v>7.0000000000000007E-2</v>
      </c>
      <c r="I1117" t="s">
        <v>1933</v>
      </c>
      <c r="J1117" s="16">
        <v>1022.6838</v>
      </c>
      <c r="K1117" s="19">
        <f t="shared" si="85"/>
        <v>950753.81700000039</v>
      </c>
      <c r="L1117" s="22">
        <f t="shared" si="86"/>
        <v>1074.2980983050852</v>
      </c>
      <c r="M1117" s="22">
        <f t="shared" si="87"/>
        <v>307</v>
      </c>
      <c r="N1117" s="22" t="str">
        <f t="shared" si="88"/>
        <v>High Value</v>
      </c>
      <c r="O1117" s="22" t="str">
        <f t="shared" si="89"/>
        <v>May-2024</v>
      </c>
      <c r="P1117" s="22" t="s">
        <v>1750</v>
      </c>
      <c r="Q1117" s="22" t="s">
        <v>1569</v>
      </c>
      <c r="R1117" s="22" t="s">
        <v>1243</v>
      </c>
      <c r="S1117" s="22"/>
      <c r="T1117" s="22"/>
      <c r="V1117" s="25" t="s">
        <v>668</v>
      </c>
      <c r="W1117" s="6">
        <v>7</v>
      </c>
    </row>
    <row r="1118" spans="1:23">
      <c r="A1118" t="s">
        <v>3055</v>
      </c>
      <c r="B1118" s="8">
        <v>45219</v>
      </c>
      <c r="C1118" t="s">
        <v>473</v>
      </c>
      <c r="D1118" t="s">
        <v>1583</v>
      </c>
      <c r="E1118" t="s">
        <v>1889</v>
      </c>
      <c r="F1118">
        <v>3</v>
      </c>
      <c r="G1118" s="10">
        <v>278.38</v>
      </c>
      <c r="H1118" s="13">
        <v>0.03</v>
      </c>
      <c r="I1118" t="s">
        <v>1931</v>
      </c>
      <c r="J1118" s="16">
        <v>810.08579999999995</v>
      </c>
      <c r="K1118" s="19">
        <f t="shared" si="85"/>
        <v>949731.13320000039</v>
      </c>
      <c r="L1118" s="22">
        <f t="shared" si="86"/>
        <v>1074.3564855203624</v>
      </c>
      <c r="M1118" s="22">
        <f t="shared" si="87"/>
        <v>306</v>
      </c>
      <c r="N1118" s="22" t="str">
        <f t="shared" si="88"/>
        <v>Low Value</v>
      </c>
      <c r="O1118" s="22" t="str">
        <f t="shared" si="89"/>
        <v>Oct-2023</v>
      </c>
      <c r="P1118" s="22" t="s">
        <v>1584</v>
      </c>
      <c r="Q1118" s="22" t="s">
        <v>1531</v>
      </c>
      <c r="R1118" s="22" t="s">
        <v>474</v>
      </c>
      <c r="S1118" s="22"/>
      <c r="T1118" s="22"/>
      <c r="V1118" s="26" t="s">
        <v>1931</v>
      </c>
      <c r="W1118" s="6">
        <v>3</v>
      </c>
    </row>
    <row r="1119" spans="1:23">
      <c r="A1119" t="s">
        <v>3056</v>
      </c>
      <c r="B1119" s="8">
        <v>45510</v>
      </c>
      <c r="C1119" t="s">
        <v>1346</v>
      </c>
      <c r="D1119" t="s">
        <v>1843</v>
      </c>
      <c r="E1119" t="s">
        <v>1873</v>
      </c>
      <c r="F1119">
        <v>4</v>
      </c>
      <c r="G1119" s="10">
        <v>723.66</v>
      </c>
      <c r="H1119" s="13">
        <v>0.03</v>
      </c>
      <c r="I1119" t="s">
        <v>1933</v>
      </c>
      <c r="J1119" s="16">
        <v>2807.8008</v>
      </c>
      <c r="K1119" s="19">
        <f t="shared" si="85"/>
        <v>948921.04740000039</v>
      </c>
      <c r="L1119" s="22">
        <f t="shared" si="86"/>
        <v>1074.6557728199325</v>
      </c>
      <c r="M1119" s="22">
        <f t="shared" si="87"/>
        <v>306</v>
      </c>
      <c r="N1119" s="22" t="str">
        <f t="shared" si="88"/>
        <v>High Value</v>
      </c>
      <c r="O1119" s="22" t="str">
        <f t="shared" si="89"/>
        <v>Aug-2024</v>
      </c>
      <c r="P1119" s="22" t="s">
        <v>1844</v>
      </c>
      <c r="Q1119" s="22" t="s">
        <v>1536</v>
      </c>
      <c r="R1119" s="22" t="s">
        <v>1347</v>
      </c>
      <c r="S1119" s="22"/>
      <c r="T1119" s="22"/>
      <c r="V1119" s="26" t="s">
        <v>1933</v>
      </c>
      <c r="W1119" s="6">
        <v>4</v>
      </c>
    </row>
    <row r="1120" spans="1:23">
      <c r="A1120" t="s">
        <v>3057</v>
      </c>
      <c r="B1120" s="8">
        <v>45687</v>
      </c>
      <c r="C1120" t="s">
        <v>667</v>
      </c>
      <c r="D1120" t="s">
        <v>1771</v>
      </c>
      <c r="E1120" t="s">
        <v>1893</v>
      </c>
      <c r="F1120">
        <v>1</v>
      </c>
      <c r="G1120" s="10">
        <v>724.74</v>
      </c>
      <c r="H1120" s="13">
        <v>0.15</v>
      </c>
      <c r="I1120" t="s">
        <v>1933</v>
      </c>
      <c r="J1120" s="16">
        <v>616.029</v>
      </c>
      <c r="K1120" s="19">
        <f t="shared" si="85"/>
        <v>946113.24660000054</v>
      </c>
      <c r="L1120" s="22">
        <f t="shared" si="86"/>
        <v>1072.6907557823135</v>
      </c>
      <c r="M1120" s="22">
        <f t="shared" si="87"/>
        <v>305</v>
      </c>
      <c r="N1120" s="22" t="str">
        <f t="shared" si="88"/>
        <v>Low Value</v>
      </c>
      <c r="O1120" s="22" t="str">
        <f t="shared" si="89"/>
        <v>Jan-2025</v>
      </c>
      <c r="P1120" s="22" t="s">
        <v>1772</v>
      </c>
      <c r="Q1120" s="22" t="s">
        <v>1569</v>
      </c>
      <c r="R1120" s="22" t="s">
        <v>668</v>
      </c>
      <c r="S1120" s="22"/>
      <c r="T1120" s="22"/>
      <c r="V1120" s="25" t="s">
        <v>1071</v>
      </c>
      <c r="W1120" s="6">
        <v>12</v>
      </c>
    </row>
    <row r="1121" spans="1:23">
      <c r="A1121" t="s">
        <v>3058</v>
      </c>
      <c r="B1121" s="8">
        <v>45271</v>
      </c>
      <c r="C1121" t="s">
        <v>1396</v>
      </c>
      <c r="D1121" t="s">
        <v>1610</v>
      </c>
      <c r="E1121" t="s">
        <v>1876</v>
      </c>
      <c r="F1121">
        <v>2</v>
      </c>
      <c r="G1121" s="10">
        <v>961.84</v>
      </c>
      <c r="H1121" s="13">
        <v>0.25</v>
      </c>
      <c r="I1121" t="s">
        <v>1933</v>
      </c>
      <c r="J1121" s="16">
        <v>1442.76</v>
      </c>
      <c r="K1121" s="19">
        <f t="shared" si="85"/>
        <v>945497.21760000067</v>
      </c>
      <c r="L1121" s="22">
        <f t="shared" si="86"/>
        <v>1073.2091005675377</v>
      </c>
      <c r="M1121" s="22">
        <f t="shared" si="87"/>
        <v>304</v>
      </c>
      <c r="N1121" s="22" t="str">
        <f t="shared" si="88"/>
        <v>High Value</v>
      </c>
      <c r="O1121" s="22" t="str">
        <f t="shared" si="89"/>
        <v>Dec-2023</v>
      </c>
      <c r="P1121" s="22" t="s">
        <v>1611</v>
      </c>
      <c r="Q1121" s="22" t="s">
        <v>1560</v>
      </c>
      <c r="R1121" s="22" t="s">
        <v>1397</v>
      </c>
      <c r="S1121" s="22"/>
      <c r="T1121" s="22"/>
      <c r="V1121" s="26" t="s">
        <v>1936</v>
      </c>
      <c r="W1121" s="6">
        <v>2</v>
      </c>
    </row>
    <row r="1122" spans="1:23">
      <c r="A1122" t="s">
        <v>3059</v>
      </c>
      <c r="B1122" s="8">
        <v>45446</v>
      </c>
      <c r="C1122" t="s">
        <v>89</v>
      </c>
      <c r="D1122" t="s">
        <v>1661</v>
      </c>
      <c r="E1122" t="s">
        <v>1911</v>
      </c>
      <c r="F1122">
        <v>4</v>
      </c>
      <c r="G1122" s="10">
        <v>21.12</v>
      </c>
      <c r="H1122" s="13">
        <v>0.18</v>
      </c>
      <c r="I1122" t="s">
        <v>1936</v>
      </c>
      <c r="J1122" s="16">
        <v>69.273600000000002</v>
      </c>
      <c r="K1122" s="19">
        <f t="shared" si="85"/>
        <v>944054.45760000066</v>
      </c>
      <c r="L1122" s="22">
        <f t="shared" si="86"/>
        <v>1072.7891563636372</v>
      </c>
      <c r="M1122" s="22">
        <f t="shared" si="87"/>
        <v>303</v>
      </c>
      <c r="N1122" s="22" t="str">
        <f t="shared" si="88"/>
        <v>Low Value</v>
      </c>
      <c r="O1122" s="22" t="str">
        <f t="shared" si="89"/>
        <v>Jun-2024</v>
      </c>
      <c r="P1122" s="22" t="s">
        <v>1662</v>
      </c>
      <c r="Q1122" s="22" t="s">
        <v>1536</v>
      </c>
      <c r="R1122" s="22" t="s">
        <v>90</v>
      </c>
      <c r="S1122" s="22"/>
      <c r="T1122" s="22"/>
      <c r="V1122" s="26" t="s">
        <v>1931</v>
      </c>
      <c r="W1122" s="6">
        <v>6</v>
      </c>
    </row>
    <row r="1123" spans="1:23">
      <c r="A1123" t="s">
        <v>3060</v>
      </c>
      <c r="B1123" s="8">
        <v>45579</v>
      </c>
      <c r="C1123" t="s">
        <v>1002</v>
      </c>
      <c r="D1123" t="s">
        <v>1529</v>
      </c>
      <c r="E1123" t="s">
        <v>1876</v>
      </c>
      <c r="F1123">
        <v>3</v>
      </c>
      <c r="G1123" s="10">
        <v>819.93</v>
      </c>
      <c r="H1123" s="13">
        <v>0.08</v>
      </c>
      <c r="I1123" t="s">
        <v>1933</v>
      </c>
      <c r="J1123" s="16">
        <v>2263.0068000000001</v>
      </c>
      <c r="K1123" s="19">
        <f t="shared" si="85"/>
        <v>943985.18400000047</v>
      </c>
      <c r="L1123" s="22">
        <f t="shared" si="86"/>
        <v>1073.9308122866901</v>
      </c>
      <c r="M1123" s="22">
        <f t="shared" si="87"/>
        <v>303</v>
      </c>
      <c r="N1123" s="22" t="str">
        <f t="shared" si="88"/>
        <v>High Value</v>
      </c>
      <c r="O1123" s="22" t="str">
        <f t="shared" si="89"/>
        <v>Oct-2024</v>
      </c>
      <c r="P1123" s="22" t="s">
        <v>1530</v>
      </c>
      <c r="Q1123" s="22" t="s">
        <v>1531</v>
      </c>
      <c r="R1123" s="22" t="s">
        <v>1003</v>
      </c>
      <c r="S1123" s="22"/>
      <c r="T1123" s="22"/>
      <c r="V1123" s="26" t="s">
        <v>1933</v>
      </c>
      <c r="W1123" s="6">
        <v>4</v>
      </c>
    </row>
    <row r="1124" spans="1:23">
      <c r="A1124" t="s">
        <v>3061</v>
      </c>
      <c r="B1124" s="8">
        <v>45725</v>
      </c>
      <c r="C1124" t="s">
        <v>930</v>
      </c>
      <c r="D1124" t="s">
        <v>1678</v>
      </c>
      <c r="E1124" t="s">
        <v>1859</v>
      </c>
      <c r="F1124">
        <v>2</v>
      </c>
      <c r="G1124" s="10">
        <v>700.95</v>
      </c>
      <c r="H1124" s="13">
        <v>0.18</v>
      </c>
      <c r="I1124" t="s">
        <v>1931</v>
      </c>
      <c r="J1124" s="16">
        <v>1149.558</v>
      </c>
      <c r="K1124" s="19">
        <f t="shared" si="85"/>
        <v>941722.17720000038</v>
      </c>
      <c r="L1124" s="22">
        <f t="shared" si="86"/>
        <v>1072.5765116173125</v>
      </c>
      <c r="M1124" s="22">
        <f t="shared" si="87"/>
        <v>302</v>
      </c>
      <c r="N1124" s="22" t="str">
        <f t="shared" si="88"/>
        <v>High Value</v>
      </c>
      <c r="O1124" s="22" t="str">
        <f t="shared" si="89"/>
        <v>Mar-2025</v>
      </c>
      <c r="P1124" s="22" t="s">
        <v>1679</v>
      </c>
      <c r="Q1124" s="22" t="s">
        <v>1531</v>
      </c>
      <c r="R1124" s="22" t="s">
        <v>931</v>
      </c>
      <c r="S1124" s="22"/>
      <c r="T1124" s="22"/>
      <c r="V1124" s="25" t="s">
        <v>3945</v>
      </c>
      <c r="W1124" s="6">
        <v>5</v>
      </c>
    </row>
    <row r="1125" spans="1:23">
      <c r="A1125" t="s">
        <v>3062</v>
      </c>
      <c r="B1125" s="8">
        <v>45910</v>
      </c>
      <c r="C1125" t="s">
        <v>476</v>
      </c>
      <c r="D1125" t="s">
        <v>1597</v>
      </c>
      <c r="E1125" t="s">
        <v>1906</v>
      </c>
      <c r="F1125">
        <v>2</v>
      </c>
      <c r="G1125" s="10">
        <v>456.38</v>
      </c>
      <c r="H1125" s="13">
        <v>0.12</v>
      </c>
      <c r="I1125" t="s">
        <v>1931</v>
      </c>
      <c r="J1125" s="16">
        <v>803.22879999999998</v>
      </c>
      <c r="K1125" s="19">
        <f t="shared" si="85"/>
        <v>940572.61920000042</v>
      </c>
      <c r="L1125" s="22">
        <f t="shared" si="86"/>
        <v>1072.4887334093505</v>
      </c>
      <c r="M1125" s="22">
        <f t="shared" si="87"/>
        <v>302</v>
      </c>
      <c r="N1125" s="22" t="str">
        <f t="shared" si="88"/>
        <v>Low Value</v>
      </c>
      <c r="O1125" s="22" t="str">
        <f t="shared" si="89"/>
        <v>Sep-2025</v>
      </c>
      <c r="P1125" s="22" t="s">
        <v>1598</v>
      </c>
      <c r="Q1125" s="22" t="s">
        <v>1569</v>
      </c>
      <c r="R1125" s="22" t="s">
        <v>477</v>
      </c>
      <c r="S1125" s="22"/>
      <c r="T1125" s="22"/>
      <c r="V1125" s="26" t="s">
        <v>1936</v>
      </c>
      <c r="W1125" s="6">
        <v>4</v>
      </c>
    </row>
    <row r="1126" spans="1:23">
      <c r="A1126" t="s">
        <v>3063</v>
      </c>
      <c r="B1126" s="8">
        <v>45447</v>
      </c>
      <c r="C1126" t="s">
        <v>1125</v>
      </c>
      <c r="D1126" t="s">
        <v>1783</v>
      </c>
      <c r="E1126" t="s">
        <v>1906</v>
      </c>
      <c r="F1126">
        <v>3</v>
      </c>
      <c r="G1126" s="10">
        <v>291.05</v>
      </c>
      <c r="H1126" s="13">
        <v>0.3</v>
      </c>
      <c r="I1126" t="s">
        <v>1931</v>
      </c>
      <c r="J1126" s="16">
        <v>611.20500000000004</v>
      </c>
      <c r="K1126" s="19">
        <f t="shared" si="85"/>
        <v>939769.3904000005</v>
      </c>
      <c r="L1126" s="22">
        <f t="shared" si="86"/>
        <v>1072.7961077625575</v>
      </c>
      <c r="M1126" s="22">
        <f t="shared" si="87"/>
        <v>302</v>
      </c>
      <c r="N1126" s="22" t="str">
        <f t="shared" si="88"/>
        <v>Low Value</v>
      </c>
      <c r="O1126" s="22" t="str">
        <f t="shared" si="89"/>
        <v>Jun-2024</v>
      </c>
      <c r="P1126" s="22" t="s">
        <v>1784</v>
      </c>
      <c r="Q1126" s="22" t="s">
        <v>1531</v>
      </c>
      <c r="R1126" s="22" t="s">
        <v>1126</v>
      </c>
      <c r="S1126" s="22"/>
      <c r="T1126" s="22"/>
      <c r="V1126" s="26" t="s">
        <v>1933</v>
      </c>
      <c r="W1126" s="6">
        <v>1</v>
      </c>
    </row>
    <row r="1127" spans="1:23">
      <c r="A1127" t="s">
        <v>3064</v>
      </c>
      <c r="B1127" s="8">
        <v>45307</v>
      </c>
      <c r="C1127" t="s">
        <v>750</v>
      </c>
      <c r="D1127" t="s">
        <v>1840</v>
      </c>
      <c r="E1127" t="s">
        <v>1908</v>
      </c>
      <c r="F1127">
        <v>2</v>
      </c>
      <c r="G1127" s="10">
        <v>463.52</v>
      </c>
      <c r="H1127" s="13">
        <v>0.27</v>
      </c>
      <c r="I1127" t="s">
        <v>1933</v>
      </c>
      <c r="J1127" s="16">
        <v>676.73919999999998</v>
      </c>
      <c r="K1127" s="19">
        <f t="shared" si="85"/>
        <v>939158.18540000042</v>
      </c>
      <c r="L1127" s="22">
        <f t="shared" si="86"/>
        <v>1073.3236404571433</v>
      </c>
      <c r="M1127" s="22">
        <f t="shared" si="87"/>
        <v>302</v>
      </c>
      <c r="N1127" s="22" t="str">
        <f t="shared" si="88"/>
        <v>Low Value</v>
      </c>
      <c r="O1127" s="22" t="str">
        <f t="shared" si="89"/>
        <v>Jan-2024</v>
      </c>
      <c r="P1127" s="22" t="s">
        <v>1841</v>
      </c>
      <c r="Q1127" s="22" t="s">
        <v>1569</v>
      </c>
      <c r="R1127" s="22" t="s">
        <v>751</v>
      </c>
      <c r="S1127" s="22"/>
      <c r="T1127" s="22"/>
      <c r="V1127" s="25" t="s">
        <v>751</v>
      </c>
      <c r="W1127" s="6">
        <v>10</v>
      </c>
    </row>
    <row r="1128" spans="1:23">
      <c r="A1128" t="s">
        <v>3065</v>
      </c>
      <c r="B1128" s="8">
        <v>45653</v>
      </c>
      <c r="C1128" t="s">
        <v>1178</v>
      </c>
      <c r="D1128" t="s">
        <v>1529</v>
      </c>
      <c r="E1128" t="s">
        <v>1914</v>
      </c>
      <c r="F1128">
        <v>3</v>
      </c>
      <c r="G1128" s="10">
        <v>241.64</v>
      </c>
      <c r="H1128" s="13">
        <v>0.28999999999999998</v>
      </c>
      <c r="I1128" t="s">
        <v>1933</v>
      </c>
      <c r="J1128" s="16">
        <v>514.69319999999993</v>
      </c>
      <c r="K1128" s="19">
        <f t="shared" si="85"/>
        <v>938481.44620000047</v>
      </c>
      <c r="L1128" s="22">
        <f t="shared" si="86"/>
        <v>1073.7773983981699</v>
      </c>
      <c r="M1128" s="22">
        <f t="shared" si="87"/>
        <v>301</v>
      </c>
      <c r="N1128" s="22" t="str">
        <f t="shared" si="88"/>
        <v>Low Value</v>
      </c>
      <c r="O1128" s="22" t="str">
        <f t="shared" si="89"/>
        <v>Dec-2024</v>
      </c>
      <c r="P1128" s="22" t="s">
        <v>1530</v>
      </c>
      <c r="Q1128" s="22" t="s">
        <v>1531</v>
      </c>
      <c r="R1128" s="22" t="s">
        <v>1179</v>
      </c>
      <c r="S1128" s="22"/>
      <c r="T1128" s="22"/>
      <c r="V1128" s="26" t="s">
        <v>1936</v>
      </c>
      <c r="W1128" s="6">
        <v>4</v>
      </c>
    </row>
    <row r="1129" spans="1:23">
      <c r="A1129" t="s">
        <v>3066</v>
      </c>
      <c r="B1129" s="8">
        <v>45817</v>
      </c>
      <c r="C1129" t="s">
        <v>1476</v>
      </c>
      <c r="D1129" t="s">
        <v>1639</v>
      </c>
      <c r="E1129" t="s">
        <v>1896</v>
      </c>
      <c r="F1129">
        <v>2</v>
      </c>
      <c r="G1129" s="10">
        <v>47.86</v>
      </c>
      <c r="H1129" s="13">
        <v>0.03</v>
      </c>
      <c r="I1129" t="s">
        <v>1933</v>
      </c>
      <c r="J1129" s="16">
        <v>92.848399999999998</v>
      </c>
      <c r="K1129" s="19">
        <f t="shared" si="85"/>
        <v>937966.75300000061</v>
      </c>
      <c r="L1129" s="22">
        <f t="shared" si="86"/>
        <v>1074.4178155784657</v>
      </c>
      <c r="M1129" s="22">
        <f t="shared" si="87"/>
        <v>300</v>
      </c>
      <c r="N1129" s="22" t="str">
        <f t="shared" si="88"/>
        <v>Low Value</v>
      </c>
      <c r="O1129" s="22" t="str">
        <f t="shared" si="89"/>
        <v>Jun-2025</v>
      </c>
      <c r="P1129" s="22" t="s">
        <v>1640</v>
      </c>
      <c r="Q1129" s="22" t="s">
        <v>1560</v>
      </c>
      <c r="R1129" s="22" t="s">
        <v>1266</v>
      </c>
      <c r="S1129" s="22"/>
      <c r="T1129" s="22"/>
      <c r="V1129" s="26" t="s">
        <v>1933</v>
      </c>
      <c r="W1129" s="6">
        <v>6</v>
      </c>
    </row>
    <row r="1130" spans="1:23">
      <c r="A1130" t="s">
        <v>3067</v>
      </c>
      <c r="B1130" s="8">
        <v>45509</v>
      </c>
      <c r="C1130" t="s">
        <v>1076</v>
      </c>
      <c r="D1130" t="s">
        <v>1831</v>
      </c>
      <c r="E1130" t="s">
        <v>1873</v>
      </c>
      <c r="F1130">
        <v>1</v>
      </c>
      <c r="G1130" s="10">
        <v>805.07</v>
      </c>
      <c r="H1130" s="13">
        <v>0.06</v>
      </c>
      <c r="I1130" t="s">
        <v>1936</v>
      </c>
      <c r="J1130" s="16">
        <v>756.76580000000001</v>
      </c>
      <c r="K1130" s="19">
        <f t="shared" si="85"/>
        <v>937873.90460000059</v>
      </c>
      <c r="L1130" s="22">
        <f t="shared" si="86"/>
        <v>1075.5434685779824</v>
      </c>
      <c r="M1130" s="22">
        <f t="shared" si="87"/>
        <v>299</v>
      </c>
      <c r="N1130" s="22" t="str">
        <f t="shared" si="88"/>
        <v>Low Value</v>
      </c>
      <c r="O1130" s="22" t="str">
        <f t="shared" si="89"/>
        <v>Aug-2024</v>
      </c>
      <c r="P1130" s="22" t="s">
        <v>1832</v>
      </c>
      <c r="Q1130" s="22" t="s">
        <v>1560</v>
      </c>
      <c r="R1130" s="22" t="s">
        <v>1077</v>
      </c>
      <c r="S1130" s="22"/>
      <c r="T1130" s="22"/>
      <c r="V1130" s="25" t="s">
        <v>588</v>
      </c>
      <c r="W1130" s="6">
        <v>9</v>
      </c>
    </row>
    <row r="1131" spans="1:23">
      <c r="A1131" t="s">
        <v>3068</v>
      </c>
      <c r="B1131" s="8">
        <v>45753</v>
      </c>
      <c r="C1131" t="s">
        <v>1160</v>
      </c>
      <c r="D1131" t="s">
        <v>1652</v>
      </c>
      <c r="E1131" t="s">
        <v>1864</v>
      </c>
      <c r="F1131">
        <v>3</v>
      </c>
      <c r="G1131" s="10">
        <v>848.48</v>
      </c>
      <c r="H1131" s="13">
        <v>0</v>
      </c>
      <c r="I1131" t="s">
        <v>1936</v>
      </c>
      <c r="J1131" s="16">
        <v>2545.44</v>
      </c>
      <c r="K1131" s="19">
        <f t="shared" si="85"/>
        <v>937117.13880000042</v>
      </c>
      <c r="L1131" s="22">
        <f t="shared" si="86"/>
        <v>1075.9094590126297</v>
      </c>
      <c r="M1131" s="22">
        <f t="shared" si="87"/>
        <v>299</v>
      </c>
      <c r="N1131" s="22" t="str">
        <f t="shared" si="88"/>
        <v>High Value</v>
      </c>
      <c r="O1131" s="22" t="str">
        <f t="shared" si="89"/>
        <v>Apr-2025</v>
      </c>
      <c r="P1131" s="22" t="s">
        <v>1653</v>
      </c>
      <c r="Q1131" s="22" t="s">
        <v>1531</v>
      </c>
      <c r="R1131" s="22" t="s">
        <v>1161</v>
      </c>
      <c r="S1131" s="22"/>
      <c r="T1131" s="22"/>
      <c r="V1131" s="26" t="s">
        <v>1936</v>
      </c>
      <c r="W1131" s="6">
        <v>3</v>
      </c>
    </row>
    <row r="1132" spans="1:23">
      <c r="A1132" t="s">
        <v>3069</v>
      </c>
      <c r="B1132" s="8">
        <v>45512</v>
      </c>
      <c r="C1132" t="s">
        <v>783</v>
      </c>
      <c r="D1132" t="s">
        <v>1713</v>
      </c>
      <c r="E1132" t="s">
        <v>1889</v>
      </c>
      <c r="F1132">
        <v>2</v>
      </c>
      <c r="G1132" s="10">
        <v>568.95000000000005</v>
      </c>
      <c r="H1132" s="13">
        <v>0.22</v>
      </c>
      <c r="I1132" t="s">
        <v>1931</v>
      </c>
      <c r="J1132" s="16">
        <v>887.56200000000013</v>
      </c>
      <c r="K1132" s="19">
        <f t="shared" si="85"/>
        <v>934571.69880000048</v>
      </c>
      <c r="L1132" s="22">
        <f t="shared" si="86"/>
        <v>1074.2203434482765</v>
      </c>
      <c r="M1132" s="22">
        <f t="shared" si="87"/>
        <v>299</v>
      </c>
      <c r="N1132" s="22" t="str">
        <f t="shared" si="88"/>
        <v>Low Value</v>
      </c>
      <c r="O1132" s="22" t="str">
        <f t="shared" si="89"/>
        <v>Aug-2024</v>
      </c>
      <c r="P1132" s="22" t="s">
        <v>1714</v>
      </c>
      <c r="Q1132" s="22" t="s">
        <v>1536</v>
      </c>
      <c r="R1132" s="22" t="s">
        <v>784</v>
      </c>
      <c r="S1132" s="22"/>
      <c r="T1132" s="22"/>
      <c r="V1132" s="26" t="s">
        <v>1931</v>
      </c>
      <c r="W1132" s="6">
        <v>4</v>
      </c>
    </row>
    <row r="1133" spans="1:23">
      <c r="A1133" t="s">
        <v>3070</v>
      </c>
      <c r="B1133" s="8">
        <v>45764</v>
      </c>
      <c r="C1133" t="s">
        <v>539</v>
      </c>
      <c r="D1133" t="s">
        <v>1713</v>
      </c>
      <c r="E1133" t="s">
        <v>1899</v>
      </c>
      <c r="F1133">
        <v>3</v>
      </c>
      <c r="G1133" s="10">
        <v>269.83999999999997</v>
      </c>
      <c r="H1133" s="13">
        <v>0.05</v>
      </c>
      <c r="I1133" t="s">
        <v>1933</v>
      </c>
      <c r="J1133" s="16">
        <v>769.04399999999998</v>
      </c>
      <c r="K1133" s="19">
        <f t="shared" si="85"/>
        <v>933684.13680000056</v>
      </c>
      <c r="L1133" s="22">
        <f t="shared" si="86"/>
        <v>1074.4351401611054</v>
      </c>
      <c r="M1133" s="22">
        <f t="shared" si="87"/>
        <v>299</v>
      </c>
      <c r="N1133" s="22" t="str">
        <f t="shared" si="88"/>
        <v>Low Value</v>
      </c>
      <c r="O1133" s="22" t="str">
        <f t="shared" si="89"/>
        <v>Apr-2025</v>
      </c>
      <c r="P1133" s="22" t="s">
        <v>1714</v>
      </c>
      <c r="Q1133" s="22" t="s">
        <v>1536</v>
      </c>
      <c r="R1133" s="22" t="s">
        <v>540</v>
      </c>
      <c r="S1133" s="22"/>
      <c r="T1133" s="22"/>
      <c r="V1133" s="26" t="s">
        <v>1933</v>
      </c>
      <c r="W1133" s="6">
        <v>2</v>
      </c>
    </row>
    <row r="1134" spans="1:23">
      <c r="A1134" t="s">
        <v>3071</v>
      </c>
      <c r="B1134" s="8">
        <v>45746</v>
      </c>
      <c r="C1134" t="s">
        <v>972</v>
      </c>
      <c r="D1134" t="s">
        <v>1740</v>
      </c>
      <c r="E1134" t="s">
        <v>1904</v>
      </c>
      <c r="F1134">
        <v>4</v>
      </c>
      <c r="G1134" s="10">
        <v>267.36</v>
      </c>
      <c r="H1134" s="13">
        <v>0.27</v>
      </c>
      <c r="I1134" t="s">
        <v>1933</v>
      </c>
      <c r="J1134" s="16">
        <v>780.69119999999998</v>
      </c>
      <c r="K1134" s="19">
        <f t="shared" si="85"/>
        <v>932915.09280000033</v>
      </c>
      <c r="L1134" s="22">
        <f t="shared" si="86"/>
        <v>1074.7869732718898</v>
      </c>
      <c r="M1134" s="22">
        <f t="shared" si="87"/>
        <v>298</v>
      </c>
      <c r="N1134" s="22" t="str">
        <f t="shared" si="88"/>
        <v>Low Value</v>
      </c>
      <c r="O1134" s="22" t="str">
        <f t="shared" si="89"/>
        <v>Mar-2025</v>
      </c>
      <c r="P1134" s="22" t="s">
        <v>1741</v>
      </c>
      <c r="Q1134" s="22" t="s">
        <v>1531</v>
      </c>
      <c r="R1134" s="22" t="s">
        <v>973</v>
      </c>
      <c r="S1134" s="22"/>
      <c r="T1134" s="22"/>
      <c r="V1134" s="25" t="s">
        <v>578</v>
      </c>
      <c r="W1134" s="6">
        <v>11</v>
      </c>
    </row>
    <row r="1135" spans="1:23">
      <c r="A1135" t="s">
        <v>3072</v>
      </c>
      <c r="B1135" s="8">
        <v>45647</v>
      </c>
      <c r="C1135" t="s">
        <v>394</v>
      </c>
      <c r="D1135" t="s">
        <v>1661</v>
      </c>
      <c r="E1135" t="s">
        <v>1864</v>
      </c>
      <c r="F1135">
        <v>1</v>
      </c>
      <c r="G1135" s="10">
        <v>438.41</v>
      </c>
      <c r="H1135" s="13">
        <v>0.09</v>
      </c>
      <c r="I1135" t="s">
        <v>1931</v>
      </c>
      <c r="J1135" s="16">
        <v>398.95310000000012</v>
      </c>
      <c r="K1135" s="19">
        <f t="shared" si="85"/>
        <v>932134.40160000033</v>
      </c>
      <c r="L1135" s="22">
        <f t="shared" si="86"/>
        <v>1075.1261840830455</v>
      </c>
      <c r="M1135" s="22">
        <f t="shared" si="87"/>
        <v>297</v>
      </c>
      <c r="N1135" s="22" t="str">
        <f t="shared" si="88"/>
        <v>Low Value</v>
      </c>
      <c r="O1135" s="22" t="str">
        <f t="shared" si="89"/>
        <v>Dec-2024</v>
      </c>
      <c r="P1135" s="22" t="s">
        <v>1662</v>
      </c>
      <c r="Q1135" s="22" t="s">
        <v>1536</v>
      </c>
      <c r="R1135" s="22" t="s">
        <v>395</v>
      </c>
      <c r="S1135" s="22"/>
      <c r="T1135" s="22"/>
      <c r="V1135" s="26" t="s">
        <v>1936</v>
      </c>
      <c r="W1135" s="6">
        <v>9</v>
      </c>
    </row>
    <row r="1136" spans="1:23">
      <c r="A1136" t="s">
        <v>3073</v>
      </c>
      <c r="B1136" s="8">
        <v>45443</v>
      </c>
      <c r="C1136" t="s">
        <v>545</v>
      </c>
      <c r="D1136" t="s">
        <v>1707</v>
      </c>
      <c r="E1136" t="s">
        <v>1917</v>
      </c>
      <c r="F1136">
        <v>2</v>
      </c>
      <c r="G1136" s="10">
        <v>86.72</v>
      </c>
      <c r="H1136" s="13">
        <v>0.28000000000000003</v>
      </c>
      <c r="I1136" t="s">
        <v>1936</v>
      </c>
      <c r="J1136" s="16">
        <v>124.8768</v>
      </c>
      <c r="K1136" s="19">
        <f t="shared" si="85"/>
        <v>931735.44850000052</v>
      </c>
      <c r="L1136" s="22">
        <f t="shared" si="86"/>
        <v>1075.9069844110861</v>
      </c>
      <c r="M1136" s="22">
        <f t="shared" si="87"/>
        <v>297</v>
      </c>
      <c r="N1136" s="22" t="str">
        <f t="shared" si="88"/>
        <v>Low Value</v>
      </c>
      <c r="O1136" s="22" t="str">
        <f t="shared" si="89"/>
        <v>May-2024</v>
      </c>
      <c r="P1136" s="22" t="s">
        <v>1708</v>
      </c>
      <c r="Q1136" s="22" t="s">
        <v>1531</v>
      </c>
      <c r="R1136" s="22" t="s">
        <v>546</v>
      </c>
      <c r="S1136" s="22"/>
      <c r="T1136" s="22"/>
      <c r="V1136" s="26" t="s">
        <v>1931</v>
      </c>
      <c r="W1136" s="6">
        <v>1</v>
      </c>
    </row>
    <row r="1137" spans="1:23">
      <c r="A1137" t="s">
        <v>3074</v>
      </c>
      <c r="B1137" s="8">
        <v>45722</v>
      </c>
      <c r="C1137" t="s">
        <v>1310</v>
      </c>
      <c r="D1137" t="s">
        <v>1822</v>
      </c>
      <c r="E1137" t="s">
        <v>1883</v>
      </c>
      <c r="F1137">
        <v>4</v>
      </c>
      <c r="G1137" s="10">
        <v>630.21</v>
      </c>
      <c r="H1137" s="13">
        <v>0.14000000000000001</v>
      </c>
      <c r="I1137" t="s">
        <v>1936</v>
      </c>
      <c r="J1137" s="16">
        <v>2167.9223999999999</v>
      </c>
      <c r="K1137" s="19">
        <f t="shared" si="85"/>
        <v>931610.57170000032</v>
      </c>
      <c r="L1137" s="22">
        <f t="shared" si="86"/>
        <v>1077.0064412716767</v>
      </c>
      <c r="M1137" s="22">
        <f t="shared" si="87"/>
        <v>297</v>
      </c>
      <c r="N1137" s="22" t="str">
        <f t="shared" si="88"/>
        <v>High Value</v>
      </c>
      <c r="O1137" s="22" t="str">
        <f t="shared" si="89"/>
        <v>Mar-2025</v>
      </c>
      <c r="P1137" s="22" t="s">
        <v>1823</v>
      </c>
      <c r="Q1137" s="22" t="s">
        <v>1555</v>
      </c>
      <c r="R1137" s="22" t="s">
        <v>1311</v>
      </c>
      <c r="S1137" s="22"/>
      <c r="T1137" s="22"/>
      <c r="V1137" s="26" t="s">
        <v>1933</v>
      </c>
      <c r="W1137" s="6">
        <v>1</v>
      </c>
    </row>
    <row r="1138" spans="1:23">
      <c r="A1138" t="s">
        <v>3075</v>
      </c>
      <c r="B1138" s="8">
        <v>45575</v>
      </c>
      <c r="C1138" t="s">
        <v>1119</v>
      </c>
      <c r="D1138" t="s">
        <v>1731</v>
      </c>
      <c r="E1138" t="s">
        <v>1883</v>
      </c>
      <c r="F1138">
        <v>3</v>
      </c>
      <c r="G1138" s="10">
        <v>180.84</v>
      </c>
      <c r="H1138" s="13">
        <v>0.03</v>
      </c>
      <c r="I1138" t="s">
        <v>1933</v>
      </c>
      <c r="J1138" s="16">
        <v>526.24439999999993</v>
      </c>
      <c r="K1138" s="19">
        <f t="shared" si="85"/>
        <v>929442.64930000051</v>
      </c>
      <c r="L1138" s="22">
        <f t="shared" si="86"/>
        <v>1075.7438070601859</v>
      </c>
      <c r="M1138" s="22">
        <f t="shared" si="87"/>
        <v>297</v>
      </c>
      <c r="N1138" s="22" t="str">
        <f t="shared" si="88"/>
        <v>Low Value</v>
      </c>
      <c r="O1138" s="22" t="str">
        <f t="shared" si="89"/>
        <v>Oct-2024</v>
      </c>
      <c r="P1138" s="22" t="s">
        <v>1732</v>
      </c>
      <c r="Q1138" s="22" t="s">
        <v>1555</v>
      </c>
      <c r="R1138" s="22" t="s">
        <v>1120</v>
      </c>
      <c r="S1138" s="22"/>
      <c r="T1138" s="22"/>
      <c r="V1138" s="25" t="s">
        <v>451</v>
      </c>
      <c r="W1138" s="6">
        <v>4</v>
      </c>
    </row>
    <row r="1139" spans="1:23">
      <c r="A1139" t="s">
        <v>3076</v>
      </c>
      <c r="B1139" s="8">
        <v>45441</v>
      </c>
      <c r="C1139" t="s">
        <v>26</v>
      </c>
      <c r="D1139" t="s">
        <v>1746</v>
      </c>
      <c r="E1139" t="s">
        <v>1911</v>
      </c>
      <c r="F1139">
        <v>1</v>
      </c>
      <c r="G1139" s="10">
        <v>453.41</v>
      </c>
      <c r="H1139" s="13">
        <v>0.04</v>
      </c>
      <c r="I1139" t="s">
        <v>1936</v>
      </c>
      <c r="J1139" s="16">
        <v>435.27359999999999</v>
      </c>
      <c r="K1139" s="19">
        <f t="shared" si="85"/>
        <v>928916.40490000055</v>
      </c>
      <c r="L1139" s="22">
        <f t="shared" si="86"/>
        <v>1076.3805387022023</v>
      </c>
      <c r="M1139" s="22">
        <f t="shared" si="87"/>
        <v>296</v>
      </c>
      <c r="N1139" s="22" t="str">
        <f t="shared" si="88"/>
        <v>Low Value</v>
      </c>
      <c r="O1139" s="22" t="str">
        <f t="shared" si="89"/>
        <v>May-2024</v>
      </c>
      <c r="P1139" s="22" t="s">
        <v>1747</v>
      </c>
      <c r="Q1139" s="22" t="s">
        <v>1555</v>
      </c>
      <c r="R1139" s="22" t="s">
        <v>27</v>
      </c>
      <c r="S1139" s="22"/>
      <c r="T1139" s="22"/>
      <c r="V1139" s="26" t="s">
        <v>1931</v>
      </c>
      <c r="W1139" s="6">
        <v>4</v>
      </c>
    </row>
    <row r="1140" spans="1:23">
      <c r="A1140" t="s">
        <v>3077</v>
      </c>
      <c r="B1140" s="8">
        <v>45940</v>
      </c>
      <c r="C1140" t="s">
        <v>103</v>
      </c>
      <c r="D1140" t="s">
        <v>1707</v>
      </c>
      <c r="E1140" t="s">
        <v>1883</v>
      </c>
      <c r="F1140">
        <v>1</v>
      </c>
      <c r="G1140" s="10">
        <v>629.09</v>
      </c>
      <c r="H1140" s="13">
        <v>0.02</v>
      </c>
      <c r="I1140" t="s">
        <v>1931</v>
      </c>
      <c r="J1140" s="16">
        <v>616.50819999999999</v>
      </c>
      <c r="K1140" s="19">
        <f t="shared" si="85"/>
        <v>928481.13130000059</v>
      </c>
      <c r="L1140" s="22">
        <f t="shared" si="86"/>
        <v>1077.1242822505808</v>
      </c>
      <c r="M1140" s="22">
        <f t="shared" si="87"/>
        <v>296</v>
      </c>
      <c r="N1140" s="22" t="str">
        <f t="shared" si="88"/>
        <v>Low Value</v>
      </c>
      <c r="O1140" s="22" t="str">
        <f t="shared" si="89"/>
        <v>Oct-2025</v>
      </c>
      <c r="P1140" s="22" t="s">
        <v>1708</v>
      </c>
      <c r="Q1140" s="22" t="s">
        <v>1531</v>
      </c>
      <c r="R1140" s="22" t="s">
        <v>104</v>
      </c>
      <c r="S1140" s="22"/>
      <c r="T1140" s="22"/>
      <c r="V1140" s="25" t="s">
        <v>131</v>
      </c>
      <c r="W1140" s="6">
        <v>8</v>
      </c>
    </row>
    <row r="1141" spans="1:23">
      <c r="A1141" t="s">
        <v>3078</v>
      </c>
      <c r="B1141" s="8">
        <v>45518</v>
      </c>
      <c r="C1141" t="s">
        <v>97</v>
      </c>
      <c r="D1141" t="s">
        <v>1786</v>
      </c>
      <c r="E1141" t="s">
        <v>1868</v>
      </c>
      <c r="F1141">
        <v>2</v>
      </c>
      <c r="G1141" s="10">
        <v>257.45</v>
      </c>
      <c r="H1141" s="13">
        <v>0</v>
      </c>
      <c r="I1141" t="s">
        <v>1936</v>
      </c>
      <c r="J1141" s="16">
        <v>514.9</v>
      </c>
      <c r="K1141" s="19">
        <f t="shared" si="85"/>
        <v>927864.62310000055</v>
      </c>
      <c r="L1141" s="22">
        <f t="shared" si="86"/>
        <v>1077.6592602787464</v>
      </c>
      <c r="M1141" s="22">
        <f t="shared" si="87"/>
        <v>296</v>
      </c>
      <c r="N1141" s="22" t="str">
        <f t="shared" si="88"/>
        <v>Low Value</v>
      </c>
      <c r="O1141" s="22" t="str">
        <f t="shared" si="89"/>
        <v>Aug-2024</v>
      </c>
      <c r="P1141" s="22" t="s">
        <v>1787</v>
      </c>
      <c r="Q1141" s="22" t="s">
        <v>1531</v>
      </c>
      <c r="R1141" s="22" t="s">
        <v>3942</v>
      </c>
      <c r="S1141" s="22"/>
      <c r="T1141" s="22"/>
      <c r="V1141" s="26" t="s">
        <v>1931</v>
      </c>
      <c r="W1141" s="6">
        <v>2</v>
      </c>
    </row>
    <row r="1142" spans="1:23">
      <c r="A1142" t="s">
        <v>3079</v>
      </c>
      <c r="B1142" s="8">
        <v>45861</v>
      </c>
      <c r="C1142" t="s">
        <v>590</v>
      </c>
      <c r="D1142" t="s">
        <v>1652</v>
      </c>
      <c r="E1142" t="s">
        <v>1908</v>
      </c>
      <c r="F1142">
        <v>2</v>
      </c>
      <c r="G1142" s="10">
        <v>696.61</v>
      </c>
      <c r="H1142" s="13">
        <v>0.17</v>
      </c>
      <c r="I1142" t="s">
        <v>1933</v>
      </c>
      <c r="J1142" s="16">
        <v>1156.3725999999999</v>
      </c>
      <c r="K1142" s="19">
        <f t="shared" si="85"/>
        <v>927349.72310000064</v>
      </c>
      <c r="L1142" s="22">
        <f t="shared" si="86"/>
        <v>1078.3136315116287</v>
      </c>
      <c r="M1142" s="22">
        <f t="shared" si="87"/>
        <v>296</v>
      </c>
      <c r="N1142" s="22" t="str">
        <f t="shared" si="88"/>
        <v>High Value</v>
      </c>
      <c r="O1142" s="22" t="str">
        <f t="shared" si="89"/>
        <v>Jul-2025</v>
      </c>
      <c r="P1142" s="22" t="s">
        <v>1653</v>
      </c>
      <c r="Q1142" s="22" t="s">
        <v>1531</v>
      </c>
      <c r="R1142" s="22" t="s">
        <v>591</v>
      </c>
      <c r="S1142" s="22"/>
      <c r="T1142" s="22"/>
      <c r="V1142" s="26" t="s">
        <v>1933</v>
      </c>
      <c r="W1142" s="6">
        <v>6</v>
      </c>
    </row>
    <row r="1143" spans="1:23">
      <c r="A1143" t="s">
        <v>3080</v>
      </c>
      <c r="B1143" s="8">
        <v>45416</v>
      </c>
      <c r="C1143" t="s">
        <v>1160</v>
      </c>
      <c r="D1143" t="s">
        <v>1690</v>
      </c>
      <c r="E1143" t="s">
        <v>1886</v>
      </c>
      <c r="F1143">
        <v>2</v>
      </c>
      <c r="G1143" s="10">
        <v>143.79</v>
      </c>
      <c r="H1143" s="13">
        <v>0.1</v>
      </c>
      <c r="I1143" t="s">
        <v>1933</v>
      </c>
      <c r="J1143" s="16">
        <v>258.822</v>
      </c>
      <c r="K1143" s="19">
        <f t="shared" si="85"/>
        <v>926193.35050000076</v>
      </c>
      <c r="L1143" s="22">
        <f t="shared" si="86"/>
        <v>1078.2227596041919</v>
      </c>
      <c r="M1143" s="22">
        <f t="shared" si="87"/>
        <v>295</v>
      </c>
      <c r="N1143" s="22" t="str">
        <f t="shared" si="88"/>
        <v>Low Value</v>
      </c>
      <c r="O1143" s="22" t="str">
        <f t="shared" si="89"/>
        <v>May-2024</v>
      </c>
      <c r="P1143" s="22" t="s">
        <v>1691</v>
      </c>
      <c r="Q1143" s="22" t="s">
        <v>1536</v>
      </c>
      <c r="R1143" s="22" t="s">
        <v>1161</v>
      </c>
      <c r="S1143" s="22"/>
      <c r="T1143" s="22"/>
      <c r="V1143" s="25" t="s">
        <v>1146</v>
      </c>
      <c r="W1143" s="6">
        <v>5</v>
      </c>
    </row>
    <row r="1144" spans="1:23">
      <c r="A1144" t="s">
        <v>3081</v>
      </c>
      <c r="B1144" s="8">
        <v>45608</v>
      </c>
      <c r="C1144" t="s">
        <v>935</v>
      </c>
      <c r="D1144" t="s">
        <v>1804</v>
      </c>
      <c r="E1144" t="s">
        <v>1864</v>
      </c>
      <c r="F1144">
        <v>3</v>
      </c>
      <c r="G1144" s="10">
        <v>460.93</v>
      </c>
      <c r="H1144" s="13">
        <v>0.19</v>
      </c>
      <c r="I1144" t="s">
        <v>1936</v>
      </c>
      <c r="J1144" s="16">
        <v>1120.0599</v>
      </c>
      <c r="K1144" s="19">
        <f t="shared" si="85"/>
        <v>925934.5285000006</v>
      </c>
      <c r="L1144" s="22">
        <f t="shared" si="86"/>
        <v>1079.1777721445228</v>
      </c>
      <c r="M1144" s="22">
        <f t="shared" si="87"/>
        <v>294</v>
      </c>
      <c r="N1144" s="22" t="str">
        <f t="shared" si="88"/>
        <v>High Value</v>
      </c>
      <c r="O1144" s="22" t="str">
        <f t="shared" si="89"/>
        <v>Nov-2024</v>
      </c>
      <c r="P1144" s="22" t="s">
        <v>1805</v>
      </c>
      <c r="Q1144" s="22" t="s">
        <v>1555</v>
      </c>
      <c r="R1144" s="22" t="s">
        <v>936</v>
      </c>
      <c r="S1144" s="22"/>
      <c r="T1144" s="22"/>
      <c r="V1144" s="26" t="s">
        <v>1936</v>
      </c>
      <c r="W1144" s="6">
        <v>3</v>
      </c>
    </row>
    <row r="1145" spans="1:23">
      <c r="A1145" t="s">
        <v>3082</v>
      </c>
      <c r="B1145" s="8">
        <v>45301</v>
      </c>
      <c r="C1145" t="s">
        <v>2114</v>
      </c>
      <c r="D1145" t="s">
        <v>1633</v>
      </c>
      <c r="E1145" t="s">
        <v>1893</v>
      </c>
      <c r="F1145">
        <v>2</v>
      </c>
      <c r="G1145" s="10">
        <v>67.55</v>
      </c>
      <c r="H1145" s="13">
        <v>0.03</v>
      </c>
      <c r="I1145" t="s">
        <v>1931</v>
      </c>
      <c r="J1145" s="16">
        <v>131.047</v>
      </c>
      <c r="K1145" s="19">
        <f t="shared" si="85"/>
        <v>924814.46860000084</v>
      </c>
      <c r="L1145" s="22">
        <f t="shared" si="86"/>
        <v>1079.1300683780639</v>
      </c>
      <c r="M1145" s="22">
        <f t="shared" si="87"/>
        <v>294</v>
      </c>
      <c r="N1145" s="22" t="str">
        <f t="shared" si="88"/>
        <v>Low Value</v>
      </c>
      <c r="O1145" s="22" t="str">
        <f t="shared" si="89"/>
        <v>Jan-2024</v>
      </c>
      <c r="P1145" s="22" t="s">
        <v>1634</v>
      </c>
      <c r="Q1145" s="22" t="s">
        <v>1569</v>
      </c>
      <c r="R1145" s="22" t="s">
        <v>1520</v>
      </c>
      <c r="S1145" s="22"/>
      <c r="T1145" s="22"/>
      <c r="V1145" s="26" t="s">
        <v>1931</v>
      </c>
      <c r="W1145" s="6">
        <v>1</v>
      </c>
    </row>
    <row r="1146" spans="1:23">
      <c r="A1146" t="s">
        <v>3083</v>
      </c>
      <c r="B1146" s="8">
        <v>45433</v>
      </c>
      <c r="C1146" t="s">
        <v>682</v>
      </c>
      <c r="D1146" t="s">
        <v>1700</v>
      </c>
      <c r="E1146" t="s">
        <v>1864</v>
      </c>
      <c r="F1146">
        <v>3</v>
      </c>
      <c r="G1146" s="10">
        <v>803.31</v>
      </c>
      <c r="H1146" s="13">
        <v>0.1</v>
      </c>
      <c r="I1146" t="s">
        <v>1933</v>
      </c>
      <c r="J1146" s="16">
        <v>2168.9369999999999</v>
      </c>
      <c r="K1146" s="19">
        <f t="shared" si="85"/>
        <v>924683.42160000082</v>
      </c>
      <c r="L1146" s="22">
        <f t="shared" si="86"/>
        <v>1080.2376420560756</v>
      </c>
      <c r="M1146" s="22">
        <f t="shared" si="87"/>
        <v>294</v>
      </c>
      <c r="N1146" s="22" t="str">
        <f t="shared" si="88"/>
        <v>High Value</v>
      </c>
      <c r="O1146" s="22" t="str">
        <f t="shared" si="89"/>
        <v>May-2024</v>
      </c>
      <c r="P1146" s="22" t="s">
        <v>1701</v>
      </c>
      <c r="Q1146" s="22" t="s">
        <v>1555</v>
      </c>
      <c r="R1146" s="22" t="s">
        <v>683</v>
      </c>
      <c r="S1146" s="22"/>
      <c r="T1146" s="22"/>
      <c r="V1146" s="26" t="s">
        <v>1933</v>
      </c>
      <c r="W1146" s="6">
        <v>1</v>
      </c>
    </row>
    <row r="1147" spans="1:23">
      <c r="A1147" t="s">
        <v>3084</v>
      </c>
      <c r="B1147" s="8">
        <v>45821</v>
      </c>
      <c r="C1147" t="s">
        <v>1331</v>
      </c>
      <c r="D1147" t="s">
        <v>1970</v>
      </c>
      <c r="E1147" t="s">
        <v>1904</v>
      </c>
      <c r="F1147">
        <v>4</v>
      </c>
      <c r="G1147" s="10">
        <v>254.71</v>
      </c>
      <c r="H1147" s="13">
        <v>0.2</v>
      </c>
      <c r="I1147" t="s">
        <v>1936</v>
      </c>
      <c r="J1147" s="16">
        <v>815.07200000000012</v>
      </c>
      <c r="K1147" s="19">
        <f t="shared" si="85"/>
        <v>922514.48460000067</v>
      </c>
      <c r="L1147" s="22">
        <f t="shared" si="86"/>
        <v>1078.964309473685</v>
      </c>
      <c r="M1147" s="22">
        <f t="shared" si="87"/>
        <v>293</v>
      </c>
      <c r="N1147" s="22" t="str">
        <f t="shared" si="88"/>
        <v>Low Value</v>
      </c>
      <c r="O1147" s="22" t="str">
        <f t="shared" si="89"/>
        <v>Jun-2025</v>
      </c>
      <c r="P1147" s="22" t="s">
        <v>1594</v>
      </c>
      <c r="Q1147" s="22" t="s">
        <v>1555</v>
      </c>
      <c r="R1147" s="22" t="s">
        <v>1332</v>
      </c>
      <c r="S1147" s="22"/>
      <c r="T1147" s="22"/>
      <c r="V1147" s="25" t="s">
        <v>3952</v>
      </c>
      <c r="W1147" s="6">
        <v>5</v>
      </c>
    </row>
    <row r="1148" spans="1:23">
      <c r="A1148" t="s">
        <v>3085</v>
      </c>
      <c r="B1148" s="8">
        <v>45508</v>
      </c>
      <c r="C1148" t="s">
        <v>192</v>
      </c>
      <c r="D1148" t="s">
        <v>1704</v>
      </c>
      <c r="E1148" t="s">
        <v>1876</v>
      </c>
      <c r="F1148">
        <v>4</v>
      </c>
      <c r="G1148" s="10">
        <v>594.89</v>
      </c>
      <c r="H1148" s="13">
        <v>0.3</v>
      </c>
      <c r="I1148" t="s">
        <v>1933</v>
      </c>
      <c r="J1148" s="16">
        <v>1665.692</v>
      </c>
      <c r="K1148" s="19">
        <f t="shared" si="85"/>
        <v>921699.41260000074</v>
      </c>
      <c r="L1148" s="22">
        <f t="shared" si="86"/>
        <v>1079.2733168618277</v>
      </c>
      <c r="M1148" s="22">
        <f t="shared" si="87"/>
        <v>293</v>
      </c>
      <c r="N1148" s="22" t="str">
        <f t="shared" si="88"/>
        <v>High Value</v>
      </c>
      <c r="O1148" s="22" t="str">
        <f t="shared" si="89"/>
        <v>Aug-2024</v>
      </c>
      <c r="P1148" s="22" t="s">
        <v>1705</v>
      </c>
      <c r="Q1148" s="22" t="s">
        <v>1569</v>
      </c>
      <c r="R1148" s="22" t="s">
        <v>193</v>
      </c>
      <c r="S1148" s="22"/>
      <c r="T1148" s="22"/>
      <c r="V1148" s="26" t="s">
        <v>1933</v>
      </c>
      <c r="W1148" s="6">
        <v>5</v>
      </c>
    </row>
    <row r="1149" spans="1:23">
      <c r="A1149" t="s">
        <v>3086</v>
      </c>
      <c r="B1149" s="8">
        <v>45854</v>
      </c>
      <c r="C1149" t="s">
        <v>709</v>
      </c>
      <c r="D1149" t="s">
        <v>1828</v>
      </c>
      <c r="E1149" t="s">
        <v>1859</v>
      </c>
      <c r="F1149">
        <v>2</v>
      </c>
      <c r="G1149" s="10">
        <v>844.31</v>
      </c>
      <c r="H1149" s="13">
        <v>7.0000000000000007E-2</v>
      </c>
      <c r="I1149" t="s">
        <v>1933</v>
      </c>
      <c r="J1149" s="16">
        <v>1570.4166</v>
      </c>
      <c r="K1149" s="19">
        <f t="shared" si="85"/>
        <v>920033.7206000007</v>
      </c>
      <c r="L1149" s="22">
        <f t="shared" si="86"/>
        <v>1078.5858389214545</v>
      </c>
      <c r="M1149" s="22">
        <f t="shared" si="87"/>
        <v>292</v>
      </c>
      <c r="N1149" s="22" t="str">
        <f t="shared" si="88"/>
        <v>High Value</v>
      </c>
      <c r="O1149" s="22" t="str">
        <f t="shared" si="89"/>
        <v>Jul-2025</v>
      </c>
      <c r="P1149" s="22" t="s">
        <v>1829</v>
      </c>
      <c r="Q1149" s="22" t="s">
        <v>1536</v>
      </c>
      <c r="R1149" s="22" t="s">
        <v>710</v>
      </c>
      <c r="S1149" s="22"/>
      <c r="T1149" s="22"/>
      <c r="V1149" s="25" t="s">
        <v>914</v>
      </c>
      <c r="W1149" s="6">
        <v>7</v>
      </c>
    </row>
    <row r="1150" spans="1:23">
      <c r="A1150" t="s">
        <v>3087</v>
      </c>
      <c r="B1150" s="8">
        <v>45569</v>
      </c>
      <c r="C1150" t="s">
        <v>456</v>
      </c>
      <c r="D1150" t="s">
        <v>1590</v>
      </c>
      <c r="E1150" t="s">
        <v>1883</v>
      </c>
      <c r="F1150">
        <v>4</v>
      </c>
      <c r="G1150" s="10">
        <v>101.33</v>
      </c>
      <c r="H1150" s="13">
        <v>0</v>
      </c>
      <c r="I1150" t="s">
        <v>1931</v>
      </c>
      <c r="J1150" s="16">
        <v>405.32</v>
      </c>
      <c r="K1150" s="19">
        <f t="shared" si="85"/>
        <v>918463.30400000059</v>
      </c>
      <c r="L1150" s="22">
        <f t="shared" si="86"/>
        <v>1078.0085727699538</v>
      </c>
      <c r="M1150" s="22">
        <f t="shared" si="87"/>
        <v>291</v>
      </c>
      <c r="N1150" s="22" t="str">
        <f t="shared" si="88"/>
        <v>Low Value</v>
      </c>
      <c r="O1150" s="22" t="str">
        <f t="shared" si="89"/>
        <v>Oct-2024</v>
      </c>
      <c r="P1150" s="22" t="s">
        <v>1591</v>
      </c>
      <c r="Q1150" s="22" t="s">
        <v>1531</v>
      </c>
      <c r="R1150" s="22" t="s">
        <v>457</v>
      </c>
      <c r="S1150" s="22"/>
      <c r="T1150" s="22"/>
      <c r="V1150" s="26" t="s">
        <v>1936</v>
      </c>
      <c r="W1150" s="6">
        <v>4</v>
      </c>
    </row>
    <row r="1151" spans="1:23">
      <c r="A1151" t="s">
        <v>3088</v>
      </c>
      <c r="B1151" s="8">
        <v>45824</v>
      </c>
      <c r="C1151" t="s">
        <v>447</v>
      </c>
      <c r="D1151" t="s">
        <v>1627</v>
      </c>
      <c r="E1151" t="s">
        <v>1889</v>
      </c>
      <c r="F1151">
        <v>3</v>
      </c>
      <c r="G1151" s="10">
        <v>922.56</v>
      </c>
      <c r="H1151" s="13">
        <v>0.18</v>
      </c>
      <c r="I1151" t="s">
        <v>1933</v>
      </c>
      <c r="J1151" s="16">
        <v>2269.4976000000001</v>
      </c>
      <c r="K1151" s="19">
        <f t="shared" si="85"/>
        <v>918057.98400000052</v>
      </c>
      <c r="L1151" s="22">
        <f t="shared" si="86"/>
        <v>1078.7990411280853</v>
      </c>
      <c r="M1151" s="22">
        <f t="shared" si="87"/>
        <v>291</v>
      </c>
      <c r="N1151" s="22" t="str">
        <f t="shared" si="88"/>
        <v>High Value</v>
      </c>
      <c r="O1151" s="22" t="str">
        <f t="shared" si="89"/>
        <v>Jun-2025</v>
      </c>
      <c r="P1151" s="22" t="s">
        <v>1628</v>
      </c>
      <c r="Q1151" s="22" t="s">
        <v>1531</v>
      </c>
      <c r="R1151" s="22" t="s">
        <v>448</v>
      </c>
      <c r="S1151" s="22"/>
      <c r="T1151" s="22"/>
      <c r="V1151" s="26" t="s">
        <v>1931</v>
      </c>
      <c r="W1151" s="6">
        <v>1</v>
      </c>
    </row>
    <row r="1152" spans="1:23">
      <c r="A1152" t="s">
        <v>3089</v>
      </c>
      <c r="B1152" s="8">
        <v>45352</v>
      </c>
      <c r="C1152" t="s">
        <v>1331</v>
      </c>
      <c r="D1152" t="s">
        <v>1665</v>
      </c>
      <c r="E1152" t="s">
        <v>1906</v>
      </c>
      <c r="F1152">
        <v>4</v>
      </c>
      <c r="G1152" s="10">
        <v>867.19</v>
      </c>
      <c r="H1152" s="13">
        <v>7.0000000000000007E-2</v>
      </c>
      <c r="I1152" t="s">
        <v>1936</v>
      </c>
      <c r="J1152" s="16">
        <v>3225.9468000000002</v>
      </c>
      <c r="K1152" s="19">
        <f t="shared" si="85"/>
        <v>915788.48640000063</v>
      </c>
      <c r="L1152" s="22">
        <f t="shared" si="86"/>
        <v>1077.3982192941185</v>
      </c>
      <c r="M1152" s="22">
        <f t="shared" si="87"/>
        <v>290</v>
      </c>
      <c r="N1152" s="22" t="str">
        <f t="shared" si="88"/>
        <v>High Value</v>
      </c>
      <c r="O1152" s="22" t="str">
        <f t="shared" si="89"/>
        <v>Mar-2024</v>
      </c>
      <c r="P1152" s="22" t="s">
        <v>1666</v>
      </c>
      <c r="Q1152" s="22" t="s">
        <v>1569</v>
      </c>
      <c r="R1152" s="22" t="s">
        <v>1332</v>
      </c>
      <c r="S1152" s="22"/>
      <c r="T1152" s="22"/>
      <c r="V1152" s="26" t="s">
        <v>1933</v>
      </c>
      <c r="W1152" s="6">
        <v>2</v>
      </c>
    </row>
    <row r="1153" spans="1:23">
      <c r="A1153" t="s">
        <v>3090</v>
      </c>
      <c r="B1153" s="8">
        <v>45454</v>
      </c>
      <c r="C1153" t="s">
        <v>35</v>
      </c>
      <c r="D1153" t="s">
        <v>1804</v>
      </c>
      <c r="E1153" t="s">
        <v>1914</v>
      </c>
      <c r="F1153">
        <v>3</v>
      </c>
      <c r="G1153" s="10">
        <v>816.87</v>
      </c>
      <c r="H1153" s="13">
        <v>0.14000000000000001</v>
      </c>
      <c r="I1153" t="s">
        <v>1933</v>
      </c>
      <c r="J1153" s="16">
        <v>2107.5246000000002</v>
      </c>
      <c r="K1153" s="19">
        <f t="shared" si="85"/>
        <v>912562.53960000037</v>
      </c>
      <c r="L1153" s="22">
        <f t="shared" si="86"/>
        <v>1074.8675378091878</v>
      </c>
      <c r="M1153" s="22">
        <f t="shared" si="87"/>
        <v>290</v>
      </c>
      <c r="N1153" s="22" t="str">
        <f t="shared" si="88"/>
        <v>High Value</v>
      </c>
      <c r="O1153" s="22" t="str">
        <f t="shared" si="89"/>
        <v>Jun-2024</v>
      </c>
      <c r="P1153" s="22" t="s">
        <v>1805</v>
      </c>
      <c r="Q1153" s="22" t="s">
        <v>1555</v>
      </c>
      <c r="R1153" s="22" t="s">
        <v>36</v>
      </c>
      <c r="S1153" s="22"/>
      <c r="T1153" s="22"/>
      <c r="V1153" s="25" t="s">
        <v>286</v>
      </c>
      <c r="W1153" s="6">
        <v>2</v>
      </c>
    </row>
    <row r="1154" spans="1:23">
      <c r="A1154" t="s">
        <v>3091</v>
      </c>
      <c r="B1154" s="8">
        <v>45924</v>
      </c>
      <c r="C1154" t="s">
        <v>1467</v>
      </c>
      <c r="D1154" t="s">
        <v>1749</v>
      </c>
      <c r="E1154" t="s">
        <v>1873</v>
      </c>
      <c r="F1154">
        <v>3</v>
      </c>
      <c r="G1154" s="10">
        <v>258.06</v>
      </c>
      <c r="H1154" s="13">
        <v>0</v>
      </c>
      <c r="I1154" t="s">
        <v>1933</v>
      </c>
      <c r="J1154" s="16">
        <v>774.18000000000006</v>
      </c>
      <c r="K1154" s="19">
        <f t="shared" ref="K1154:K1217" si="90">SUM(J1154:J3153)</f>
        <v>910455.01500000025</v>
      </c>
      <c r="L1154" s="22">
        <f t="shared" ref="L1154:L1217" si="91">AVERAGE(J1154:J3153)</f>
        <v>1073.6497818396228</v>
      </c>
      <c r="M1154" s="22">
        <f t="shared" ref="M1154:M1217" si="92">COUNTIF(I1154:I3153,"PayPal")</f>
        <v>289</v>
      </c>
      <c r="N1154" s="22" t="str">
        <f t="shared" ref="N1154:N1217" si="93">IF(J1154&gt;=1000,"High Value","Low Value")</f>
        <v>Low Value</v>
      </c>
      <c r="O1154" s="22" t="str">
        <f t="shared" ref="O1154:O1217" si="94">TEXT(B1154,"mmm-yyyy")</f>
        <v>Sep-2025</v>
      </c>
      <c r="P1154" s="22" t="s">
        <v>1750</v>
      </c>
      <c r="Q1154" s="22" t="s">
        <v>1569</v>
      </c>
      <c r="R1154" s="22" t="s">
        <v>1468</v>
      </c>
      <c r="S1154" s="22"/>
      <c r="T1154" s="22"/>
      <c r="V1154" s="26" t="s">
        <v>1931</v>
      </c>
      <c r="W1154" s="6">
        <v>2</v>
      </c>
    </row>
    <row r="1155" spans="1:23">
      <c r="A1155" t="s">
        <v>3092</v>
      </c>
      <c r="B1155" s="8">
        <v>45694</v>
      </c>
      <c r="C1155" t="s">
        <v>981</v>
      </c>
      <c r="D1155" t="s">
        <v>1665</v>
      </c>
      <c r="E1155" t="s">
        <v>1906</v>
      </c>
      <c r="F1155">
        <v>2</v>
      </c>
      <c r="G1155" s="10">
        <v>574.58000000000004</v>
      </c>
      <c r="H1155" s="13">
        <v>0.06</v>
      </c>
      <c r="I1155" t="s">
        <v>1931</v>
      </c>
      <c r="J1155" s="16">
        <v>1080.2103999999999</v>
      </c>
      <c r="K1155" s="19">
        <f t="shared" si="90"/>
        <v>909680.83500000031</v>
      </c>
      <c r="L1155" s="22">
        <f t="shared" si="91"/>
        <v>1074.0033471074385</v>
      </c>
      <c r="M1155" s="22">
        <f t="shared" si="92"/>
        <v>288</v>
      </c>
      <c r="N1155" s="22" t="str">
        <f t="shared" si="93"/>
        <v>High Value</v>
      </c>
      <c r="O1155" s="22" t="str">
        <f t="shared" si="94"/>
        <v>Feb-2025</v>
      </c>
      <c r="P1155" s="22" t="s">
        <v>1666</v>
      </c>
      <c r="Q1155" s="22" t="s">
        <v>1569</v>
      </c>
      <c r="R1155" s="22" t="s">
        <v>982</v>
      </c>
      <c r="S1155" s="22"/>
      <c r="T1155" s="22"/>
      <c r="V1155" s="25" t="s">
        <v>1349</v>
      </c>
      <c r="W1155" s="6">
        <v>8</v>
      </c>
    </row>
    <row r="1156" spans="1:23">
      <c r="A1156" t="s">
        <v>3093</v>
      </c>
      <c r="B1156" s="8">
        <v>45587</v>
      </c>
      <c r="C1156" t="s">
        <v>97</v>
      </c>
      <c r="D1156" t="s">
        <v>1804</v>
      </c>
      <c r="E1156" t="s">
        <v>1883</v>
      </c>
      <c r="F1156">
        <v>2</v>
      </c>
      <c r="G1156" s="10">
        <v>472.18</v>
      </c>
      <c r="H1156" s="13">
        <v>0.27</v>
      </c>
      <c r="I1156" t="s">
        <v>1933</v>
      </c>
      <c r="J1156" s="16">
        <v>689.38279999999997</v>
      </c>
      <c r="K1156" s="19">
        <f t="shared" si="90"/>
        <v>908600.62460000033</v>
      </c>
      <c r="L1156" s="22">
        <f t="shared" si="91"/>
        <v>1073.9960101654851</v>
      </c>
      <c r="M1156" s="22">
        <f t="shared" si="92"/>
        <v>288</v>
      </c>
      <c r="N1156" s="22" t="str">
        <f t="shared" si="93"/>
        <v>Low Value</v>
      </c>
      <c r="O1156" s="22" t="str">
        <f t="shared" si="94"/>
        <v>Oct-2024</v>
      </c>
      <c r="P1156" s="22" t="s">
        <v>1805</v>
      </c>
      <c r="Q1156" s="22" t="s">
        <v>1555</v>
      </c>
      <c r="R1156" s="22" t="s">
        <v>3942</v>
      </c>
      <c r="S1156" s="22"/>
      <c r="T1156" s="22"/>
      <c r="V1156" s="26" t="s">
        <v>1936</v>
      </c>
      <c r="W1156" s="6">
        <v>3</v>
      </c>
    </row>
    <row r="1157" spans="1:23">
      <c r="A1157" t="s">
        <v>3094</v>
      </c>
      <c r="B1157" s="8">
        <v>45556</v>
      </c>
      <c r="C1157" t="s">
        <v>1064</v>
      </c>
      <c r="D1157" t="s">
        <v>1675</v>
      </c>
      <c r="E1157" t="s">
        <v>1880</v>
      </c>
      <c r="F1157">
        <v>2</v>
      </c>
      <c r="G1157" s="10">
        <v>20.47</v>
      </c>
      <c r="H1157" s="13">
        <v>0.12</v>
      </c>
      <c r="I1157" t="s">
        <v>1936</v>
      </c>
      <c r="J1157" s="16">
        <v>36.027200000000001</v>
      </c>
      <c r="K1157" s="19">
        <f t="shared" si="90"/>
        <v>907911.24180000031</v>
      </c>
      <c r="L1157" s="22">
        <f t="shared" si="91"/>
        <v>1074.451173727811</v>
      </c>
      <c r="M1157" s="22">
        <f t="shared" si="92"/>
        <v>287</v>
      </c>
      <c r="N1157" s="22" t="str">
        <f t="shared" si="93"/>
        <v>Low Value</v>
      </c>
      <c r="O1157" s="22" t="str">
        <f t="shared" si="94"/>
        <v>Sep-2024</v>
      </c>
      <c r="P1157" s="22" t="s">
        <v>1676</v>
      </c>
      <c r="Q1157" s="22" t="s">
        <v>1569</v>
      </c>
      <c r="R1157" s="22" t="s">
        <v>1065</v>
      </c>
      <c r="S1157" s="22"/>
      <c r="T1157" s="22"/>
      <c r="V1157" s="26" t="s">
        <v>1933</v>
      </c>
      <c r="W1157" s="6">
        <v>5</v>
      </c>
    </row>
    <row r="1158" spans="1:23">
      <c r="A1158" t="s">
        <v>3095</v>
      </c>
      <c r="B1158" s="8">
        <v>45923</v>
      </c>
      <c r="C1158" t="s">
        <v>100</v>
      </c>
      <c r="D1158" t="s">
        <v>1614</v>
      </c>
      <c r="E1158" t="s">
        <v>1886</v>
      </c>
      <c r="F1158">
        <v>3</v>
      </c>
      <c r="G1158" s="10">
        <v>235.41</v>
      </c>
      <c r="H1158" s="13">
        <v>0.15</v>
      </c>
      <c r="I1158" t="s">
        <v>1933</v>
      </c>
      <c r="J1158" s="16">
        <v>600.29549999999995</v>
      </c>
      <c r="K1158" s="19">
        <f t="shared" si="90"/>
        <v>907875.21460000018</v>
      </c>
      <c r="L1158" s="22">
        <f t="shared" si="91"/>
        <v>1075.6815338862561</v>
      </c>
      <c r="M1158" s="22">
        <f t="shared" si="92"/>
        <v>287</v>
      </c>
      <c r="N1158" s="22" t="str">
        <f t="shared" si="93"/>
        <v>Low Value</v>
      </c>
      <c r="O1158" s="22" t="str">
        <f t="shared" si="94"/>
        <v>Sep-2025</v>
      </c>
      <c r="P1158" s="22" t="s">
        <v>1615</v>
      </c>
      <c r="Q1158" s="22" t="s">
        <v>1569</v>
      </c>
      <c r="R1158" s="22" t="s">
        <v>101</v>
      </c>
      <c r="S1158" s="22"/>
      <c r="T1158" s="22"/>
      <c r="V1158" s="25" t="s">
        <v>1295</v>
      </c>
      <c r="W1158" s="6">
        <v>6</v>
      </c>
    </row>
    <row r="1159" spans="1:23">
      <c r="A1159" t="s">
        <v>3096</v>
      </c>
      <c r="B1159" s="8">
        <v>45811</v>
      </c>
      <c r="C1159" t="s">
        <v>741</v>
      </c>
      <c r="D1159" t="s">
        <v>1789</v>
      </c>
      <c r="E1159" t="s">
        <v>1886</v>
      </c>
      <c r="F1159">
        <v>3</v>
      </c>
      <c r="G1159" s="10">
        <v>744.9</v>
      </c>
      <c r="H1159" s="13">
        <v>0.27</v>
      </c>
      <c r="I1159" t="s">
        <v>1933</v>
      </c>
      <c r="J1159" s="16">
        <v>1631.3309999999999</v>
      </c>
      <c r="K1159" s="19">
        <f t="shared" si="90"/>
        <v>907274.91910000017</v>
      </c>
      <c r="L1159" s="22">
        <f t="shared" si="91"/>
        <v>1076.2454556346383</v>
      </c>
      <c r="M1159" s="22">
        <f t="shared" si="92"/>
        <v>286</v>
      </c>
      <c r="N1159" s="22" t="str">
        <f t="shared" si="93"/>
        <v>High Value</v>
      </c>
      <c r="O1159" s="22" t="str">
        <f t="shared" si="94"/>
        <v>Jun-2025</v>
      </c>
      <c r="P1159" s="22" t="s">
        <v>1790</v>
      </c>
      <c r="Q1159" s="22" t="s">
        <v>1560</v>
      </c>
      <c r="R1159" s="22" t="s">
        <v>742</v>
      </c>
      <c r="S1159" s="22"/>
      <c r="T1159" s="22"/>
      <c r="V1159" s="26" t="s">
        <v>1931</v>
      </c>
      <c r="W1159" s="6">
        <v>6</v>
      </c>
    </row>
    <row r="1160" spans="1:23">
      <c r="A1160" t="s">
        <v>3097</v>
      </c>
      <c r="B1160" s="8">
        <v>45559</v>
      </c>
      <c r="C1160" t="s">
        <v>178</v>
      </c>
      <c r="D1160" t="s">
        <v>1600</v>
      </c>
      <c r="E1160" t="s">
        <v>1873</v>
      </c>
      <c r="F1160">
        <v>2</v>
      </c>
      <c r="G1160" s="10">
        <v>382.2</v>
      </c>
      <c r="H1160" s="13">
        <v>0.15</v>
      </c>
      <c r="I1160" t="s">
        <v>1931</v>
      </c>
      <c r="J1160" s="16">
        <v>649.74</v>
      </c>
      <c r="K1160" s="19">
        <f t="shared" si="90"/>
        <v>905643.58810000017</v>
      </c>
      <c r="L1160" s="22">
        <f t="shared" si="91"/>
        <v>1075.5862091448932</v>
      </c>
      <c r="M1160" s="22">
        <f t="shared" si="92"/>
        <v>285</v>
      </c>
      <c r="N1160" s="22" t="str">
        <f t="shared" si="93"/>
        <v>Low Value</v>
      </c>
      <c r="O1160" s="22" t="str">
        <f t="shared" si="94"/>
        <v>Sep-2024</v>
      </c>
      <c r="P1160" s="22" t="s">
        <v>1601</v>
      </c>
      <c r="Q1160" s="22" t="s">
        <v>1536</v>
      </c>
      <c r="R1160" s="22" t="s">
        <v>179</v>
      </c>
      <c r="S1160" s="22"/>
      <c r="T1160" s="22"/>
      <c r="V1160" s="25" t="s">
        <v>1375</v>
      </c>
      <c r="W1160" s="6">
        <v>1</v>
      </c>
    </row>
    <row r="1161" spans="1:23">
      <c r="A1161" t="s">
        <v>3098</v>
      </c>
      <c r="B1161" s="8">
        <v>45881</v>
      </c>
      <c r="C1161" t="s">
        <v>1082</v>
      </c>
      <c r="D1161" t="s">
        <v>1825</v>
      </c>
      <c r="E1161" t="s">
        <v>1911</v>
      </c>
      <c r="F1161">
        <v>1</v>
      </c>
      <c r="G1161" s="10">
        <v>269.25</v>
      </c>
      <c r="H1161" s="13">
        <v>0.14000000000000001</v>
      </c>
      <c r="I1161" t="s">
        <v>1933</v>
      </c>
      <c r="J1161" s="16">
        <v>231.55500000000001</v>
      </c>
      <c r="K1161" s="19">
        <f t="shared" si="90"/>
        <v>904993.84810000018</v>
      </c>
      <c r="L1161" s="22">
        <f t="shared" si="91"/>
        <v>1076.0925661117719</v>
      </c>
      <c r="M1161" s="22">
        <f t="shared" si="92"/>
        <v>285</v>
      </c>
      <c r="N1161" s="22" t="str">
        <f t="shared" si="93"/>
        <v>Low Value</v>
      </c>
      <c r="O1161" s="22" t="str">
        <f t="shared" si="94"/>
        <v>Aug-2025</v>
      </c>
      <c r="P1161" s="22" t="s">
        <v>1826</v>
      </c>
      <c r="Q1161" s="22" t="s">
        <v>1531</v>
      </c>
      <c r="R1161" s="22" t="s">
        <v>1083</v>
      </c>
      <c r="S1161" s="22"/>
      <c r="T1161" s="22"/>
      <c r="V1161" s="26" t="s">
        <v>1933</v>
      </c>
      <c r="W1161" s="6">
        <v>1</v>
      </c>
    </row>
    <row r="1162" spans="1:23">
      <c r="A1162" t="s">
        <v>3099</v>
      </c>
      <c r="B1162" s="8">
        <v>45367</v>
      </c>
      <c r="C1162" t="s">
        <v>1136</v>
      </c>
      <c r="D1162" t="s">
        <v>1639</v>
      </c>
      <c r="E1162" t="s">
        <v>1899</v>
      </c>
      <c r="F1162">
        <v>2</v>
      </c>
      <c r="G1162" s="10">
        <v>723.75</v>
      </c>
      <c r="H1162" s="13">
        <v>0.03</v>
      </c>
      <c r="I1162" t="s">
        <v>1933</v>
      </c>
      <c r="J1162" s="16">
        <v>1404.075</v>
      </c>
      <c r="K1162" s="19">
        <f t="shared" si="90"/>
        <v>904762.29310000024</v>
      </c>
      <c r="L1162" s="22">
        <f t="shared" si="91"/>
        <v>1077.0979679761908</v>
      </c>
      <c r="M1162" s="22">
        <f t="shared" si="92"/>
        <v>284</v>
      </c>
      <c r="N1162" s="22" t="str">
        <f t="shared" si="93"/>
        <v>High Value</v>
      </c>
      <c r="O1162" s="22" t="str">
        <f t="shared" si="94"/>
        <v>Mar-2024</v>
      </c>
      <c r="P1162" s="22" t="s">
        <v>1640</v>
      </c>
      <c r="Q1162" s="22" t="s">
        <v>1560</v>
      </c>
      <c r="R1162" s="22" t="s">
        <v>1137</v>
      </c>
      <c r="S1162" s="22"/>
      <c r="T1162" s="22"/>
      <c r="V1162" s="25" t="s">
        <v>1338</v>
      </c>
      <c r="W1162" s="6">
        <v>5</v>
      </c>
    </row>
    <row r="1163" spans="1:23">
      <c r="A1163" t="s">
        <v>3100</v>
      </c>
      <c r="B1163" s="8">
        <v>45832</v>
      </c>
      <c r="C1163" t="s">
        <v>892</v>
      </c>
      <c r="D1163" t="s">
        <v>1603</v>
      </c>
      <c r="E1163" t="s">
        <v>1920</v>
      </c>
      <c r="F1163">
        <v>4</v>
      </c>
      <c r="G1163" s="10">
        <v>58.92</v>
      </c>
      <c r="H1163" s="13">
        <v>0.18</v>
      </c>
      <c r="I1163" t="s">
        <v>1931</v>
      </c>
      <c r="J1163" s="16">
        <v>193.2576</v>
      </c>
      <c r="K1163" s="19">
        <f t="shared" si="90"/>
        <v>903358.21810000029</v>
      </c>
      <c r="L1163" s="22">
        <f t="shared" si="91"/>
        <v>1076.7082456495832</v>
      </c>
      <c r="M1163" s="22">
        <f t="shared" si="92"/>
        <v>283</v>
      </c>
      <c r="N1163" s="22" t="str">
        <f t="shared" si="93"/>
        <v>Low Value</v>
      </c>
      <c r="O1163" s="22" t="str">
        <f t="shared" si="94"/>
        <v>Jun-2025</v>
      </c>
      <c r="P1163" s="22" t="s">
        <v>1604</v>
      </c>
      <c r="Q1163" s="22" t="s">
        <v>1569</v>
      </c>
      <c r="R1163" s="22" t="s">
        <v>893</v>
      </c>
      <c r="S1163" s="22"/>
      <c r="T1163" s="22"/>
      <c r="V1163" s="26" t="s">
        <v>1931</v>
      </c>
      <c r="W1163" s="6">
        <v>4</v>
      </c>
    </row>
    <row r="1164" spans="1:23">
      <c r="A1164" t="s">
        <v>3101</v>
      </c>
      <c r="B1164" s="8">
        <v>45438</v>
      </c>
      <c r="C1164" t="s">
        <v>617</v>
      </c>
      <c r="D1164" t="s">
        <v>1768</v>
      </c>
      <c r="E1164" t="s">
        <v>1896</v>
      </c>
      <c r="F1164">
        <v>2</v>
      </c>
      <c r="G1164" s="10">
        <v>913.08</v>
      </c>
      <c r="H1164" s="13">
        <v>0.26</v>
      </c>
      <c r="I1164" t="s">
        <v>1931</v>
      </c>
      <c r="J1164" s="16">
        <v>1351.3584000000001</v>
      </c>
      <c r="K1164" s="19">
        <f t="shared" si="90"/>
        <v>903164.96050000039</v>
      </c>
      <c r="L1164" s="22">
        <f t="shared" si="91"/>
        <v>1077.7624826968979</v>
      </c>
      <c r="M1164" s="22">
        <f t="shared" si="92"/>
        <v>283</v>
      </c>
      <c r="N1164" s="22" t="str">
        <f t="shared" si="93"/>
        <v>High Value</v>
      </c>
      <c r="O1164" s="22" t="str">
        <f t="shared" si="94"/>
        <v>May-2024</v>
      </c>
      <c r="P1164" s="22" t="s">
        <v>1769</v>
      </c>
      <c r="Q1164" s="22" t="s">
        <v>1555</v>
      </c>
      <c r="R1164" s="22" t="s">
        <v>618</v>
      </c>
      <c r="S1164" s="22"/>
      <c r="T1164" s="22"/>
      <c r="V1164" s="26" t="s">
        <v>1933</v>
      </c>
      <c r="W1164" s="6">
        <v>1</v>
      </c>
    </row>
    <row r="1165" spans="1:23">
      <c r="A1165" t="s">
        <v>3102</v>
      </c>
      <c r="B1165" s="8">
        <v>45691</v>
      </c>
      <c r="C1165" t="s">
        <v>777</v>
      </c>
      <c r="D1165" t="s">
        <v>1798</v>
      </c>
      <c r="E1165" t="s">
        <v>1864</v>
      </c>
      <c r="F1165">
        <v>1</v>
      </c>
      <c r="G1165" s="10">
        <v>791.83</v>
      </c>
      <c r="H1165" s="13">
        <v>0.28000000000000003</v>
      </c>
      <c r="I1165" t="s">
        <v>1933</v>
      </c>
      <c r="J1165" s="16">
        <v>570.11760000000004</v>
      </c>
      <c r="K1165" s="19">
        <f t="shared" si="90"/>
        <v>901813.60210000037</v>
      </c>
      <c r="L1165" s="22">
        <f t="shared" si="91"/>
        <v>1077.4356058542419</v>
      </c>
      <c r="M1165" s="22">
        <f t="shared" si="92"/>
        <v>283</v>
      </c>
      <c r="N1165" s="22" t="str">
        <f t="shared" si="93"/>
        <v>Low Value</v>
      </c>
      <c r="O1165" s="22" t="str">
        <f t="shared" si="94"/>
        <v>Feb-2025</v>
      </c>
      <c r="P1165" s="22" t="s">
        <v>1799</v>
      </c>
      <c r="Q1165" s="22" t="s">
        <v>1569</v>
      </c>
      <c r="R1165" s="22" t="s">
        <v>778</v>
      </c>
      <c r="S1165" s="22"/>
      <c r="T1165" s="22"/>
      <c r="V1165" s="25" t="s">
        <v>457</v>
      </c>
      <c r="W1165" s="6">
        <v>13</v>
      </c>
    </row>
    <row r="1166" spans="1:23">
      <c r="A1166" t="s">
        <v>3103</v>
      </c>
      <c r="B1166" s="8">
        <v>45506</v>
      </c>
      <c r="C1166" t="s">
        <v>1442</v>
      </c>
      <c r="D1166" t="s">
        <v>2033</v>
      </c>
      <c r="E1166" t="s">
        <v>1908</v>
      </c>
      <c r="F1166">
        <v>1</v>
      </c>
      <c r="G1166" s="10">
        <v>74.290000000000006</v>
      </c>
      <c r="H1166" s="13">
        <v>0.3</v>
      </c>
      <c r="I1166" t="s">
        <v>1936</v>
      </c>
      <c r="J1166" s="16">
        <v>52.003</v>
      </c>
      <c r="K1166" s="19">
        <f t="shared" si="90"/>
        <v>901243.48450000037</v>
      </c>
      <c r="L1166" s="22">
        <f t="shared" si="91"/>
        <v>1078.0424455741631</v>
      </c>
      <c r="M1166" s="22">
        <f t="shared" si="92"/>
        <v>282</v>
      </c>
      <c r="N1166" s="22" t="str">
        <f t="shared" si="93"/>
        <v>Low Value</v>
      </c>
      <c r="O1166" s="22" t="str">
        <f t="shared" si="94"/>
        <v>Aug-2024</v>
      </c>
      <c r="P1166" s="22" t="s">
        <v>1543</v>
      </c>
      <c r="Q1166" s="22" t="s">
        <v>1536</v>
      </c>
      <c r="R1166" s="22" t="s">
        <v>1443</v>
      </c>
      <c r="S1166" s="22"/>
      <c r="T1166" s="22"/>
      <c r="V1166" s="26" t="s">
        <v>1931</v>
      </c>
      <c r="W1166" s="6">
        <v>7</v>
      </c>
    </row>
    <row r="1167" spans="1:23">
      <c r="A1167" t="s">
        <v>3104</v>
      </c>
      <c r="B1167" s="8">
        <v>45251</v>
      </c>
      <c r="C1167" t="s">
        <v>780</v>
      </c>
      <c r="D1167" t="s">
        <v>1655</v>
      </c>
      <c r="E1167" t="s">
        <v>1859</v>
      </c>
      <c r="F1167">
        <v>2</v>
      </c>
      <c r="G1167" s="10">
        <v>961.68</v>
      </c>
      <c r="H1167" s="13">
        <v>0.27</v>
      </c>
      <c r="I1167" t="s">
        <v>1933</v>
      </c>
      <c r="J1167" s="16">
        <v>1404.0527999999999</v>
      </c>
      <c r="K1167" s="19">
        <f t="shared" si="90"/>
        <v>901191.48150000034</v>
      </c>
      <c r="L1167" s="22">
        <f t="shared" si="91"/>
        <v>1079.2712353293418</v>
      </c>
      <c r="M1167" s="22">
        <f t="shared" si="92"/>
        <v>282</v>
      </c>
      <c r="N1167" s="22" t="str">
        <f t="shared" si="93"/>
        <v>High Value</v>
      </c>
      <c r="O1167" s="22" t="str">
        <f t="shared" si="94"/>
        <v>Nov-2023</v>
      </c>
      <c r="P1167" s="22" t="s">
        <v>1656</v>
      </c>
      <c r="Q1167" s="22" t="s">
        <v>1560</v>
      </c>
      <c r="R1167" s="22" t="s">
        <v>781</v>
      </c>
      <c r="S1167" s="22"/>
      <c r="T1167" s="22"/>
      <c r="V1167" s="26" t="s">
        <v>1933</v>
      </c>
      <c r="W1167" s="6">
        <v>6</v>
      </c>
    </row>
    <row r="1168" spans="1:23">
      <c r="A1168" t="s">
        <v>3105</v>
      </c>
      <c r="B1168" s="8">
        <v>45722</v>
      </c>
      <c r="C1168" t="s">
        <v>1505</v>
      </c>
      <c r="D1168" t="s">
        <v>1603</v>
      </c>
      <c r="E1168" t="s">
        <v>1906</v>
      </c>
      <c r="F1168">
        <v>1</v>
      </c>
      <c r="G1168" s="10">
        <v>90.72</v>
      </c>
      <c r="H1168" s="13">
        <v>0.1</v>
      </c>
      <c r="I1168" t="s">
        <v>1933</v>
      </c>
      <c r="J1168" s="16">
        <v>81.647999999999996</v>
      </c>
      <c r="K1168" s="19">
        <f t="shared" si="90"/>
        <v>899787.4287000004</v>
      </c>
      <c r="L1168" s="22">
        <f t="shared" si="91"/>
        <v>1078.8818089928063</v>
      </c>
      <c r="M1168" s="22">
        <f t="shared" si="92"/>
        <v>281</v>
      </c>
      <c r="N1168" s="22" t="str">
        <f t="shared" si="93"/>
        <v>Low Value</v>
      </c>
      <c r="O1168" s="22" t="str">
        <f t="shared" si="94"/>
        <v>Mar-2025</v>
      </c>
      <c r="P1168" s="22" t="s">
        <v>1604</v>
      </c>
      <c r="Q1168" s="22" t="s">
        <v>1569</v>
      </c>
      <c r="R1168" s="22" t="s">
        <v>1506</v>
      </c>
      <c r="S1168" s="22"/>
      <c r="T1168" s="22"/>
      <c r="V1168" s="25" t="s">
        <v>1047</v>
      </c>
      <c r="W1168" s="6">
        <v>17</v>
      </c>
    </row>
    <row r="1169" spans="1:23">
      <c r="A1169" t="s">
        <v>3106</v>
      </c>
      <c r="B1169" s="8">
        <v>45689</v>
      </c>
      <c r="C1169" t="s">
        <v>221</v>
      </c>
      <c r="D1169" t="s">
        <v>1728</v>
      </c>
      <c r="E1169" t="s">
        <v>1886</v>
      </c>
      <c r="F1169">
        <v>1</v>
      </c>
      <c r="G1169" s="10">
        <v>458.69</v>
      </c>
      <c r="H1169" s="13">
        <v>0.16</v>
      </c>
      <c r="I1169" t="s">
        <v>1933</v>
      </c>
      <c r="J1169" s="16">
        <v>385.2996</v>
      </c>
      <c r="K1169" s="19">
        <f t="shared" si="90"/>
        <v>899705.78070000035</v>
      </c>
      <c r="L1169" s="22">
        <f t="shared" si="91"/>
        <v>1080.0789684273714</v>
      </c>
      <c r="M1169" s="22">
        <f t="shared" si="92"/>
        <v>280</v>
      </c>
      <c r="N1169" s="22" t="str">
        <f t="shared" si="93"/>
        <v>Low Value</v>
      </c>
      <c r="O1169" s="22" t="str">
        <f t="shared" si="94"/>
        <v>Feb-2025</v>
      </c>
      <c r="P1169" s="22" t="s">
        <v>1729</v>
      </c>
      <c r="Q1169" s="22" t="s">
        <v>1536</v>
      </c>
      <c r="R1169" s="22" t="s">
        <v>222</v>
      </c>
      <c r="S1169" s="22"/>
      <c r="T1169" s="22"/>
      <c r="V1169" s="26" t="s">
        <v>1931</v>
      </c>
      <c r="W1169" s="6">
        <v>5</v>
      </c>
    </row>
    <row r="1170" spans="1:23">
      <c r="A1170" t="s">
        <v>3107</v>
      </c>
      <c r="B1170" s="8">
        <v>45346</v>
      </c>
      <c r="C1170" t="s">
        <v>744</v>
      </c>
      <c r="D1170" t="s">
        <v>1652</v>
      </c>
      <c r="E1170" t="s">
        <v>1886</v>
      </c>
      <c r="F1170">
        <v>1</v>
      </c>
      <c r="G1170" s="10">
        <v>168.29</v>
      </c>
      <c r="H1170" s="13">
        <v>0.05</v>
      </c>
      <c r="I1170" t="s">
        <v>1933</v>
      </c>
      <c r="J1170" s="16">
        <v>159.87549999999999</v>
      </c>
      <c r="K1170" s="19">
        <f t="shared" si="90"/>
        <v>899320.48110000032</v>
      </c>
      <c r="L1170" s="22">
        <f t="shared" si="91"/>
        <v>1080.9140397836543</v>
      </c>
      <c r="M1170" s="22">
        <f t="shared" si="92"/>
        <v>279</v>
      </c>
      <c r="N1170" s="22" t="str">
        <f t="shared" si="93"/>
        <v>Low Value</v>
      </c>
      <c r="O1170" s="22" t="str">
        <f t="shared" si="94"/>
        <v>Feb-2024</v>
      </c>
      <c r="P1170" s="22" t="s">
        <v>1653</v>
      </c>
      <c r="Q1170" s="22" t="s">
        <v>1531</v>
      </c>
      <c r="R1170" s="22" t="s">
        <v>745</v>
      </c>
      <c r="S1170" s="22"/>
      <c r="T1170" s="22"/>
      <c r="V1170" s="26" t="s">
        <v>1933</v>
      </c>
      <c r="W1170" s="6">
        <v>12</v>
      </c>
    </row>
    <row r="1171" spans="1:23">
      <c r="A1171" t="s">
        <v>3108</v>
      </c>
      <c r="B1171" s="8">
        <v>45549</v>
      </c>
      <c r="C1171" t="s">
        <v>685</v>
      </c>
      <c r="D1171" t="s">
        <v>1597</v>
      </c>
      <c r="E1171" t="s">
        <v>1914</v>
      </c>
      <c r="F1171">
        <v>1</v>
      </c>
      <c r="G1171" s="10">
        <v>391.77</v>
      </c>
      <c r="H1171" s="13">
        <v>0.1</v>
      </c>
      <c r="I1171" t="s">
        <v>1933</v>
      </c>
      <c r="J1171" s="16">
        <v>352.59300000000002</v>
      </c>
      <c r="K1171" s="19">
        <f t="shared" si="90"/>
        <v>899160.60560000024</v>
      </c>
      <c r="L1171" s="22">
        <f t="shared" si="91"/>
        <v>1082.0223894103492</v>
      </c>
      <c r="M1171" s="22">
        <f t="shared" si="92"/>
        <v>278</v>
      </c>
      <c r="N1171" s="22" t="str">
        <f t="shared" si="93"/>
        <v>Low Value</v>
      </c>
      <c r="O1171" s="22" t="str">
        <f t="shared" si="94"/>
        <v>Sep-2024</v>
      </c>
      <c r="P1171" s="22" t="s">
        <v>1598</v>
      </c>
      <c r="Q1171" s="22" t="s">
        <v>1569</v>
      </c>
      <c r="R1171" s="22" t="s">
        <v>686</v>
      </c>
      <c r="S1171" s="22"/>
      <c r="T1171" s="22"/>
      <c r="V1171" s="25" t="s">
        <v>249</v>
      </c>
      <c r="W1171" s="6">
        <v>12</v>
      </c>
    </row>
    <row r="1172" spans="1:23">
      <c r="A1172" t="s">
        <v>3109</v>
      </c>
      <c r="B1172" s="8">
        <v>45900</v>
      </c>
      <c r="C1172" t="s">
        <v>1073</v>
      </c>
      <c r="D1172" t="s">
        <v>1579</v>
      </c>
      <c r="E1172" t="s">
        <v>1906</v>
      </c>
      <c r="F1172">
        <v>1</v>
      </c>
      <c r="G1172" s="10">
        <v>424.83</v>
      </c>
      <c r="H1172" s="13">
        <v>0.05</v>
      </c>
      <c r="I1172" t="s">
        <v>1936</v>
      </c>
      <c r="J1172" s="16">
        <v>403.58850000000001</v>
      </c>
      <c r="K1172" s="19">
        <f t="shared" si="90"/>
        <v>898808.01260000037</v>
      </c>
      <c r="L1172" s="22">
        <f t="shared" si="91"/>
        <v>1082.9012200000004</v>
      </c>
      <c r="M1172" s="22">
        <f t="shared" si="92"/>
        <v>277</v>
      </c>
      <c r="N1172" s="22" t="str">
        <f t="shared" si="93"/>
        <v>Low Value</v>
      </c>
      <c r="O1172" s="22" t="str">
        <f t="shared" si="94"/>
        <v>Aug-2025</v>
      </c>
      <c r="P1172" s="22" t="s">
        <v>1580</v>
      </c>
      <c r="Q1172" s="22" t="s">
        <v>1555</v>
      </c>
      <c r="R1172" s="22" t="s">
        <v>1074</v>
      </c>
      <c r="S1172" s="22"/>
      <c r="T1172" s="22"/>
      <c r="V1172" s="26" t="s">
        <v>1936</v>
      </c>
      <c r="W1172" s="6">
        <v>8</v>
      </c>
    </row>
    <row r="1173" spans="1:23">
      <c r="A1173" t="s">
        <v>3110</v>
      </c>
      <c r="B1173" s="8">
        <v>45308</v>
      </c>
      <c r="C1173" t="s">
        <v>199</v>
      </c>
      <c r="D1173" t="s">
        <v>1576</v>
      </c>
      <c r="E1173" t="s">
        <v>1873</v>
      </c>
      <c r="F1173">
        <v>1</v>
      </c>
      <c r="G1173" s="10">
        <v>499.46</v>
      </c>
      <c r="H1173" s="13">
        <v>0.1</v>
      </c>
      <c r="I1173" t="s">
        <v>1931</v>
      </c>
      <c r="J1173" s="16">
        <v>449.51400000000001</v>
      </c>
      <c r="K1173" s="19">
        <f t="shared" si="90"/>
        <v>898404.42410000029</v>
      </c>
      <c r="L1173" s="22">
        <f t="shared" si="91"/>
        <v>1083.7206563329316</v>
      </c>
      <c r="M1173" s="22">
        <f t="shared" si="92"/>
        <v>277</v>
      </c>
      <c r="N1173" s="22" t="str">
        <f t="shared" si="93"/>
        <v>Low Value</v>
      </c>
      <c r="O1173" s="22" t="str">
        <f t="shared" si="94"/>
        <v>Jan-2024</v>
      </c>
      <c r="P1173" s="22" t="s">
        <v>1577</v>
      </c>
      <c r="Q1173" s="22" t="s">
        <v>1531</v>
      </c>
      <c r="R1173" s="22" t="s">
        <v>200</v>
      </c>
      <c r="S1173" s="22"/>
      <c r="T1173" s="22"/>
      <c r="V1173" s="26" t="s">
        <v>1931</v>
      </c>
      <c r="W1173" s="6">
        <v>4</v>
      </c>
    </row>
    <row r="1174" spans="1:23">
      <c r="A1174" t="s">
        <v>3111</v>
      </c>
      <c r="B1174" s="8">
        <v>45336</v>
      </c>
      <c r="C1174" t="s">
        <v>85</v>
      </c>
      <c r="D1174" t="s">
        <v>1852</v>
      </c>
      <c r="E1174" t="s">
        <v>1864</v>
      </c>
      <c r="F1174">
        <v>2</v>
      </c>
      <c r="G1174" s="10">
        <v>698.34</v>
      </c>
      <c r="H1174" s="13">
        <v>0.15</v>
      </c>
      <c r="I1174" t="s">
        <v>1933</v>
      </c>
      <c r="J1174" s="16">
        <v>1187.1780000000001</v>
      </c>
      <c r="K1174" s="19">
        <f t="shared" si="90"/>
        <v>897954.91010000033</v>
      </c>
      <c r="L1174" s="22">
        <f t="shared" si="91"/>
        <v>1084.4866064009666</v>
      </c>
      <c r="M1174" s="22">
        <f t="shared" si="92"/>
        <v>277</v>
      </c>
      <c r="N1174" s="22" t="str">
        <f t="shared" si="93"/>
        <v>High Value</v>
      </c>
      <c r="O1174" s="22" t="str">
        <f t="shared" si="94"/>
        <v>Feb-2024</v>
      </c>
      <c r="P1174" s="22" t="s">
        <v>1853</v>
      </c>
      <c r="Q1174" s="22" t="s">
        <v>1560</v>
      </c>
      <c r="R1174" s="22" t="s">
        <v>86</v>
      </c>
      <c r="S1174" s="22"/>
      <c r="T1174" s="22"/>
      <c r="V1174" s="25" t="s">
        <v>236</v>
      </c>
      <c r="W1174" s="6">
        <v>5</v>
      </c>
    </row>
    <row r="1175" spans="1:23">
      <c r="A1175" t="s">
        <v>3112</v>
      </c>
      <c r="B1175" s="8">
        <v>45213</v>
      </c>
      <c r="C1175" t="s">
        <v>898</v>
      </c>
      <c r="D1175" t="s">
        <v>1722</v>
      </c>
      <c r="E1175" t="s">
        <v>1911</v>
      </c>
      <c r="F1175">
        <v>2</v>
      </c>
      <c r="G1175" s="10">
        <v>805.08</v>
      </c>
      <c r="H1175" s="13">
        <v>0.27</v>
      </c>
      <c r="I1175" t="s">
        <v>1933</v>
      </c>
      <c r="J1175" s="16">
        <v>1175.4168</v>
      </c>
      <c r="K1175" s="19">
        <f t="shared" si="90"/>
        <v>896767.73210000026</v>
      </c>
      <c r="L1175" s="22">
        <f t="shared" si="91"/>
        <v>1084.362433010883</v>
      </c>
      <c r="M1175" s="22">
        <f t="shared" si="92"/>
        <v>276</v>
      </c>
      <c r="N1175" s="22" t="str">
        <f t="shared" si="93"/>
        <v>High Value</v>
      </c>
      <c r="O1175" s="22" t="str">
        <f t="shared" si="94"/>
        <v>Oct-2023</v>
      </c>
      <c r="P1175" s="22" t="s">
        <v>1723</v>
      </c>
      <c r="Q1175" s="22" t="s">
        <v>1560</v>
      </c>
      <c r="R1175" s="22" t="s">
        <v>899</v>
      </c>
      <c r="S1175" s="22"/>
      <c r="T1175" s="22"/>
      <c r="V1175" s="26" t="s">
        <v>1936</v>
      </c>
      <c r="W1175" s="6">
        <v>3</v>
      </c>
    </row>
    <row r="1176" spans="1:23">
      <c r="A1176" t="s">
        <v>3113</v>
      </c>
      <c r="B1176" s="8">
        <v>45742</v>
      </c>
      <c r="C1176" t="s">
        <v>1427</v>
      </c>
      <c r="D1176" t="s">
        <v>1783</v>
      </c>
      <c r="E1176" t="s">
        <v>1868</v>
      </c>
      <c r="F1176">
        <v>4</v>
      </c>
      <c r="G1176" s="10">
        <v>934.79</v>
      </c>
      <c r="H1176" s="13">
        <v>0.08</v>
      </c>
      <c r="I1176" t="s">
        <v>1933</v>
      </c>
      <c r="J1176" s="16">
        <v>3440.0272</v>
      </c>
      <c r="K1176" s="19">
        <f t="shared" si="90"/>
        <v>895592.31530000025</v>
      </c>
      <c r="L1176" s="22">
        <f t="shared" si="91"/>
        <v>1084.2521976997582</v>
      </c>
      <c r="M1176" s="22">
        <f t="shared" si="92"/>
        <v>275</v>
      </c>
      <c r="N1176" s="22" t="str">
        <f t="shared" si="93"/>
        <v>High Value</v>
      </c>
      <c r="O1176" s="22" t="str">
        <f t="shared" si="94"/>
        <v>Mar-2025</v>
      </c>
      <c r="P1176" s="22" t="s">
        <v>1784</v>
      </c>
      <c r="Q1176" s="22" t="s">
        <v>1531</v>
      </c>
      <c r="R1176" s="22" t="s">
        <v>1428</v>
      </c>
      <c r="S1176" s="22"/>
      <c r="T1176" s="22"/>
      <c r="V1176" s="26" t="s">
        <v>1931</v>
      </c>
      <c r="W1176" s="6">
        <v>2</v>
      </c>
    </row>
    <row r="1177" spans="1:23">
      <c r="A1177" t="s">
        <v>3114</v>
      </c>
      <c r="B1177" s="8">
        <v>45932</v>
      </c>
      <c r="C1177" t="s">
        <v>85</v>
      </c>
      <c r="D1177" t="s">
        <v>1734</v>
      </c>
      <c r="E1177" t="s">
        <v>1864</v>
      </c>
      <c r="F1177">
        <v>2</v>
      </c>
      <c r="G1177" s="10">
        <v>424.54</v>
      </c>
      <c r="H1177" s="13">
        <v>0.24</v>
      </c>
      <c r="I1177" t="s">
        <v>1933</v>
      </c>
      <c r="J1177" s="16">
        <v>645.30080000000009</v>
      </c>
      <c r="K1177" s="19">
        <f t="shared" si="90"/>
        <v>892152.28810000035</v>
      </c>
      <c r="L1177" s="22">
        <f t="shared" si="91"/>
        <v>1081.3967128484853</v>
      </c>
      <c r="M1177" s="22">
        <f t="shared" si="92"/>
        <v>274</v>
      </c>
      <c r="N1177" s="22" t="str">
        <f t="shared" si="93"/>
        <v>Low Value</v>
      </c>
      <c r="O1177" s="22" t="str">
        <f t="shared" si="94"/>
        <v>Oct-2025</v>
      </c>
      <c r="P1177" s="22" t="s">
        <v>1735</v>
      </c>
      <c r="Q1177" s="22" t="s">
        <v>1555</v>
      </c>
      <c r="R1177" s="22" t="s">
        <v>86</v>
      </c>
      <c r="S1177" s="22"/>
      <c r="T1177" s="22"/>
      <c r="V1177" s="25" t="s">
        <v>775</v>
      </c>
      <c r="W1177" s="6">
        <v>13</v>
      </c>
    </row>
    <row r="1178" spans="1:23">
      <c r="A1178" t="s">
        <v>3115</v>
      </c>
      <c r="B1178" s="8">
        <v>45462</v>
      </c>
      <c r="C1178" t="s">
        <v>1025</v>
      </c>
      <c r="D1178" t="s">
        <v>1807</v>
      </c>
      <c r="E1178" t="s">
        <v>1914</v>
      </c>
      <c r="F1178">
        <v>1</v>
      </c>
      <c r="G1178" s="10">
        <v>235.44</v>
      </c>
      <c r="H1178" s="13">
        <v>0.19</v>
      </c>
      <c r="I1178" t="s">
        <v>1936</v>
      </c>
      <c r="J1178" s="16">
        <v>190.7064</v>
      </c>
      <c r="K1178" s="19">
        <f t="shared" si="90"/>
        <v>891506.98730000027</v>
      </c>
      <c r="L1178" s="22">
        <f t="shared" si="91"/>
        <v>1081.9259554611654</v>
      </c>
      <c r="M1178" s="22">
        <f t="shared" si="92"/>
        <v>273</v>
      </c>
      <c r="N1178" s="22" t="str">
        <f t="shared" si="93"/>
        <v>Low Value</v>
      </c>
      <c r="O1178" s="22" t="str">
        <f t="shared" si="94"/>
        <v>Jun-2024</v>
      </c>
      <c r="P1178" s="22" t="s">
        <v>1808</v>
      </c>
      <c r="Q1178" s="22" t="s">
        <v>1560</v>
      </c>
      <c r="R1178" s="22" t="s">
        <v>1026</v>
      </c>
      <c r="S1178" s="22"/>
      <c r="T1178" s="22"/>
      <c r="V1178" s="26" t="s">
        <v>1936</v>
      </c>
      <c r="W1178" s="6">
        <v>9</v>
      </c>
    </row>
    <row r="1179" spans="1:23">
      <c r="A1179" t="s">
        <v>3116</v>
      </c>
      <c r="B1179" s="8">
        <v>45568</v>
      </c>
      <c r="C1179" t="s">
        <v>863</v>
      </c>
      <c r="D1179" t="s">
        <v>1700</v>
      </c>
      <c r="E1179" t="s">
        <v>1904</v>
      </c>
      <c r="F1179">
        <v>2</v>
      </c>
      <c r="G1179" s="10">
        <v>620.71</v>
      </c>
      <c r="H1179" s="13">
        <v>0.27</v>
      </c>
      <c r="I1179" t="s">
        <v>1931</v>
      </c>
      <c r="J1179" s="16">
        <v>906.23660000000007</v>
      </c>
      <c r="K1179" s="19">
        <f t="shared" si="90"/>
        <v>891316.28090000025</v>
      </c>
      <c r="L1179" s="22">
        <f t="shared" si="91"/>
        <v>1083.0088467800731</v>
      </c>
      <c r="M1179" s="22">
        <f t="shared" si="92"/>
        <v>273</v>
      </c>
      <c r="N1179" s="22" t="str">
        <f t="shared" si="93"/>
        <v>Low Value</v>
      </c>
      <c r="O1179" s="22" t="str">
        <f t="shared" si="94"/>
        <v>Oct-2024</v>
      </c>
      <c r="P1179" s="22" t="s">
        <v>1701</v>
      </c>
      <c r="Q1179" s="22" t="s">
        <v>1555</v>
      </c>
      <c r="R1179" s="22" t="s">
        <v>3950</v>
      </c>
      <c r="S1179" s="22"/>
      <c r="T1179" s="22"/>
      <c r="V1179" s="26" t="s">
        <v>1931</v>
      </c>
      <c r="W1179" s="6">
        <v>2</v>
      </c>
    </row>
    <row r="1180" spans="1:23">
      <c r="A1180" t="s">
        <v>3117</v>
      </c>
      <c r="B1180" s="8">
        <v>45397</v>
      </c>
      <c r="C1180" t="s">
        <v>397</v>
      </c>
      <c r="D1180" t="s">
        <v>1970</v>
      </c>
      <c r="E1180" t="s">
        <v>1899</v>
      </c>
      <c r="F1180">
        <v>2</v>
      </c>
      <c r="G1180" s="10">
        <v>851.77</v>
      </c>
      <c r="H1180" s="13">
        <v>0.13</v>
      </c>
      <c r="I1180" t="s">
        <v>1933</v>
      </c>
      <c r="J1180" s="16">
        <v>1482.0798</v>
      </c>
      <c r="K1180" s="19">
        <f t="shared" si="90"/>
        <v>890410.0443000003</v>
      </c>
      <c r="L1180" s="22">
        <f t="shared" si="91"/>
        <v>1083.2238981751827</v>
      </c>
      <c r="M1180" s="22">
        <f t="shared" si="92"/>
        <v>273</v>
      </c>
      <c r="N1180" s="22" t="str">
        <f t="shared" si="93"/>
        <v>High Value</v>
      </c>
      <c r="O1180" s="22" t="str">
        <f t="shared" si="94"/>
        <v>Apr-2024</v>
      </c>
      <c r="P1180" s="22" t="s">
        <v>1594</v>
      </c>
      <c r="Q1180" s="22" t="s">
        <v>1555</v>
      </c>
      <c r="R1180" s="22" t="s">
        <v>398</v>
      </c>
      <c r="S1180" s="22"/>
      <c r="T1180" s="22"/>
      <c r="V1180" s="26" t="s">
        <v>1933</v>
      </c>
      <c r="W1180" s="6">
        <v>2</v>
      </c>
    </row>
    <row r="1181" spans="1:23">
      <c r="A1181" t="s">
        <v>3118</v>
      </c>
      <c r="B1181" s="8">
        <v>45569</v>
      </c>
      <c r="C1181" t="s">
        <v>557</v>
      </c>
      <c r="D1181" t="s">
        <v>1687</v>
      </c>
      <c r="E1181" t="s">
        <v>1864</v>
      </c>
      <c r="F1181">
        <v>3</v>
      </c>
      <c r="G1181" s="10">
        <v>876.01</v>
      </c>
      <c r="H1181" s="13">
        <v>0.2</v>
      </c>
      <c r="I1181" t="s">
        <v>1931</v>
      </c>
      <c r="J1181" s="16">
        <v>2102.424</v>
      </c>
      <c r="K1181" s="19">
        <f t="shared" si="90"/>
        <v>888927.96450000058</v>
      </c>
      <c r="L1181" s="22">
        <f t="shared" si="91"/>
        <v>1082.7380809987826</v>
      </c>
      <c r="M1181" s="22">
        <f t="shared" si="92"/>
        <v>272</v>
      </c>
      <c r="N1181" s="22" t="str">
        <f t="shared" si="93"/>
        <v>High Value</v>
      </c>
      <c r="O1181" s="22" t="str">
        <f t="shared" si="94"/>
        <v>Oct-2024</v>
      </c>
      <c r="P1181" s="22" t="s">
        <v>1688</v>
      </c>
      <c r="Q1181" s="22" t="s">
        <v>1569</v>
      </c>
      <c r="R1181" s="22" t="s">
        <v>558</v>
      </c>
      <c r="S1181" s="22"/>
      <c r="T1181" s="22"/>
      <c r="V1181" s="25" t="s">
        <v>1062</v>
      </c>
      <c r="W1181" s="6">
        <v>4</v>
      </c>
    </row>
    <row r="1182" spans="1:23">
      <c r="A1182" t="s">
        <v>3119</v>
      </c>
      <c r="B1182" s="8">
        <v>45353</v>
      </c>
      <c r="C1182" t="s">
        <v>877</v>
      </c>
      <c r="D1182" t="s">
        <v>1630</v>
      </c>
      <c r="E1182" t="s">
        <v>1893</v>
      </c>
      <c r="F1182">
        <v>2</v>
      </c>
      <c r="G1182" s="10">
        <v>717.21</v>
      </c>
      <c r="H1182" s="13">
        <v>0.15</v>
      </c>
      <c r="I1182" t="s">
        <v>1936</v>
      </c>
      <c r="J1182" s="16">
        <v>1219.2570000000001</v>
      </c>
      <c r="K1182" s="19">
        <f t="shared" si="90"/>
        <v>886825.54050000047</v>
      </c>
      <c r="L1182" s="22">
        <f t="shared" si="91"/>
        <v>1081.4945615853665</v>
      </c>
      <c r="M1182" s="22">
        <f t="shared" si="92"/>
        <v>272</v>
      </c>
      <c r="N1182" s="22" t="str">
        <f t="shared" si="93"/>
        <v>High Value</v>
      </c>
      <c r="O1182" s="22" t="str">
        <f t="shared" si="94"/>
        <v>Mar-2024</v>
      </c>
      <c r="P1182" s="22" t="s">
        <v>1631</v>
      </c>
      <c r="Q1182" s="22" t="s">
        <v>1560</v>
      </c>
      <c r="R1182" s="22" t="s">
        <v>878</v>
      </c>
      <c r="S1182" s="22"/>
      <c r="T1182" s="22"/>
      <c r="V1182" s="26" t="s">
        <v>1933</v>
      </c>
      <c r="W1182" s="6">
        <v>4</v>
      </c>
    </row>
    <row r="1183" spans="1:23">
      <c r="A1183" t="s">
        <v>3120</v>
      </c>
      <c r="B1183" s="8">
        <v>45343</v>
      </c>
      <c r="C1183" t="s">
        <v>208</v>
      </c>
      <c r="D1183" t="s">
        <v>1675</v>
      </c>
      <c r="E1183" t="s">
        <v>1889</v>
      </c>
      <c r="F1183">
        <v>2</v>
      </c>
      <c r="G1183" s="10">
        <v>871.43</v>
      </c>
      <c r="H1183" s="13">
        <v>0.05</v>
      </c>
      <c r="I1183" t="s">
        <v>1931</v>
      </c>
      <c r="J1183" s="16">
        <v>1655.7170000000001</v>
      </c>
      <c r="K1183" s="19">
        <f t="shared" si="90"/>
        <v>885606.28350000049</v>
      </c>
      <c r="L1183" s="22">
        <f t="shared" si="91"/>
        <v>1081.3263534798541</v>
      </c>
      <c r="M1183" s="22">
        <f t="shared" si="92"/>
        <v>272</v>
      </c>
      <c r="N1183" s="22" t="str">
        <f t="shared" si="93"/>
        <v>High Value</v>
      </c>
      <c r="O1183" s="22" t="str">
        <f t="shared" si="94"/>
        <v>Feb-2024</v>
      </c>
      <c r="P1183" s="22" t="s">
        <v>1676</v>
      </c>
      <c r="Q1183" s="22" t="s">
        <v>1569</v>
      </c>
      <c r="R1183" s="22" t="s">
        <v>209</v>
      </c>
      <c r="S1183" s="22"/>
      <c r="T1183" s="22"/>
      <c r="V1183" s="25" t="s">
        <v>49</v>
      </c>
      <c r="W1183" s="6">
        <v>7</v>
      </c>
    </row>
    <row r="1184" spans="1:23">
      <c r="A1184" t="s">
        <v>3121</v>
      </c>
      <c r="B1184" s="8">
        <v>45321</v>
      </c>
      <c r="C1184" t="s">
        <v>1391</v>
      </c>
      <c r="D1184" t="s">
        <v>1658</v>
      </c>
      <c r="E1184" t="s">
        <v>1886</v>
      </c>
      <c r="F1184">
        <v>1</v>
      </c>
      <c r="G1184" s="10">
        <v>514.65</v>
      </c>
      <c r="H1184" s="13">
        <v>0.18</v>
      </c>
      <c r="I1184" t="s">
        <v>1931</v>
      </c>
      <c r="J1184" s="16">
        <v>422.01299999999998</v>
      </c>
      <c r="K1184" s="19">
        <f t="shared" si="90"/>
        <v>883950.56650000031</v>
      </c>
      <c r="L1184" s="22">
        <f t="shared" si="91"/>
        <v>1080.6241644254283</v>
      </c>
      <c r="M1184" s="22">
        <f t="shared" si="92"/>
        <v>272</v>
      </c>
      <c r="N1184" s="22" t="str">
        <f t="shared" si="93"/>
        <v>Low Value</v>
      </c>
      <c r="O1184" s="22" t="str">
        <f t="shared" si="94"/>
        <v>Jan-2024</v>
      </c>
      <c r="P1184" s="22" t="s">
        <v>1659</v>
      </c>
      <c r="Q1184" s="22" t="s">
        <v>1536</v>
      </c>
      <c r="R1184" s="22" t="s">
        <v>1392</v>
      </c>
      <c r="S1184" s="22"/>
      <c r="T1184" s="22"/>
      <c r="V1184" s="26" t="s">
        <v>1936</v>
      </c>
      <c r="W1184" s="6">
        <v>3</v>
      </c>
    </row>
    <row r="1185" spans="1:23">
      <c r="A1185" t="s">
        <v>3122</v>
      </c>
      <c r="B1185" s="8">
        <v>45650</v>
      </c>
      <c r="C1185" t="s">
        <v>1408</v>
      </c>
      <c r="D1185" t="s">
        <v>1740</v>
      </c>
      <c r="E1185" t="s">
        <v>1911</v>
      </c>
      <c r="F1185">
        <v>3</v>
      </c>
      <c r="G1185" s="10">
        <v>198.76</v>
      </c>
      <c r="H1185" s="13">
        <v>0.28000000000000003</v>
      </c>
      <c r="I1185" t="s">
        <v>1936</v>
      </c>
      <c r="J1185" s="16">
        <v>429.32159999999999</v>
      </c>
      <c r="K1185" s="19">
        <f t="shared" si="90"/>
        <v>883528.5535000005</v>
      </c>
      <c r="L1185" s="22">
        <f t="shared" si="91"/>
        <v>1081.4302980416162</v>
      </c>
      <c r="M1185" s="22">
        <f t="shared" si="92"/>
        <v>272</v>
      </c>
      <c r="N1185" s="22" t="str">
        <f t="shared" si="93"/>
        <v>Low Value</v>
      </c>
      <c r="O1185" s="22" t="str">
        <f t="shared" si="94"/>
        <v>Dec-2024</v>
      </c>
      <c r="P1185" s="22" t="s">
        <v>1741</v>
      </c>
      <c r="Q1185" s="22" t="s">
        <v>1531</v>
      </c>
      <c r="R1185" s="22" t="s">
        <v>677</v>
      </c>
      <c r="S1185" s="22"/>
      <c r="T1185" s="22"/>
      <c r="V1185" s="26" t="s">
        <v>1931</v>
      </c>
      <c r="W1185" s="6">
        <v>2</v>
      </c>
    </row>
    <row r="1186" spans="1:23">
      <c r="A1186" t="s">
        <v>3123</v>
      </c>
      <c r="B1186" s="8">
        <v>45811</v>
      </c>
      <c r="C1186" t="s">
        <v>728</v>
      </c>
      <c r="D1186" t="s">
        <v>1743</v>
      </c>
      <c r="E1186" t="s">
        <v>1873</v>
      </c>
      <c r="F1186">
        <v>2</v>
      </c>
      <c r="G1186" s="10">
        <v>975.72</v>
      </c>
      <c r="H1186" s="13">
        <v>0.16</v>
      </c>
      <c r="I1186" t="s">
        <v>1936</v>
      </c>
      <c r="J1186" s="16">
        <v>1639.2095999999999</v>
      </c>
      <c r="K1186" s="19">
        <f t="shared" si="90"/>
        <v>883099.23190000036</v>
      </c>
      <c r="L1186" s="22">
        <f t="shared" si="91"/>
        <v>1082.2294508578436</v>
      </c>
      <c r="M1186" s="22">
        <f t="shared" si="92"/>
        <v>272</v>
      </c>
      <c r="N1186" s="22" t="str">
        <f t="shared" si="93"/>
        <v>High Value</v>
      </c>
      <c r="O1186" s="22" t="str">
        <f t="shared" si="94"/>
        <v>Jun-2025</v>
      </c>
      <c r="P1186" s="22" t="s">
        <v>1744</v>
      </c>
      <c r="Q1186" s="22" t="s">
        <v>1555</v>
      </c>
      <c r="R1186" s="22" t="s">
        <v>729</v>
      </c>
      <c r="S1186" s="22"/>
      <c r="T1186" s="22"/>
      <c r="V1186" s="26" t="s">
        <v>1933</v>
      </c>
      <c r="W1186" s="6">
        <v>2</v>
      </c>
    </row>
    <row r="1187" spans="1:23">
      <c r="A1187" t="s">
        <v>3124</v>
      </c>
      <c r="B1187" s="8">
        <v>45505</v>
      </c>
      <c r="C1187" t="s">
        <v>1297</v>
      </c>
      <c r="D1187" t="s">
        <v>1590</v>
      </c>
      <c r="E1187" t="s">
        <v>1864</v>
      </c>
      <c r="F1187">
        <v>1</v>
      </c>
      <c r="G1187" s="10">
        <v>86.03</v>
      </c>
      <c r="H1187" s="13">
        <v>0.01</v>
      </c>
      <c r="I1187" t="s">
        <v>1931</v>
      </c>
      <c r="J1187" s="16">
        <v>85.169700000000006</v>
      </c>
      <c r="K1187" s="19">
        <f t="shared" si="90"/>
        <v>881460.02230000042</v>
      </c>
      <c r="L1187" s="22">
        <f t="shared" si="91"/>
        <v>1081.5460396319024</v>
      </c>
      <c r="M1187" s="22">
        <f t="shared" si="92"/>
        <v>272</v>
      </c>
      <c r="N1187" s="22" t="str">
        <f t="shared" si="93"/>
        <v>Low Value</v>
      </c>
      <c r="O1187" s="22" t="str">
        <f t="shared" si="94"/>
        <v>Aug-2024</v>
      </c>
      <c r="P1187" s="22" t="s">
        <v>1591</v>
      </c>
      <c r="Q1187" s="22" t="s">
        <v>1531</v>
      </c>
      <c r="R1187" s="22" t="s">
        <v>3958</v>
      </c>
      <c r="S1187" s="22"/>
      <c r="T1187" s="22"/>
      <c r="V1187" s="25" t="s">
        <v>784</v>
      </c>
      <c r="W1187" s="6">
        <v>7</v>
      </c>
    </row>
    <row r="1188" spans="1:23">
      <c r="A1188" t="s">
        <v>3125</v>
      </c>
      <c r="B1188" s="8">
        <v>45897</v>
      </c>
      <c r="C1188" t="s">
        <v>310</v>
      </c>
      <c r="D1188" t="s">
        <v>1716</v>
      </c>
      <c r="E1188" t="s">
        <v>1901</v>
      </c>
      <c r="F1188">
        <v>4</v>
      </c>
      <c r="G1188" s="10">
        <v>705.12</v>
      </c>
      <c r="H1188" s="13">
        <v>0.15</v>
      </c>
      <c r="I1188" t="s">
        <v>1933</v>
      </c>
      <c r="J1188" s="16">
        <v>2397.4079999999999</v>
      </c>
      <c r="K1188" s="19">
        <f t="shared" si="90"/>
        <v>881374.85260000022</v>
      </c>
      <c r="L1188" s="22">
        <f t="shared" si="91"/>
        <v>1082.7700891891895</v>
      </c>
      <c r="M1188" s="22">
        <f t="shared" si="92"/>
        <v>272</v>
      </c>
      <c r="N1188" s="22" t="str">
        <f t="shared" si="93"/>
        <v>High Value</v>
      </c>
      <c r="O1188" s="22" t="str">
        <f t="shared" si="94"/>
        <v>Aug-2025</v>
      </c>
      <c r="P1188" s="22" t="s">
        <v>1717</v>
      </c>
      <c r="Q1188" s="22" t="s">
        <v>1569</v>
      </c>
      <c r="R1188" s="22" t="s">
        <v>3947</v>
      </c>
      <c r="S1188" s="22"/>
      <c r="T1188" s="22"/>
      <c r="V1188" s="26" t="s">
        <v>1936</v>
      </c>
      <c r="W1188" s="6">
        <v>1</v>
      </c>
    </row>
    <row r="1189" spans="1:23">
      <c r="A1189" t="s">
        <v>3126</v>
      </c>
      <c r="B1189" s="8">
        <v>45602</v>
      </c>
      <c r="C1189" t="s">
        <v>1154</v>
      </c>
      <c r="D1189" t="s">
        <v>1600</v>
      </c>
      <c r="E1189" t="s">
        <v>1901</v>
      </c>
      <c r="F1189">
        <v>3</v>
      </c>
      <c r="G1189" s="10">
        <v>99.77</v>
      </c>
      <c r="H1189" s="13">
        <v>0.01</v>
      </c>
      <c r="I1189" t="s">
        <v>1933</v>
      </c>
      <c r="J1189" s="16">
        <v>296.31689999999998</v>
      </c>
      <c r="K1189" s="19">
        <f t="shared" si="90"/>
        <v>878977.44460000016</v>
      </c>
      <c r="L1189" s="22">
        <f t="shared" si="91"/>
        <v>1081.153068388684</v>
      </c>
      <c r="M1189" s="22">
        <f t="shared" si="92"/>
        <v>271</v>
      </c>
      <c r="N1189" s="22" t="str">
        <f t="shared" si="93"/>
        <v>Low Value</v>
      </c>
      <c r="O1189" s="22" t="str">
        <f t="shared" si="94"/>
        <v>Nov-2024</v>
      </c>
      <c r="P1189" s="22" t="s">
        <v>1601</v>
      </c>
      <c r="Q1189" s="22" t="s">
        <v>1536</v>
      </c>
      <c r="R1189" s="22" t="s">
        <v>1155</v>
      </c>
      <c r="S1189" s="22"/>
      <c r="T1189" s="22"/>
      <c r="V1189" s="26" t="s">
        <v>1931</v>
      </c>
      <c r="W1189" s="6">
        <v>6</v>
      </c>
    </row>
    <row r="1190" spans="1:23">
      <c r="A1190" t="s">
        <v>3127</v>
      </c>
      <c r="B1190" s="8">
        <v>45530</v>
      </c>
      <c r="C1190" t="s">
        <v>679</v>
      </c>
      <c r="D1190" t="s">
        <v>1652</v>
      </c>
      <c r="E1190" t="s">
        <v>1893</v>
      </c>
      <c r="F1190">
        <v>2</v>
      </c>
      <c r="G1190" s="10">
        <v>166.26</v>
      </c>
      <c r="H1190" s="13">
        <v>0.14000000000000001</v>
      </c>
      <c r="I1190" t="s">
        <v>1933</v>
      </c>
      <c r="J1190" s="16">
        <v>285.96719999999999</v>
      </c>
      <c r="K1190" s="19">
        <f t="shared" si="90"/>
        <v>878681.12770000019</v>
      </c>
      <c r="L1190" s="22">
        <f t="shared" si="91"/>
        <v>1082.1196153940889</v>
      </c>
      <c r="M1190" s="22">
        <f t="shared" si="92"/>
        <v>270</v>
      </c>
      <c r="N1190" s="22" t="str">
        <f t="shared" si="93"/>
        <v>Low Value</v>
      </c>
      <c r="O1190" s="22" t="str">
        <f t="shared" si="94"/>
        <v>Aug-2024</v>
      </c>
      <c r="P1190" s="22" t="s">
        <v>1653</v>
      </c>
      <c r="Q1190" s="22" t="s">
        <v>1531</v>
      </c>
      <c r="R1190" s="22" t="s">
        <v>680</v>
      </c>
      <c r="S1190" s="22"/>
      <c r="T1190" s="22"/>
      <c r="V1190" s="25" t="s">
        <v>1126</v>
      </c>
      <c r="W1190" s="6">
        <v>10</v>
      </c>
    </row>
    <row r="1191" spans="1:23">
      <c r="A1191" t="s">
        <v>3128</v>
      </c>
      <c r="B1191" s="8">
        <v>45729</v>
      </c>
      <c r="C1191" t="s">
        <v>1408</v>
      </c>
      <c r="D1191" t="s">
        <v>1627</v>
      </c>
      <c r="E1191" t="s">
        <v>1880</v>
      </c>
      <c r="F1191">
        <v>1</v>
      </c>
      <c r="G1191" s="10">
        <v>429.25</v>
      </c>
      <c r="H1191" s="13">
        <v>0.28999999999999998</v>
      </c>
      <c r="I1191" t="s">
        <v>1931</v>
      </c>
      <c r="J1191" s="16">
        <v>304.76749999999998</v>
      </c>
      <c r="K1191" s="19">
        <f t="shared" si="90"/>
        <v>878395.16050000035</v>
      </c>
      <c r="L1191" s="22">
        <f t="shared" si="91"/>
        <v>1083.1013076448833</v>
      </c>
      <c r="M1191" s="22">
        <f t="shared" si="92"/>
        <v>269</v>
      </c>
      <c r="N1191" s="22" t="str">
        <f t="shared" si="93"/>
        <v>Low Value</v>
      </c>
      <c r="O1191" s="22" t="str">
        <f t="shared" si="94"/>
        <v>Mar-2025</v>
      </c>
      <c r="P1191" s="22" t="s">
        <v>1628</v>
      </c>
      <c r="Q1191" s="22" t="s">
        <v>1531</v>
      </c>
      <c r="R1191" s="22" t="s">
        <v>677</v>
      </c>
      <c r="S1191" s="22"/>
      <c r="T1191" s="22"/>
      <c r="V1191" s="26" t="s">
        <v>1936</v>
      </c>
      <c r="W1191" s="6">
        <v>4</v>
      </c>
    </row>
    <row r="1192" spans="1:23">
      <c r="A1192" t="s">
        <v>3129</v>
      </c>
      <c r="B1192" s="8">
        <v>45468</v>
      </c>
      <c r="C1192" t="s">
        <v>1362</v>
      </c>
      <c r="D1192" t="s">
        <v>1529</v>
      </c>
      <c r="E1192" t="s">
        <v>1893</v>
      </c>
      <c r="F1192">
        <v>2</v>
      </c>
      <c r="G1192" s="10">
        <v>540.48</v>
      </c>
      <c r="H1192" s="13">
        <v>0.28999999999999998</v>
      </c>
      <c r="I1192" t="s">
        <v>1931</v>
      </c>
      <c r="J1192" s="16">
        <v>767.48159999999996</v>
      </c>
      <c r="K1192" s="19">
        <f t="shared" si="90"/>
        <v>878090.39300000027</v>
      </c>
      <c r="L1192" s="22">
        <f t="shared" si="91"/>
        <v>1084.0622135802473</v>
      </c>
      <c r="M1192" s="22">
        <f t="shared" si="92"/>
        <v>269</v>
      </c>
      <c r="N1192" s="22" t="str">
        <f t="shared" si="93"/>
        <v>Low Value</v>
      </c>
      <c r="O1192" s="22" t="str">
        <f t="shared" si="94"/>
        <v>Jun-2024</v>
      </c>
      <c r="P1192" s="22" t="s">
        <v>1530</v>
      </c>
      <c r="Q1192" s="22" t="s">
        <v>1531</v>
      </c>
      <c r="R1192" s="22" t="s">
        <v>1363</v>
      </c>
      <c r="S1192" s="22"/>
      <c r="T1192" s="22"/>
      <c r="V1192" s="26" t="s">
        <v>1931</v>
      </c>
      <c r="W1192" s="6">
        <v>6</v>
      </c>
    </row>
    <row r="1193" spans="1:23">
      <c r="A1193" t="s">
        <v>3130</v>
      </c>
      <c r="B1193" s="8">
        <v>45936</v>
      </c>
      <c r="C1193" t="s">
        <v>857</v>
      </c>
      <c r="D1193" t="s">
        <v>1731</v>
      </c>
      <c r="E1193" t="s">
        <v>1906</v>
      </c>
      <c r="F1193">
        <v>2</v>
      </c>
      <c r="G1193" s="10">
        <v>579.52</v>
      </c>
      <c r="H1193" s="13">
        <v>0.01</v>
      </c>
      <c r="I1193" t="s">
        <v>1933</v>
      </c>
      <c r="J1193" s="16">
        <v>1147.4495999999999</v>
      </c>
      <c r="K1193" s="19">
        <f t="shared" si="90"/>
        <v>877322.91140000022</v>
      </c>
      <c r="L1193" s="22">
        <f t="shared" si="91"/>
        <v>1084.4535369592093</v>
      </c>
      <c r="M1193" s="22">
        <f t="shared" si="92"/>
        <v>269</v>
      </c>
      <c r="N1193" s="22" t="str">
        <f t="shared" si="93"/>
        <v>High Value</v>
      </c>
      <c r="O1193" s="22" t="str">
        <f t="shared" si="94"/>
        <v>Oct-2025</v>
      </c>
      <c r="P1193" s="22" t="s">
        <v>1732</v>
      </c>
      <c r="Q1193" s="22" t="s">
        <v>1555</v>
      </c>
      <c r="R1193" s="22" t="s">
        <v>858</v>
      </c>
      <c r="S1193" s="22"/>
      <c r="T1193" s="22"/>
      <c r="V1193" s="25" t="s">
        <v>276</v>
      </c>
      <c r="W1193" s="6">
        <v>11</v>
      </c>
    </row>
    <row r="1194" spans="1:23">
      <c r="A1194" t="s">
        <v>3131</v>
      </c>
      <c r="B1194" s="8">
        <v>45622</v>
      </c>
      <c r="C1194" t="s">
        <v>110</v>
      </c>
      <c r="D1194" t="s">
        <v>1762</v>
      </c>
      <c r="E1194" t="s">
        <v>1914</v>
      </c>
      <c r="F1194">
        <v>4</v>
      </c>
      <c r="G1194" s="10">
        <v>477.52</v>
      </c>
      <c r="H1194" s="13">
        <v>7.0000000000000007E-2</v>
      </c>
      <c r="I1194" t="s">
        <v>1933</v>
      </c>
      <c r="J1194" s="16">
        <v>1776.3743999999999</v>
      </c>
      <c r="K1194" s="19">
        <f t="shared" si="90"/>
        <v>876175.46180000028</v>
      </c>
      <c r="L1194" s="22">
        <f t="shared" si="91"/>
        <v>1084.3755715346538</v>
      </c>
      <c r="M1194" s="22">
        <f t="shared" si="92"/>
        <v>268</v>
      </c>
      <c r="N1194" s="22" t="str">
        <f t="shared" si="93"/>
        <v>High Value</v>
      </c>
      <c r="O1194" s="22" t="str">
        <f t="shared" si="94"/>
        <v>Nov-2024</v>
      </c>
      <c r="P1194" s="22" t="s">
        <v>1763</v>
      </c>
      <c r="Q1194" s="22" t="s">
        <v>1536</v>
      </c>
      <c r="R1194" s="22" t="s">
        <v>111</v>
      </c>
      <c r="S1194" s="22"/>
      <c r="T1194" s="22"/>
      <c r="V1194" s="26" t="s">
        <v>1936</v>
      </c>
      <c r="W1194" s="6">
        <v>4</v>
      </c>
    </row>
    <row r="1195" spans="1:23">
      <c r="A1195" t="s">
        <v>3132</v>
      </c>
      <c r="B1195" s="8">
        <v>45705</v>
      </c>
      <c r="C1195" t="s">
        <v>827</v>
      </c>
      <c r="D1195" t="s">
        <v>1828</v>
      </c>
      <c r="E1195" t="s">
        <v>1883</v>
      </c>
      <c r="F1195">
        <v>3</v>
      </c>
      <c r="G1195" s="10">
        <v>242.58</v>
      </c>
      <c r="H1195" s="13">
        <v>0.25</v>
      </c>
      <c r="I1195" t="s">
        <v>1931</v>
      </c>
      <c r="J1195" s="16">
        <v>545.80500000000006</v>
      </c>
      <c r="K1195" s="19">
        <f t="shared" si="90"/>
        <v>874399.08740000043</v>
      </c>
      <c r="L1195" s="22">
        <f t="shared" si="91"/>
        <v>1083.5180760842632</v>
      </c>
      <c r="M1195" s="22">
        <f t="shared" si="92"/>
        <v>267</v>
      </c>
      <c r="N1195" s="22" t="str">
        <f t="shared" si="93"/>
        <v>Low Value</v>
      </c>
      <c r="O1195" s="22" t="str">
        <f t="shared" si="94"/>
        <v>Feb-2025</v>
      </c>
      <c r="P1195" s="22" t="s">
        <v>1829</v>
      </c>
      <c r="Q1195" s="22" t="s">
        <v>1536</v>
      </c>
      <c r="R1195" s="22" t="s">
        <v>828</v>
      </c>
      <c r="S1195" s="22"/>
      <c r="T1195" s="22"/>
      <c r="V1195" s="26" t="s">
        <v>1933</v>
      </c>
      <c r="W1195" s="6">
        <v>7</v>
      </c>
    </row>
    <row r="1196" spans="1:23">
      <c r="A1196" t="s">
        <v>3133</v>
      </c>
      <c r="B1196" s="8">
        <v>45250</v>
      </c>
      <c r="C1196" t="s">
        <v>1142</v>
      </c>
      <c r="D1196" t="s">
        <v>1627</v>
      </c>
      <c r="E1196" t="s">
        <v>1914</v>
      </c>
      <c r="F1196">
        <v>2</v>
      </c>
      <c r="G1196" s="10">
        <v>519.29999999999995</v>
      </c>
      <c r="H1196" s="13">
        <v>0.09</v>
      </c>
      <c r="I1196" t="s">
        <v>1933</v>
      </c>
      <c r="J1196" s="16">
        <v>945.12599999999998</v>
      </c>
      <c r="K1196" s="19">
        <f t="shared" si="90"/>
        <v>873853.28240000049</v>
      </c>
      <c r="L1196" s="22">
        <f t="shared" si="91"/>
        <v>1084.1852138957822</v>
      </c>
      <c r="M1196" s="22">
        <f t="shared" si="92"/>
        <v>267</v>
      </c>
      <c r="N1196" s="22" t="str">
        <f t="shared" si="93"/>
        <v>Low Value</v>
      </c>
      <c r="O1196" s="22" t="str">
        <f t="shared" si="94"/>
        <v>Nov-2023</v>
      </c>
      <c r="P1196" s="22" t="s">
        <v>1628</v>
      </c>
      <c r="Q1196" s="22" t="s">
        <v>1531</v>
      </c>
      <c r="R1196" s="22" t="s">
        <v>1143</v>
      </c>
      <c r="S1196" s="22"/>
      <c r="T1196" s="22"/>
      <c r="V1196" s="25" t="s">
        <v>64</v>
      </c>
      <c r="W1196" s="6">
        <v>24</v>
      </c>
    </row>
    <row r="1197" spans="1:23">
      <c r="A1197" t="s">
        <v>3134</v>
      </c>
      <c r="B1197" s="8">
        <v>45684</v>
      </c>
      <c r="C1197" t="s">
        <v>2552</v>
      </c>
      <c r="D1197" t="s">
        <v>1837</v>
      </c>
      <c r="E1197" t="s">
        <v>1899</v>
      </c>
      <c r="F1197">
        <v>3</v>
      </c>
      <c r="G1197" s="10">
        <v>845.67</v>
      </c>
      <c r="H1197" s="13">
        <v>0.12</v>
      </c>
      <c r="I1197" t="s">
        <v>1936</v>
      </c>
      <c r="J1197" s="16">
        <v>2232.5688</v>
      </c>
      <c r="K1197" s="19">
        <f t="shared" si="90"/>
        <v>872908.15640000033</v>
      </c>
      <c r="L1197" s="22">
        <f t="shared" si="91"/>
        <v>1084.35795826087</v>
      </c>
      <c r="M1197" s="22">
        <f t="shared" si="92"/>
        <v>266</v>
      </c>
      <c r="N1197" s="22" t="str">
        <f t="shared" si="93"/>
        <v>High Value</v>
      </c>
      <c r="O1197" s="22" t="str">
        <f t="shared" si="94"/>
        <v>Jan-2025</v>
      </c>
      <c r="P1197" s="22" t="s">
        <v>1838</v>
      </c>
      <c r="Q1197" s="22" t="s">
        <v>1555</v>
      </c>
      <c r="R1197" s="22" t="s">
        <v>1498</v>
      </c>
      <c r="S1197" s="22"/>
      <c r="T1197" s="22"/>
      <c r="V1197" s="26" t="s">
        <v>1936</v>
      </c>
      <c r="W1197" s="6">
        <v>6</v>
      </c>
    </row>
    <row r="1198" spans="1:23">
      <c r="A1198" t="s">
        <v>3135</v>
      </c>
      <c r="B1198" s="8">
        <v>45395</v>
      </c>
      <c r="C1198" t="s">
        <v>960</v>
      </c>
      <c r="D1198" t="s">
        <v>1719</v>
      </c>
      <c r="E1198" t="s">
        <v>1911</v>
      </c>
      <c r="F1198">
        <v>4</v>
      </c>
      <c r="G1198" s="10">
        <v>750.26</v>
      </c>
      <c r="H1198" s="13">
        <v>0.01</v>
      </c>
      <c r="I1198" t="s">
        <v>1933</v>
      </c>
      <c r="J1198" s="16">
        <v>2971.0295999999998</v>
      </c>
      <c r="K1198" s="19">
        <f t="shared" si="90"/>
        <v>870675.58760000032</v>
      </c>
      <c r="L1198" s="22">
        <f t="shared" si="91"/>
        <v>1082.9298353233835</v>
      </c>
      <c r="M1198" s="22">
        <f t="shared" si="92"/>
        <v>266</v>
      </c>
      <c r="N1198" s="22" t="str">
        <f t="shared" si="93"/>
        <v>High Value</v>
      </c>
      <c r="O1198" s="22" t="str">
        <f t="shared" si="94"/>
        <v>Apr-2024</v>
      </c>
      <c r="P1198" s="22" t="s">
        <v>1720</v>
      </c>
      <c r="Q1198" s="22" t="s">
        <v>1560</v>
      </c>
      <c r="R1198" s="22" t="s">
        <v>961</v>
      </c>
      <c r="S1198" s="22"/>
      <c r="T1198" s="22"/>
      <c r="V1198" s="26" t="s">
        <v>1931</v>
      </c>
      <c r="W1198" s="6">
        <v>10</v>
      </c>
    </row>
    <row r="1199" spans="1:23">
      <c r="A1199" t="s">
        <v>3136</v>
      </c>
      <c r="B1199" s="8">
        <v>45382</v>
      </c>
      <c r="C1199" t="s">
        <v>1040</v>
      </c>
      <c r="D1199" t="s">
        <v>1831</v>
      </c>
      <c r="E1199" t="s">
        <v>1901</v>
      </c>
      <c r="F1199">
        <v>4</v>
      </c>
      <c r="G1199" s="10">
        <v>294.38</v>
      </c>
      <c r="H1199" s="13">
        <v>0.2</v>
      </c>
      <c r="I1199" t="s">
        <v>1931</v>
      </c>
      <c r="J1199" s="16">
        <v>942.01600000000008</v>
      </c>
      <c r="K1199" s="19">
        <f t="shared" si="90"/>
        <v>867704.55800000031</v>
      </c>
      <c r="L1199" s="22">
        <f t="shared" si="91"/>
        <v>1080.5785280199257</v>
      </c>
      <c r="M1199" s="22">
        <f t="shared" si="92"/>
        <v>265</v>
      </c>
      <c r="N1199" s="22" t="str">
        <f t="shared" si="93"/>
        <v>Low Value</v>
      </c>
      <c r="O1199" s="22" t="str">
        <f t="shared" si="94"/>
        <v>Mar-2024</v>
      </c>
      <c r="P1199" s="22" t="s">
        <v>1832</v>
      </c>
      <c r="Q1199" s="22" t="s">
        <v>1560</v>
      </c>
      <c r="R1199" s="22" t="s">
        <v>1041</v>
      </c>
      <c r="S1199" s="22"/>
      <c r="T1199" s="22"/>
      <c r="V1199" s="26" t="s">
        <v>1933</v>
      </c>
      <c r="W1199" s="6">
        <v>8</v>
      </c>
    </row>
    <row r="1200" spans="1:23">
      <c r="A1200" t="s">
        <v>3137</v>
      </c>
      <c r="B1200" s="8">
        <v>45919</v>
      </c>
      <c r="C1200" t="s">
        <v>342</v>
      </c>
      <c r="D1200" t="s">
        <v>1843</v>
      </c>
      <c r="E1200" t="s">
        <v>1868</v>
      </c>
      <c r="F1200">
        <v>3</v>
      </c>
      <c r="G1200" s="10">
        <v>583.52</v>
      </c>
      <c r="H1200" s="13">
        <v>7.0000000000000007E-2</v>
      </c>
      <c r="I1200" t="s">
        <v>1933</v>
      </c>
      <c r="J1200" s="16">
        <v>1628.0208</v>
      </c>
      <c r="K1200" s="19">
        <f t="shared" si="90"/>
        <v>866762.54200000025</v>
      </c>
      <c r="L1200" s="22">
        <f t="shared" si="91"/>
        <v>1080.7512992518707</v>
      </c>
      <c r="M1200" s="22">
        <f t="shared" si="92"/>
        <v>265</v>
      </c>
      <c r="N1200" s="22" t="str">
        <f t="shared" si="93"/>
        <v>High Value</v>
      </c>
      <c r="O1200" s="22" t="str">
        <f t="shared" si="94"/>
        <v>Sep-2025</v>
      </c>
      <c r="P1200" s="22" t="s">
        <v>1844</v>
      </c>
      <c r="Q1200" s="22" t="s">
        <v>1536</v>
      </c>
      <c r="R1200" s="22" t="s">
        <v>343</v>
      </c>
      <c r="S1200" s="22"/>
      <c r="T1200" s="22"/>
      <c r="V1200" s="25" t="s">
        <v>754</v>
      </c>
      <c r="W1200" s="6">
        <v>15</v>
      </c>
    </row>
    <row r="1201" spans="1:23">
      <c r="A1201" t="s">
        <v>3138</v>
      </c>
      <c r="B1201" s="8">
        <v>45453</v>
      </c>
      <c r="C1201" t="s">
        <v>1439</v>
      </c>
      <c r="D1201" t="s">
        <v>1822</v>
      </c>
      <c r="E1201" t="s">
        <v>1911</v>
      </c>
      <c r="F1201">
        <v>2</v>
      </c>
      <c r="G1201" s="10">
        <v>635.22</v>
      </c>
      <c r="H1201" s="13">
        <v>0.3</v>
      </c>
      <c r="I1201" t="s">
        <v>1936</v>
      </c>
      <c r="J1201" s="16">
        <v>889.30799999999999</v>
      </c>
      <c r="K1201" s="19">
        <f t="shared" si="90"/>
        <v>865134.52120000042</v>
      </c>
      <c r="L1201" s="22">
        <f t="shared" si="91"/>
        <v>1080.0680664169793</v>
      </c>
      <c r="M1201" s="22">
        <f t="shared" si="92"/>
        <v>264</v>
      </c>
      <c r="N1201" s="22" t="str">
        <f t="shared" si="93"/>
        <v>Low Value</v>
      </c>
      <c r="O1201" s="22" t="str">
        <f t="shared" si="94"/>
        <v>Jun-2024</v>
      </c>
      <c r="P1201" s="22" t="s">
        <v>1823</v>
      </c>
      <c r="Q1201" s="22" t="s">
        <v>1555</v>
      </c>
      <c r="R1201" s="22" t="s">
        <v>1440</v>
      </c>
      <c r="S1201" s="22"/>
      <c r="T1201" s="22"/>
      <c r="V1201" s="26" t="s">
        <v>1936</v>
      </c>
      <c r="W1201" s="6">
        <v>4</v>
      </c>
    </row>
    <row r="1202" spans="1:23">
      <c r="A1202" t="s">
        <v>3139</v>
      </c>
      <c r="B1202" s="8">
        <v>45313</v>
      </c>
      <c r="C1202" t="s">
        <v>1319</v>
      </c>
      <c r="D1202" t="s">
        <v>1752</v>
      </c>
      <c r="E1202" t="s">
        <v>1868</v>
      </c>
      <c r="F1202">
        <v>1</v>
      </c>
      <c r="G1202" s="10">
        <v>743.55</v>
      </c>
      <c r="H1202" s="13">
        <v>0.11</v>
      </c>
      <c r="I1202" t="s">
        <v>1936</v>
      </c>
      <c r="J1202" s="16">
        <v>661.7595</v>
      </c>
      <c r="K1202" s="19">
        <f t="shared" si="90"/>
        <v>864245.21320000023</v>
      </c>
      <c r="L1202" s="22">
        <f t="shared" si="91"/>
        <v>1080.3065165000003</v>
      </c>
      <c r="M1202" s="22">
        <f t="shared" si="92"/>
        <v>264</v>
      </c>
      <c r="N1202" s="22" t="str">
        <f t="shared" si="93"/>
        <v>Low Value</v>
      </c>
      <c r="O1202" s="22" t="str">
        <f t="shared" si="94"/>
        <v>Jan-2024</v>
      </c>
      <c r="P1202" s="22" t="s">
        <v>1753</v>
      </c>
      <c r="Q1202" s="22" t="s">
        <v>1555</v>
      </c>
      <c r="R1202" s="22" t="s">
        <v>1320</v>
      </c>
      <c r="S1202" s="22"/>
      <c r="T1202" s="22"/>
      <c r="V1202" s="26" t="s">
        <v>1931</v>
      </c>
      <c r="W1202" s="6">
        <v>3</v>
      </c>
    </row>
    <row r="1203" spans="1:23">
      <c r="A1203" t="s">
        <v>3140</v>
      </c>
      <c r="B1203" s="8">
        <v>45377</v>
      </c>
      <c r="C1203" t="s">
        <v>355</v>
      </c>
      <c r="D1203" t="s">
        <v>1684</v>
      </c>
      <c r="E1203" t="s">
        <v>1873</v>
      </c>
      <c r="F1203">
        <v>4</v>
      </c>
      <c r="G1203" s="10">
        <v>530.45000000000005</v>
      </c>
      <c r="H1203" s="13">
        <v>0.13</v>
      </c>
      <c r="I1203" t="s">
        <v>1931</v>
      </c>
      <c r="J1203" s="16">
        <v>1845.9659999999999</v>
      </c>
      <c r="K1203" s="19">
        <f t="shared" si="90"/>
        <v>863583.4537000003</v>
      </c>
      <c r="L1203" s="22">
        <f t="shared" si="91"/>
        <v>1080.8303550688365</v>
      </c>
      <c r="M1203" s="22">
        <f t="shared" si="92"/>
        <v>264</v>
      </c>
      <c r="N1203" s="22" t="str">
        <f t="shared" si="93"/>
        <v>High Value</v>
      </c>
      <c r="O1203" s="22" t="str">
        <f t="shared" si="94"/>
        <v>Mar-2024</v>
      </c>
      <c r="P1203" s="22" t="s">
        <v>1685</v>
      </c>
      <c r="Q1203" s="22" t="s">
        <v>1569</v>
      </c>
      <c r="R1203" s="22" t="s">
        <v>356</v>
      </c>
      <c r="S1203" s="22"/>
      <c r="T1203" s="22"/>
      <c r="V1203" s="26" t="s">
        <v>1933</v>
      </c>
      <c r="W1203" s="6">
        <v>8</v>
      </c>
    </row>
    <row r="1204" spans="1:23">
      <c r="A1204" t="s">
        <v>3141</v>
      </c>
      <c r="B1204" s="8">
        <v>45371</v>
      </c>
      <c r="C1204" t="s">
        <v>842</v>
      </c>
      <c r="D1204" t="s">
        <v>1752</v>
      </c>
      <c r="E1204" t="s">
        <v>1893</v>
      </c>
      <c r="F1204">
        <v>2</v>
      </c>
      <c r="G1204" s="10">
        <v>972.4</v>
      </c>
      <c r="H1204" s="13">
        <v>0.06</v>
      </c>
      <c r="I1204" t="s">
        <v>1936</v>
      </c>
      <c r="J1204" s="16">
        <v>1828.1120000000001</v>
      </c>
      <c r="K1204" s="19">
        <f t="shared" si="90"/>
        <v>861737.48770000052</v>
      </c>
      <c r="L1204" s="22">
        <f t="shared" si="91"/>
        <v>1079.8715384711786</v>
      </c>
      <c r="M1204" s="22">
        <f t="shared" si="92"/>
        <v>264</v>
      </c>
      <c r="N1204" s="22" t="str">
        <f t="shared" si="93"/>
        <v>High Value</v>
      </c>
      <c r="O1204" s="22" t="str">
        <f t="shared" si="94"/>
        <v>Mar-2024</v>
      </c>
      <c r="P1204" s="22" t="s">
        <v>1753</v>
      </c>
      <c r="Q1204" s="22" t="s">
        <v>1555</v>
      </c>
      <c r="R1204" s="22" t="s">
        <v>843</v>
      </c>
      <c r="S1204" s="22"/>
      <c r="T1204" s="22"/>
      <c r="V1204" s="25" t="s">
        <v>591</v>
      </c>
      <c r="W1204" s="6">
        <v>10</v>
      </c>
    </row>
    <row r="1205" spans="1:23">
      <c r="A1205" t="s">
        <v>3142</v>
      </c>
      <c r="B1205" s="8">
        <v>45797</v>
      </c>
      <c r="C1205" t="s">
        <v>1175</v>
      </c>
      <c r="D1205" t="s">
        <v>1590</v>
      </c>
      <c r="E1205" t="s">
        <v>1917</v>
      </c>
      <c r="F1205">
        <v>3</v>
      </c>
      <c r="G1205" s="10">
        <v>197.93</v>
      </c>
      <c r="H1205" s="13">
        <v>0</v>
      </c>
      <c r="I1205" t="s">
        <v>1936</v>
      </c>
      <c r="J1205" s="16">
        <v>593.79</v>
      </c>
      <c r="K1205" s="19">
        <f t="shared" si="90"/>
        <v>859909.37570000056</v>
      </c>
      <c r="L1205" s="22">
        <f t="shared" si="91"/>
        <v>1078.9327173149318</v>
      </c>
      <c r="M1205" s="22">
        <f t="shared" si="92"/>
        <v>264</v>
      </c>
      <c r="N1205" s="22" t="str">
        <f t="shared" si="93"/>
        <v>Low Value</v>
      </c>
      <c r="O1205" s="22" t="str">
        <f t="shared" si="94"/>
        <v>May-2025</v>
      </c>
      <c r="P1205" s="22" t="s">
        <v>1591</v>
      </c>
      <c r="Q1205" s="22" t="s">
        <v>1531</v>
      </c>
      <c r="R1205" s="22" t="s">
        <v>1176</v>
      </c>
      <c r="S1205" s="22"/>
      <c r="T1205" s="22"/>
      <c r="V1205" s="26" t="s">
        <v>1936</v>
      </c>
      <c r="W1205" s="6">
        <v>6</v>
      </c>
    </row>
    <row r="1206" spans="1:23">
      <c r="A1206" t="s">
        <v>3143</v>
      </c>
      <c r="B1206" s="8">
        <v>45575</v>
      </c>
      <c r="C1206" t="s">
        <v>1070</v>
      </c>
      <c r="D1206" t="s">
        <v>1816</v>
      </c>
      <c r="E1206" t="s">
        <v>1899</v>
      </c>
      <c r="F1206">
        <v>4</v>
      </c>
      <c r="G1206" s="10">
        <v>565.51</v>
      </c>
      <c r="H1206" s="13">
        <v>0.16</v>
      </c>
      <c r="I1206" t="s">
        <v>1933</v>
      </c>
      <c r="J1206" s="16">
        <v>1900.1135999999999</v>
      </c>
      <c r="K1206" s="19">
        <f t="shared" si="90"/>
        <v>859315.58570000029</v>
      </c>
      <c r="L1206" s="22">
        <f t="shared" si="91"/>
        <v>1079.5421930904527</v>
      </c>
      <c r="M1206" s="22">
        <f t="shared" si="92"/>
        <v>264</v>
      </c>
      <c r="N1206" s="22" t="str">
        <f t="shared" si="93"/>
        <v>High Value</v>
      </c>
      <c r="O1206" s="22" t="str">
        <f t="shared" si="94"/>
        <v>Oct-2024</v>
      </c>
      <c r="P1206" s="22" t="s">
        <v>1817</v>
      </c>
      <c r="Q1206" s="22" t="s">
        <v>1560</v>
      </c>
      <c r="R1206" s="22" t="s">
        <v>1071</v>
      </c>
      <c r="S1206" s="22"/>
      <c r="T1206" s="22"/>
      <c r="V1206" s="26" t="s">
        <v>1931</v>
      </c>
      <c r="W1206" s="6">
        <v>2</v>
      </c>
    </row>
    <row r="1207" spans="1:23">
      <c r="A1207" t="s">
        <v>3144</v>
      </c>
      <c r="B1207" s="8">
        <v>45566</v>
      </c>
      <c r="C1207" t="s">
        <v>1239</v>
      </c>
      <c r="D1207" t="s">
        <v>1668</v>
      </c>
      <c r="E1207" t="s">
        <v>1876</v>
      </c>
      <c r="F1207">
        <v>4</v>
      </c>
      <c r="G1207" s="10">
        <v>983.38</v>
      </c>
      <c r="H1207" s="13">
        <v>0.25</v>
      </c>
      <c r="I1207" t="s">
        <v>1936</v>
      </c>
      <c r="J1207" s="16">
        <v>2950.14</v>
      </c>
      <c r="K1207" s="19">
        <f t="shared" si="90"/>
        <v>857415.47210000048</v>
      </c>
      <c r="L1207" s="22">
        <f t="shared" si="91"/>
        <v>1078.5100277987428</v>
      </c>
      <c r="M1207" s="22">
        <f t="shared" si="92"/>
        <v>263</v>
      </c>
      <c r="N1207" s="22" t="str">
        <f t="shared" si="93"/>
        <v>High Value</v>
      </c>
      <c r="O1207" s="22" t="str">
        <f t="shared" si="94"/>
        <v>Oct-2024</v>
      </c>
      <c r="P1207" s="22" t="s">
        <v>1669</v>
      </c>
      <c r="Q1207" s="22" t="s">
        <v>1531</v>
      </c>
      <c r="R1207" s="22" t="s">
        <v>1240</v>
      </c>
      <c r="S1207" s="22"/>
      <c r="T1207" s="22"/>
      <c r="V1207" s="26" t="s">
        <v>1933</v>
      </c>
      <c r="W1207" s="6">
        <v>2</v>
      </c>
    </row>
    <row r="1208" spans="1:23">
      <c r="A1208" t="s">
        <v>3145</v>
      </c>
      <c r="B1208" s="8">
        <v>45252</v>
      </c>
      <c r="C1208" t="s">
        <v>753</v>
      </c>
      <c r="D1208" t="s">
        <v>1852</v>
      </c>
      <c r="E1208" t="s">
        <v>1893</v>
      </c>
      <c r="F1208">
        <v>1</v>
      </c>
      <c r="G1208" s="10">
        <v>955.06</v>
      </c>
      <c r="H1208" s="13">
        <v>0.14000000000000001</v>
      </c>
      <c r="I1208" t="s">
        <v>1931</v>
      </c>
      <c r="J1208" s="16">
        <v>821.35159999999996</v>
      </c>
      <c r="K1208" s="19">
        <f t="shared" si="90"/>
        <v>854465.33210000035</v>
      </c>
      <c r="L1208" s="22">
        <f t="shared" si="91"/>
        <v>1076.1528112090684</v>
      </c>
      <c r="M1208" s="22">
        <f t="shared" si="92"/>
        <v>263</v>
      </c>
      <c r="N1208" s="22" t="str">
        <f t="shared" si="93"/>
        <v>Low Value</v>
      </c>
      <c r="O1208" s="22" t="str">
        <f t="shared" si="94"/>
        <v>Nov-2023</v>
      </c>
      <c r="P1208" s="22" t="s">
        <v>1853</v>
      </c>
      <c r="Q1208" s="22" t="s">
        <v>1560</v>
      </c>
      <c r="R1208" s="22" t="s">
        <v>754</v>
      </c>
      <c r="S1208" s="22"/>
      <c r="T1208" s="22"/>
      <c r="V1208" s="25" t="s">
        <v>796</v>
      </c>
      <c r="W1208" s="6">
        <v>19</v>
      </c>
    </row>
    <row r="1209" spans="1:23">
      <c r="A1209" t="s">
        <v>3146</v>
      </c>
      <c r="B1209" s="8">
        <v>45693</v>
      </c>
      <c r="C1209" t="s">
        <v>1099</v>
      </c>
      <c r="D1209" t="s">
        <v>1731</v>
      </c>
      <c r="E1209" t="s">
        <v>1908</v>
      </c>
      <c r="F1209">
        <v>3</v>
      </c>
      <c r="G1209" s="10">
        <v>597.46</v>
      </c>
      <c r="H1209" s="13">
        <v>0.02</v>
      </c>
      <c r="I1209" t="s">
        <v>1933</v>
      </c>
      <c r="J1209" s="16">
        <v>1756.5324000000001</v>
      </c>
      <c r="K1209" s="19">
        <f t="shared" si="90"/>
        <v>853643.98050000041</v>
      </c>
      <c r="L1209" s="22">
        <f t="shared" si="91"/>
        <v>1076.4741242118541</v>
      </c>
      <c r="M1209" s="22">
        <f t="shared" si="92"/>
        <v>263</v>
      </c>
      <c r="N1209" s="22" t="str">
        <f t="shared" si="93"/>
        <v>High Value</v>
      </c>
      <c r="O1209" s="22" t="str">
        <f t="shared" si="94"/>
        <v>Feb-2025</v>
      </c>
      <c r="P1209" s="22" t="s">
        <v>1732</v>
      </c>
      <c r="Q1209" s="22" t="s">
        <v>1555</v>
      </c>
      <c r="R1209" s="22" t="s">
        <v>1100</v>
      </c>
      <c r="S1209" s="22"/>
      <c r="T1209" s="22"/>
      <c r="V1209" s="26" t="s">
        <v>1936</v>
      </c>
      <c r="W1209" s="6">
        <v>11</v>
      </c>
    </row>
    <row r="1210" spans="1:23">
      <c r="A1210" t="s">
        <v>3147</v>
      </c>
      <c r="B1210" s="8">
        <v>45446</v>
      </c>
      <c r="C1210" t="s">
        <v>996</v>
      </c>
      <c r="D1210" t="s">
        <v>1563</v>
      </c>
      <c r="E1210" t="s">
        <v>1911</v>
      </c>
      <c r="F1210">
        <v>3</v>
      </c>
      <c r="G1210" s="10">
        <v>581.09</v>
      </c>
      <c r="H1210" s="13">
        <v>0.1</v>
      </c>
      <c r="I1210" t="s">
        <v>1936</v>
      </c>
      <c r="J1210" s="16">
        <v>1568.943</v>
      </c>
      <c r="K1210" s="19">
        <f t="shared" si="90"/>
        <v>851887.4481000005</v>
      </c>
      <c r="L1210" s="22">
        <f t="shared" si="91"/>
        <v>1075.6154647727278</v>
      </c>
      <c r="M1210" s="22">
        <f t="shared" si="92"/>
        <v>262</v>
      </c>
      <c r="N1210" s="22" t="str">
        <f t="shared" si="93"/>
        <v>High Value</v>
      </c>
      <c r="O1210" s="22" t="str">
        <f t="shared" si="94"/>
        <v>Jun-2024</v>
      </c>
      <c r="P1210" s="22" t="s">
        <v>1564</v>
      </c>
      <c r="Q1210" s="22" t="s">
        <v>1531</v>
      </c>
      <c r="R1210" s="22" t="s">
        <v>997</v>
      </c>
      <c r="S1210" s="22"/>
      <c r="T1210" s="22"/>
      <c r="V1210" s="26" t="s">
        <v>1931</v>
      </c>
      <c r="W1210" s="6">
        <v>3</v>
      </c>
    </row>
    <row r="1211" spans="1:23">
      <c r="A1211" t="s">
        <v>3148</v>
      </c>
      <c r="B1211" s="8">
        <v>45862</v>
      </c>
      <c r="C1211" t="s">
        <v>202</v>
      </c>
      <c r="D1211" t="s">
        <v>1639</v>
      </c>
      <c r="E1211" t="s">
        <v>1876</v>
      </c>
      <c r="F1211">
        <v>4</v>
      </c>
      <c r="G1211" s="10">
        <v>153.94999999999999</v>
      </c>
      <c r="H1211" s="13">
        <v>0.11</v>
      </c>
      <c r="I1211" t="s">
        <v>1933</v>
      </c>
      <c r="J1211" s="16">
        <v>548.06200000000001</v>
      </c>
      <c r="K1211" s="19">
        <f t="shared" si="90"/>
        <v>850318.50510000053</v>
      </c>
      <c r="L1211" s="22">
        <f t="shared" si="91"/>
        <v>1074.9917890012648</v>
      </c>
      <c r="M1211" s="22">
        <f t="shared" si="92"/>
        <v>262</v>
      </c>
      <c r="N1211" s="22" t="str">
        <f t="shared" si="93"/>
        <v>Low Value</v>
      </c>
      <c r="O1211" s="22" t="str">
        <f t="shared" si="94"/>
        <v>Jul-2025</v>
      </c>
      <c r="P1211" s="22" t="s">
        <v>1640</v>
      </c>
      <c r="Q1211" s="22" t="s">
        <v>1560</v>
      </c>
      <c r="R1211" s="22" t="s">
        <v>203</v>
      </c>
      <c r="S1211" s="22"/>
      <c r="T1211" s="22"/>
      <c r="V1211" s="26" t="s">
        <v>1933</v>
      </c>
      <c r="W1211" s="6">
        <v>5</v>
      </c>
    </row>
    <row r="1212" spans="1:23">
      <c r="A1212" t="s">
        <v>3149</v>
      </c>
      <c r="B1212" s="8">
        <v>45530</v>
      </c>
      <c r="C1212" t="s">
        <v>292</v>
      </c>
      <c r="D1212" t="s">
        <v>1658</v>
      </c>
      <c r="E1212" t="s">
        <v>1889</v>
      </c>
      <c r="F1212">
        <v>4</v>
      </c>
      <c r="G1212" s="10">
        <v>271.04000000000002</v>
      </c>
      <c r="H1212" s="13">
        <v>0.12</v>
      </c>
      <c r="I1212" t="s">
        <v>1936</v>
      </c>
      <c r="J1212" s="16">
        <v>954.06080000000009</v>
      </c>
      <c r="K1212" s="19">
        <f t="shared" si="90"/>
        <v>849770.44310000038</v>
      </c>
      <c r="L1212" s="22">
        <f t="shared" si="91"/>
        <v>1075.6587887341777</v>
      </c>
      <c r="M1212" s="22">
        <f t="shared" si="92"/>
        <v>261</v>
      </c>
      <c r="N1212" s="22" t="str">
        <f t="shared" si="93"/>
        <v>Low Value</v>
      </c>
      <c r="O1212" s="22" t="str">
        <f t="shared" si="94"/>
        <v>Aug-2024</v>
      </c>
      <c r="P1212" s="22" t="s">
        <v>1659</v>
      </c>
      <c r="Q1212" s="22" t="s">
        <v>1536</v>
      </c>
      <c r="R1212" s="22" t="s">
        <v>293</v>
      </c>
      <c r="S1212" s="22"/>
      <c r="T1212" s="22"/>
      <c r="V1212" s="25" t="s">
        <v>321</v>
      </c>
      <c r="W1212" s="6">
        <v>2</v>
      </c>
    </row>
    <row r="1213" spans="1:23">
      <c r="A1213" t="s">
        <v>3150</v>
      </c>
      <c r="B1213" s="8">
        <v>45558</v>
      </c>
      <c r="C1213" t="s">
        <v>71</v>
      </c>
      <c r="D1213" t="s">
        <v>1655</v>
      </c>
      <c r="E1213" t="s">
        <v>1883</v>
      </c>
      <c r="F1213">
        <v>4</v>
      </c>
      <c r="G1213" s="10">
        <v>328.27</v>
      </c>
      <c r="H1213" s="13">
        <v>0.09</v>
      </c>
      <c r="I1213" t="s">
        <v>1933</v>
      </c>
      <c r="J1213" s="16">
        <v>1194.9028000000001</v>
      </c>
      <c r="K1213" s="19">
        <f t="shared" si="90"/>
        <v>848816.38230000052</v>
      </c>
      <c r="L1213" s="22">
        <f t="shared" si="91"/>
        <v>1075.8129053231946</v>
      </c>
      <c r="M1213" s="22">
        <f t="shared" si="92"/>
        <v>261</v>
      </c>
      <c r="N1213" s="22" t="str">
        <f t="shared" si="93"/>
        <v>High Value</v>
      </c>
      <c r="O1213" s="22" t="str">
        <f t="shared" si="94"/>
        <v>Sep-2024</v>
      </c>
      <c r="P1213" s="22" t="s">
        <v>1656</v>
      </c>
      <c r="Q1213" s="22" t="s">
        <v>1560</v>
      </c>
      <c r="R1213" s="22" t="s">
        <v>72</v>
      </c>
      <c r="S1213" s="22"/>
      <c r="T1213" s="22"/>
      <c r="V1213" s="26" t="s">
        <v>1936</v>
      </c>
      <c r="W1213" s="6">
        <v>2</v>
      </c>
    </row>
    <row r="1214" spans="1:23">
      <c r="A1214" t="s">
        <v>3151</v>
      </c>
      <c r="B1214" s="8">
        <v>45472</v>
      </c>
      <c r="C1214" t="s">
        <v>1505</v>
      </c>
      <c r="D1214" t="s">
        <v>1597</v>
      </c>
      <c r="E1214" t="s">
        <v>1906</v>
      </c>
      <c r="F1214">
        <v>4</v>
      </c>
      <c r="G1214" s="10">
        <v>884.71</v>
      </c>
      <c r="H1214" s="13">
        <v>0.09</v>
      </c>
      <c r="I1214" t="s">
        <v>1933</v>
      </c>
      <c r="J1214" s="16">
        <v>3220.3444</v>
      </c>
      <c r="K1214" s="19">
        <f t="shared" si="90"/>
        <v>847621.47950000048</v>
      </c>
      <c r="L1214" s="22">
        <f t="shared" si="91"/>
        <v>1075.661776015229</v>
      </c>
      <c r="M1214" s="22">
        <f t="shared" si="92"/>
        <v>260</v>
      </c>
      <c r="N1214" s="22" t="str">
        <f t="shared" si="93"/>
        <v>High Value</v>
      </c>
      <c r="O1214" s="22" t="str">
        <f t="shared" si="94"/>
        <v>Jun-2024</v>
      </c>
      <c r="P1214" s="22" t="s">
        <v>1598</v>
      </c>
      <c r="Q1214" s="22" t="s">
        <v>1569</v>
      </c>
      <c r="R1214" s="22" t="s">
        <v>1506</v>
      </c>
      <c r="S1214" s="22"/>
      <c r="T1214" s="22"/>
      <c r="V1214" s="25" t="s">
        <v>1035</v>
      </c>
      <c r="W1214" s="6">
        <v>7</v>
      </c>
    </row>
    <row r="1215" spans="1:23">
      <c r="A1215" t="s">
        <v>3152</v>
      </c>
      <c r="B1215" s="8">
        <v>45809</v>
      </c>
      <c r="C1215" t="s">
        <v>798</v>
      </c>
      <c r="D1215" t="s">
        <v>1771</v>
      </c>
      <c r="E1215" t="s">
        <v>1876</v>
      </c>
      <c r="F1215">
        <v>1</v>
      </c>
      <c r="G1215" s="10">
        <v>41.39</v>
      </c>
      <c r="H1215" s="13">
        <v>0.01</v>
      </c>
      <c r="I1215" t="s">
        <v>1931</v>
      </c>
      <c r="J1215" s="16">
        <v>40.976100000000002</v>
      </c>
      <c r="K1215" s="19">
        <f t="shared" si="90"/>
        <v>844401.13510000042</v>
      </c>
      <c r="L1215" s="22">
        <f t="shared" si="91"/>
        <v>1072.9366392630247</v>
      </c>
      <c r="M1215" s="22">
        <f t="shared" si="92"/>
        <v>259</v>
      </c>
      <c r="N1215" s="22" t="str">
        <f t="shared" si="93"/>
        <v>Low Value</v>
      </c>
      <c r="O1215" s="22" t="str">
        <f t="shared" si="94"/>
        <v>Jun-2025</v>
      </c>
      <c r="P1215" s="22" t="s">
        <v>1772</v>
      </c>
      <c r="Q1215" s="22" t="s">
        <v>1569</v>
      </c>
      <c r="R1215" s="22" t="s">
        <v>799</v>
      </c>
      <c r="S1215" s="22"/>
      <c r="T1215" s="22"/>
      <c r="V1215" s="26" t="s">
        <v>1936</v>
      </c>
      <c r="W1215" s="6">
        <v>2</v>
      </c>
    </row>
    <row r="1216" spans="1:23">
      <c r="A1216" t="s">
        <v>3153</v>
      </c>
      <c r="B1216" s="8">
        <v>45783</v>
      </c>
      <c r="C1216" t="s">
        <v>548</v>
      </c>
      <c r="D1216" t="s">
        <v>1725</v>
      </c>
      <c r="E1216" t="s">
        <v>1893</v>
      </c>
      <c r="F1216">
        <v>4</v>
      </c>
      <c r="G1216" s="10">
        <v>64.06</v>
      </c>
      <c r="H1216" s="13">
        <v>0.26</v>
      </c>
      <c r="I1216" t="s">
        <v>1931</v>
      </c>
      <c r="J1216" s="16">
        <v>189.61760000000001</v>
      </c>
      <c r="K1216" s="19">
        <f t="shared" si="90"/>
        <v>844360.15900000033</v>
      </c>
      <c r="L1216" s="22">
        <f t="shared" si="91"/>
        <v>1074.2495661577611</v>
      </c>
      <c r="M1216" s="22">
        <f t="shared" si="92"/>
        <v>259</v>
      </c>
      <c r="N1216" s="22" t="str">
        <f t="shared" si="93"/>
        <v>Low Value</v>
      </c>
      <c r="O1216" s="22" t="str">
        <f t="shared" si="94"/>
        <v>May-2025</v>
      </c>
      <c r="P1216" s="22" t="s">
        <v>1726</v>
      </c>
      <c r="Q1216" s="22" t="s">
        <v>1569</v>
      </c>
      <c r="R1216" s="22" t="s">
        <v>549</v>
      </c>
      <c r="S1216" s="22"/>
      <c r="T1216" s="22"/>
      <c r="V1216" s="26" t="s">
        <v>1931</v>
      </c>
      <c r="W1216" s="6">
        <v>1</v>
      </c>
    </row>
    <row r="1217" spans="1:23">
      <c r="A1217" t="s">
        <v>3154</v>
      </c>
      <c r="B1217" s="8">
        <v>45849</v>
      </c>
      <c r="C1217" t="s">
        <v>1082</v>
      </c>
      <c r="D1217" t="s">
        <v>1690</v>
      </c>
      <c r="E1217" t="s">
        <v>1893</v>
      </c>
      <c r="F1217">
        <v>2</v>
      </c>
      <c r="G1217" s="10">
        <v>152.25</v>
      </c>
      <c r="H1217" s="13">
        <v>0.13</v>
      </c>
      <c r="I1217" t="s">
        <v>1931</v>
      </c>
      <c r="J1217" s="16">
        <v>264.91500000000002</v>
      </c>
      <c r="K1217" s="19">
        <f t="shared" si="90"/>
        <v>844170.54140000034</v>
      </c>
      <c r="L1217" s="22">
        <f t="shared" si="91"/>
        <v>1075.3764858598731</v>
      </c>
      <c r="M1217" s="22">
        <f t="shared" si="92"/>
        <v>259</v>
      </c>
      <c r="N1217" s="22" t="str">
        <f t="shared" si="93"/>
        <v>Low Value</v>
      </c>
      <c r="O1217" s="22" t="str">
        <f t="shared" si="94"/>
        <v>Jul-2025</v>
      </c>
      <c r="P1217" s="22" t="s">
        <v>1691</v>
      </c>
      <c r="Q1217" s="22" t="s">
        <v>1536</v>
      </c>
      <c r="R1217" s="22" t="s">
        <v>1083</v>
      </c>
      <c r="S1217" s="22"/>
      <c r="T1217" s="22"/>
      <c r="V1217" s="26" t="s">
        <v>1933</v>
      </c>
      <c r="W1217" s="6">
        <v>4</v>
      </c>
    </row>
    <row r="1218" spans="1:23">
      <c r="A1218" t="s">
        <v>3155</v>
      </c>
      <c r="B1218" s="8">
        <v>45281</v>
      </c>
      <c r="C1218" t="s">
        <v>351</v>
      </c>
      <c r="D1218" t="s">
        <v>1583</v>
      </c>
      <c r="E1218" t="s">
        <v>1920</v>
      </c>
      <c r="F1218">
        <v>2</v>
      </c>
      <c r="G1218" s="10">
        <v>889.04</v>
      </c>
      <c r="H1218" s="13">
        <v>0.23</v>
      </c>
      <c r="I1218" t="s">
        <v>1931</v>
      </c>
      <c r="J1218" s="16">
        <v>1369.1215999999999</v>
      </c>
      <c r="K1218" s="19">
        <f t="shared" ref="K1218:K1281" si="95">SUM(J1218:J3217)</f>
        <v>843905.6264000003</v>
      </c>
      <c r="L1218" s="22">
        <f t="shared" ref="L1218:L1281" si="96">AVERAGE(J1218:J3217)</f>
        <v>1076.4102377551023</v>
      </c>
      <c r="M1218" s="22">
        <f t="shared" ref="M1218:M1281" si="97">COUNTIF(I1218:I3217,"PayPal")</f>
        <v>259</v>
      </c>
      <c r="N1218" s="22" t="str">
        <f t="shared" ref="N1218:N1281" si="98">IF(J1218&gt;=1000,"High Value","Low Value")</f>
        <v>High Value</v>
      </c>
      <c r="O1218" s="22" t="str">
        <f t="shared" ref="O1218:O1281" si="99">TEXT(B1218,"mmm-yyyy")</f>
        <v>Dec-2023</v>
      </c>
      <c r="P1218" s="22" t="s">
        <v>1584</v>
      </c>
      <c r="Q1218" s="22" t="s">
        <v>1531</v>
      </c>
      <c r="R1218" s="22" t="s">
        <v>352</v>
      </c>
      <c r="S1218" s="22"/>
      <c r="T1218" s="22"/>
      <c r="V1218" s="25" t="s">
        <v>552</v>
      </c>
      <c r="W1218" s="6">
        <v>5</v>
      </c>
    </row>
    <row r="1219" spans="1:23">
      <c r="A1219" t="s">
        <v>3156</v>
      </c>
      <c r="B1219" s="8">
        <v>45322</v>
      </c>
      <c r="C1219" t="s">
        <v>536</v>
      </c>
      <c r="D1219" t="s">
        <v>1661</v>
      </c>
      <c r="E1219" t="s">
        <v>1896</v>
      </c>
      <c r="F1219">
        <v>3</v>
      </c>
      <c r="G1219" s="10">
        <v>145.25</v>
      </c>
      <c r="H1219" s="13">
        <v>0.24</v>
      </c>
      <c r="I1219" t="s">
        <v>1933</v>
      </c>
      <c r="J1219" s="16">
        <v>331.17</v>
      </c>
      <c r="K1219" s="19">
        <f t="shared" si="95"/>
        <v>842536.50480000034</v>
      </c>
      <c r="L1219" s="22">
        <f t="shared" si="96"/>
        <v>1076.0364045977017</v>
      </c>
      <c r="M1219" s="22">
        <f t="shared" si="97"/>
        <v>259</v>
      </c>
      <c r="N1219" s="22" t="str">
        <f t="shared" si="98"/>
        <v>Low Value</v>
      </c>
      <c r="O1219" s="22" t="str">
        <f t="shared" si="99"/>
        <v>Jan-2024</v>
      </c>
      <c r="P1219" s="22" t="s">
        <v>1662</v>
      </c>
      <c r="Q1219" s="22" t="s">
        <v>1536</v>
      </c>
      <c r="R1219" s="22" t="s">
        <v>537</v>
      </c>
      <c r="S1219" s="22"/>
      <c r="T1219" s="22"/>
      <c r="V1219" s="26" t="s">
        <v>1936</v>
      </c>
      <c r="W1219" s="6">
        <v>3</v>
      </c>
    </row>
    <row r="1220" spans="1:23">
      <c r="A1220" t="s">
        <v>3157</v>
      </c>
      <c r="B1220" s="8">
        <v>45560</v>
      </c>
      <c r="C1220" t="s">
        <v>208</v>
      </c>
      <c r="D1220" t="s">
        <v>1819</v>
      </c>
      <c r="E1220" t="s">
        <v>1868</v>
      </c>
      <c r="F1220">
        <v>2</v>
      </c>
      <c r="G1220" s="10">
        <v>898.45</v>
      </c>
      <c r="H1220" s="13">
        <v>0.28999999999999998</v>
      </c>
      <c r="I1220" t="s">
        <v>1936</v>
      </c>
      <c r="J1220" s="16">
        <v>1275.799</v>
      </c>
      <c r="K1220" s="19">
        <f t="shared" si="95"/>
        <v>842205.33480000042</v>
      </c>
      <c r="L1220" s="22">
        <f t="shared" si="96"/>
        <v>1076.9889191815862</v>
      </c>
      <c r="M1220" s="22">
        <f t="shared" si="97"/>
        <v>258</v>
      </c>
      <c r="N1220" s="22" t="str">
        <f t="shared" si="98"/>
        <v>High Value</v>
      </c>
      <c r="O1220" s="22" t="str">
        <f t="shared" si="99"/>
        <v>Sep-2024</v>
      </c>
      <c r="P1220" s="22" t="s">
        <v>1820</v>
      </c>
      <c r="Q1220" s="22" t="s">
        <v>1569</v>
      </c>
      <c r="R1220" s="22" t="s">
        <v>209</v>
      </c>
      <c r="S1220" s="22"/>
      <c r="T1220" s="22"/>
      <c r="V1220" s="26" t="s">
        <v>1933</v>
      </c>
      <c r="W1220" s="6">
        <v>2</v>
      </c>
    </row>
    <row r="1221" spans="1:23">
      <c r="A1221" t="s">
        <v>3158</v>
      </c>
      <c r="B1221" s="8">
        <v>45905</v>
      </c>
      <c r="C1221" t="s">
        <v>124</v>
      </c>
      <c r="D1221" t="s">
        <v>1655</v>
      </c>
      <c r="E1221" t="s">
        <v>1908</v>
      </c>
      <c r="F1221">
        <v>4</v>
      </c>
      <c r="G1221" s="10">
        <v>642.04999999999995</v>
      </c>
      <c r="H1221" s="13">
        <v>0.25</v>
      </c>
      <c r="I1221" t="s">
        <v>1931</v>
      </c>
      <c r="J1221" s="16">
        <v>1926.15</v>
      </c>
      <c r="K1221" s="19">
        <f t="shared" si="95"/>
        <v>840929.5358000003</v>
      </c>
      <c r="L1221" s="22">
        <f t="shared" si="96"/>
        <v>1076.7343608194626</v>
      </c>
      <c r="M1221" s="22">
        <f t="shared" si="97"/>
        <v>258</v>
      </c>
      <c r="N1221" s="22" t="str">
        <f t="shared" si="98"/>
        <v>High Value</v>
      </c>
      <c r="O1221" s="22" t="str">
        <f t="shared" si="99"/>
        <v>Sep-2025</v>
      </c>
      <c r="P1221" s="22" t="s">
        <v>1656</v>
      </c>
      <c r="Q1221" s="22" t="s">
        <v>1560</v>
      </c>
      <c r="R1221" s="22" t="s">
        <v>125</v>
      </c>
      <c r="S1221" s="22"/>
      <c r="T1221" s="22"/>
      <c r="V1221" s="25" t="s">
        <v>463</v>
      </c>
      <c r="W1221" s="6">
        <v>6</v>
      </c>
    </row>
    <row r="1222" spans="1:23">
      <c r="A1222" t="s">
        <v>3159</v>
      </c>
      <c r="B1222" s="8">
        <v>45531</v>
      </c>
      <c r="C1222" t="s">
        <v>984</v>
      </c>
      <c r="D1222" t="s">
        <v>1807</v>
      </c>
      <c r="E1222" t="s">
        <v>1886</v>
      </c>
      <c r="F1222">
        <v>4</v>
      </c>
      <c r="G1222" s="10">
        <v>450.83</v>
      </c>
      <c r="H1222" s="13">
        <v>0.24</v>
      </c>
      <c r="I1222" t="s">
        <v>1931</v>
      </c>
      <c r="J1222" s="16">
        <v>1370.5232000000001</v>
      </c>
      <c r="K1222" s="19">
        <f t="shared" si="95"/>
        <v>839003.3858000004</v>
      </c>
      <c r="L1222" s="22">
        <f t="shared" si="96"/>
        <v>1075.6453664102569</v>
      </c>
      <c r="M1222" s="22">
        <f t="shared" si="97"/>
        <v>258</v>
      </c>
      <c r="N1222" s="22" t="str">
        <f t="shared" si="98"/>
        <v>High Value</v>
      </c>
      <c r="O1222" s="22" t="str">
        <f t="shared" si="99"/>
        <v>Aug-2024</v>
      </c>
      <c r="P1222" s="22" t="s">
        <v>1808</v>
      </c>
      <c r="Q1222" s="22" t="s">
        <v>1560</v>
      </c>
      <c r="R1222" s="22" t="s">
        <v>985</v>
      </c>
      <c r="S1222" s="22"/>
      <c r="T1222" s="22"/>
      <c r="V1222" s="26" t="s">
        <v>1936</v>
      </c>
      <c r="W1222" s="6">
        <v>5</v>
      </c>
    </row>
    <row r="1223" spans="1:23">
      <c r="A1223" t="s">
        <v>3160</v>
      </c>
      <c r="B1223" s="8">
        <v>45216</v>
      </c>
      <c r="C1223" t="s">
        <v>52</v>
      </c>
      <c r="D1223" t="s">
        <v>1710</v>
      </c>
      <c r="E1223" t="s">
        <v>1920</v>
      </c>
      <c r="F1223">
        <v>2</v>
      </c>
      <c r="G1223" s="10">
        <v>441.03</v>
      </c>
      <c r="H1223" s="13">
        <v>0.23</v>
      </c>
      <c r="I1223" t="s">
        <v>1936</v>
      </c>
      <c r="J1223" s="16">
        <v>679.18619999999999</v>
      </c>
      <c r="K1223" s="19">
        <f t="shared" si="95"/>
        <v>837632.86260000046</v>
      </c>
      <c r="L1223" s="22">
        <f t="shared" si="96"/>
        <v>1075.2668326059056</v>
      </c>
      <c r="M1223" s="22">
        <f t="shared" si="97"/>
        <v>258</v>
      </c>
      <c r="N1223" s="22" t="str">
        <f t="shared" si="98"/>
        <v>Low Value</v>
      </c>
      <c r="O1223" s="22" t="str">
        <f t="shared" si="99"/>
        <v>Oct-2023</v>
      </c>
      <c r="P1223" s="22" t="s">
        <v>1711</v>
      </c>
      <c r="Q1223" s="22" t="s">
        <v>1569</v>
      </c>
      <c r="R1223" s="22" t="s">
        <v>53</v>
      </c>
      <c r="S1223" s="22"/>
      <c r="T1223" s="22"/>
      <c r="V1223" s="26" t="s">
        <v>1931</v>
      </c>
      <c r="W1223" s="6">
        <v>1</v>
      </c>
    </row>
    <row r="1224" spans="1:23">
      <c r="A1224" t="s">
        <v>3161</v>
      </c>
      <c r="B1224" s="8">
        <v>45384</v>
      </c>
      <c r="C1224" t="s">
        <v>295</v>
      </c>
      <c r="D1224" t="s">
        <v>1624</v>
      </c>
      <c r="E1224" t="s">
        <v>1868</v>
      </c>
      <c r="F1224">
        <v>3</v>
      </c>
      <c r="G1224" s="10">
        <v>377.69</v>
      </c>
      <c r="H1224" s="13">
        <v>7.0000000000000007E-2</v>
      </c>
      <c r="I1224" t="s">
        <v>1933</v>
      </c>
      <c r="J1224" s="16">
        <v>1053.7551000000001</v>
      </c>
      <c r="K1224" s="19">
        <f t="shared" si="95"/>
        <v>836953.67640000035</v>
      </c>
      <c r="L1224" s="22">
        <f t="shared" si="96"/>
        <v>1075.775933676093</v>
      </c>
      <c r="M1224" s="22">
        <f t="shared" si="97"/>
        <v>258</v>
      </c>
      <c r="N1224" s="22" t="str">
        <f t="shared" si="98"/>
        <v>High Value</v>
      </c>
      <c r="O1224" s="22" t="str">
        <f t="shared" si="99"/>
        <v>Apr-2024</v>
      </c>
      <c r="P1224" s="22" t="s">
        <v>1625</v>
      </c>
      <c r="Q1224" s="22" t="s">
        <v>1536</v>
      </c>
      <c r="R1224" s="22" t="s">
        <v>296</v>
      </c>
      <c r="S1224" s="22"/>
      <c r="T1224" s="22"/>
      <c r="V1224" s="25" t="s">
        <v>510</v>
      </c>
      <c r="W1224" s="6">
        <v>15</v>
      </c>
    </row>
    <row r="1225" spans="1:23">
      <c r="A1225" t="s">
        <v>3162</v>
      </c>
      <c r="B1225" s="8">
        <v>45416</v>
      </c>
      <c r="C1225" t="s">
        <v>533</v>
      </c>
      <c r="D1225" t="s">
        <v>1572</v>
      </c>
      <c r="E1225" t="s">
        <v>1886</v>
      </c>
      <c r="F1225">
        <v>1</v>
      </c>
      <c r="G1225" s="10">
        <v>457.33</v>
      </c>
      <c r="H1225" s="13">
        <v>0.27</v>
      </c>
      <c r="I1225" t="s">
        <v>1931</v>
      </c>
      <c r="J1225" s="16">
        <v>333.85090000000002</v>
      </c>
      <c r="K1225" s="19">
        <f t="shared" si="95"/>
        <v>835899.92130000039</v>
      </c>
      <c r="L1225" s="22">
        <f t="shared" si="96"/>
        <v>1075.804274517375</v>
      </c>
      <c r="M1225" s="22">
        <f t="shared" si="97"/>
        <v>257</v>
      </c>
      <c r="N1225" s="22" t="str">
        <f t="shared" si="98"/>
        <v>Low Value</v>
      </c>
      <c r="O1225" s="22" t="str">
        <f t="shared" si="99"/>
        <v>May-2024</v>
      </c>
      <c r="P1225" s="22" t="s">
        <v>1573</v>
      </c>
      <c r="Q1225" s="22" t="s">
        <v>1560</v>
      </c>
      <c r="R1225" s="22" t="s">
        <v>534</v>
      </c>
      <c r="S1225" s="22"/>
      <c r="T1225" s="22"/>
      <c r="V1225" s="26" t="s">
        <v>1936</v>
      </c>
      <c r="W1225" s="6">
        <v>7</v>
      </c>
    </row>
    <row r="1226" spans="1:23">
      <c r="A1226" t="s">
        <v>3163</v>
      </c>
      <c r="B1226" s="8">
        <v>45880</v>
      </c>
      <c r="C1226" t="s">
        <v>783</v>
      </c>
      <c r="D1226" t="s">
        <v>1783</v>
      </c>
      <c r="E1226" t="s">
        <v>1883</v>
      </c>
      <c r="F1226">
        <v>4</v>
      </c>
      <c r="G1226" s="10">
        <v>218.01</v>
      </c>
      <c r="H1226" s="13">
        <v>0.06</v>
      </c>
      <c r="I1226" t="s">
        <v>1931</v>
      </c>
      <c r="J1226" s="16">
        <v>819.71759999999995</v>
      </c>
      <c r="K1226" s="19">
        <f t="shared" si="95"/>
        <v>835566.07040000043</v>
      </c>
      <c r="L1226" s="22">
        <f t="shared" si="96"/>
        <v>1076.7604000000006</v>
      </c>
      <c r="M1226" s="22">
        <f t="shared" si="97"/>
        <v>257</v>
      </c>
      <c r="N1226" s="22" t="str">
        <f t="shared" si="98"/>
        <v>Low Value</v>
      </c>
      <c r="O1226" s="22" t="str">
        <f t="shared" si="99"/>
        <v>Aug-2025</v>
      </c>
      <c r="P1226" s="22" t="s">
        <v>1784</v>
      </c>
      <c r="Q1226" s="22" t="s">
        <v>1531</v>
      </c>
      <c r="R1226" s="22" t="s">
        <v>784</v>
      </c>
      <c r="S1226" s="22"/>
      <c r="T1226" s="22"/>
      <c r="V1226" s="26" t="s">
        <v>1931</v>
      </c>
      <c r="W1226" s="6">
        <v>2</v>
      </c>
    </row>
    <row r="1227" spans="1:23">
      <c r="A1227" t="s">
        <v>3164</v>
      </c>
      <c r="B1227" s="8">
        <v>45933</v>
      </c>
      <c r="C1227" t="s">
        <v>706</v>
      </c>
      <c r="D1227" t="s">
        <v>1831</v>
      </c>
      <c r="E1227" t="s">
        <v>1917</v>
      </c>
      <c r="F1227">
        <v>2</v>
      </c>
      <c r="G1227" s="10">
        <v>682.7</v>
      </c>
      <c r="H1227" s="13">
        <v>0.13</v>
      </c>
      <c r="I1227" t="s">
        <v>1931</v>
      </c>
      <c r="J1227" s="16">
        <v>1187.8979999999999</v>
      </c>
      <c r="K1227" s="19">
        <f t="shared" si="95"/>
        <v>834746.35280000034</v>
      </c>
      <c r="L1227" s="22">
        <f t="shared" si="96"/>
        <v>1077.0920681290327</v>
      </c>
      <c r="M1227" s="22">
        <f t="shared" si="97"/>
        <v>257</v>
      </c>
      <c r="N1227" s="22" t="str">
        <f t="shared" si="98"/>
        <v>High Value</v>
      </c>
      <c r="O1227" s="22" t="str">
        <f t="shared" si="99"/>
        <v>Oct-2025</v>
      </c>
      <c r="P1227" s="22" t="s">
        <v>1832</v>
      </c>
      <c r="Q1227" s="22" t="s">
        <v>1560</v>
      </c>
      <c r="R1227" s="22" t="s">
        <v>707</v>
      </c>
      <c r="S1227" s="22"/>
      <c r="T1227" s="22"/>
      <c r="V1227" s="26" t="s">
        <v>1933</v>
      </c>
      <c r="W1227" s="6">
        <v>6</v>
      </c>
    </row>
    <row r="1228" spans="1:23">
      <c r="A1228" t="s">
        <v>3165</v>
      </c>
      <c r="B1228" s="8">
        <v>45345</v>
      </c>
      <c r="C1228" t="s">
        <v>1014</v>
      </c>
      <c r="D1228" t="s">
        <v>1603</v>
      </c>
      <c r="E1228" t="s">
        <v>1917</v>
      </c>
      <c r="F1228">
        <v>3</v>
      </c>
      <c r="G1228" s="10">
        <v>726.97</v>
      </c>
      <c r="H1228" s="13">
        <v>0.04</v>
      </c>
      <c r="I1228" t="s">
        <v>1933</v>
      </c>
      <c r="J1228" s="16">
        <v>2093.6736000000001</v>
      </c>
      <c r="K1228" s="19">
        <f t="shared" si="95"/>
        <v>833558.45480000053</v>
      </c>
      <c r="L1228" s="22">
        <f t="shared" si="96"/>
        <v>1076.9489080103367</v>
      </c>
      <c r="M1228" s="22">
        <f t="shared" si="97"/>
        <v>257</v>
      </c>
      <c r="N1228" s="22" t="str">
        <f t="shared" si="98"/>
        <v>High Value</v>
      </c>
      <c r="O1228" s="22" t="str">
        <f t="shared" si="99"/>
        <v>Feb-2024</v>
      </c>
      <c r="P1228" s="22" t="s">
        <v>1604</v>
      </c>
      <c r="Q1228" s="22" t="s">
        <v>1569</v>
      </c>
      <c r="R1228" s="22" t="s">
        <v>1015</v>
      </c>
      <c r="S1228" s="22"/>
      <c r="T1228" s="22"/>
      <c r="V1228" s="25" t="s">
        <v>474</v>
      </c>
      <c r="W1228" s="6">
        <v>11</v>
      </c>
    </row>
    <row r="1229" spans="1:23">
      <c r="A1229" t="s">
        <v>3166</v>
      </c>
      <c r="B1229" s="8">
        <v>45681</v>
      </c>
      <c r="C1229" t="s">
        <v>1262</v>
      </c>
      <c r="D1229" t="s">
        <v>1731</v>
      </c>
      <c r="E1229" t="s">
        <v>1893</v>
      </c>
      <c r="F1229">
        <v>2</v>
      </c>
      <c r="G1229" s="10">
        <v>107.97</v>
      </c>
      <c r="H1229" s="13">
        <v>0.06</v>
      </c>
      <c r="I1229" t="s">
        <v>1931</v>
      </c>
      <c r="J1229" s="16">
        <v>202.9836</v>
      </c>
      <c r="K1229" s="19">
        <f t="shared" si="95"/>
        <v>831464.78120000043</v>
      </c>
      <c r="L1229" s="22">
        <f t="shared" si="96"/>
        <v>1075.6336108667535</v>
      </c>
      <c r="M1229" s="22">
        <f t="shared" si="97"/>
        <v>256</v>
      </c>
      <c r="N1229" s="22" t="str">
        <f t="shared" si="98"/>
        <v>Low Value</v>
      </c>
      <c r="O1229" s="22" t="str">
        <f t="shared" si="99"/>
        <v>Jan-2025</v>
      </c>
      <c r="P1229" s="22" t="s">
        <v>1732</v>
      </c>
      <c r="Q1229" s="22" t="s">
        <v>1555</v>
      </c>
      <c r="R1229" s="22" t="s">
        <v>1263</v>
      </c>
      <c r="S1229" s="22"/>
      <c r="T1229" s="22"/>
      <c r="V1229" s="26" t="s">
        <v>1936</v>
      </c>
      <c r="W1229" s="6">
        <v>6</v>
      </c>
    </row>
    <row r="1230" spans="1:23">
      <c r="A1230" t="s">
        <v>3167</v>
      </c>
      <c r="B1230" s="8">
        <v>45785</v>
      </c>
      <c r="C1230" t="s">
        <v>39</v>
      </c>
      <c r="D1230" t="s">
        <v>1549</v>
      </c>
      <c r="E1230" t="s">
        <v>1906</v>
      </c>
      <c r="F1230">
        <v>1</v>
      </c>
      <c r="G1230" s="10">
        <v>38.880000000000003</v>
      </c>
      <c r="H1230" s="13">
        <v>0.16</v>
      </c>
      <c r="I1230" t="s">
        <v>1936</v>
      </c>
      <c r="J1230" s="16">
        <v>32.659199999999998</v>
      </c>
      <c r="K1230" s="19">
        <f t="shared" si="95"/>
        <v>831261.79760000028</v>
      </c>
      <c r="L1230" s="22">
        <f t="shared" si="96"/>
        <v>1076.7639865284978</v>
      </c>
      <c r="M1230" s="22">
        <f t="shared" si="97"/>
        <v>256</v>
      </c>
      <c r="N1230" s="22" t="str">
        <f t="shared" si="98"/>
        <v>Low Value</v>
      </c>
      <c r="O1230" s="22" t="str">
        <f t="shared" si="99"/>
        <v>May-2025</v>
      </c>
      <c r="P1230" s="22" t="s">
        <v>1550</v>
      </c>
      <c r="Q1230" s="22" t="s">
        <v>1536</v>
      </c>
      <c r="R1230" s="22" t="s">
        <v>40</v>
      </c>
      <c r="S1230" s="22"/>
      <c r="T1230" s="22"/>
      <c r="V1230" s="26" t="s">
        <v>1931</v>
      </c>
      <c r="W1230" s="6">
        <v>5</v>
      </c>
    </row>
    <row r="1231" spans="1:23">
      <c r="A1231" t="s">
        <v>3168</v>
      </c>
      <c r="B1231" s="8">
        <v>45823</v>
      </c>
      <c r="C1231" t="s">
        <v>281</v>
      </c>
      <c r="D1231" t="s">
        <v>1970</v>
      </c>
      <c r="E1231" t="s">
        <v>1914</v>
      </c>
      <c r="F1231">
        <v>3</v>
      </c>
      <c r="G1231" s="10">
        <v>484.39</v>
      </c>
      <c r="H1231" s="13">
        <v>0.28999999999999998</v>
      </c>
      <c r="I1231" t="s">
        <v>1936</v>
      </c>
      <c r="J1231" s="16">
        <v>1031.7507000000001</v>
      </c>
      <c r="K1231" s="19">
        <f t="shared" si="95"/>
        <v>831229.1384000004</v>
      </c>
      <c r="L1231" s="22">
        <f t="shared" si="96"/>
        <v>1078.1182080415051</v>
      </c>
      <c r="M1231" s="22">
        <f t="shared" si="97"/>
        <v>256</v>
      </c>
      <c r="N1231" s="22" t="str">
        <f t="shared" si="98"/>
        <v>High Value</v>
      </c>
      <c r="O1231" s="22" t="str">
        <f t="shared" si="99"/>
        <v>Jun-2025</v>
      </c>
      <c r="P1231" s="22" t="s">
        <v>1594</v>
      </c>
      <c r="Q1231" s="22" t="s">
        <v>1555</v>
      </c>
      <c r="R1231" s="22" t="s">
        <v>282</v>
      </c>
      <c r="S1231" s="22"/>
      <c r="T1231" s="22"/>
      <c r="V1231" s="25" t="s">
        <v>1414</v>
      </c>
      <c r="W1231" s="6">
        <v>14</v>
      </c>
    </row>
    <row r="1232" spans="1:23">
      <c r="A1232" t="s">
        <v>3169</v>
      </c>
      <c r="B1232" s="8">
        <v>45572</v>
      </c>
      <c r="C1232" t="s">
        <v>82</v>
      </c>
      <c r="D1232" t="s">
        <v>1795</v>
      </c>
      <c r="E1232" t="s">
        <v>1908</v>
      </c>
      <c r="F1232">
        <v>2</v>
      </c>
      <c r="G1232" s="10">
        <v>949.3</v>
      </c>
      <c r="H1232" s="13">
        <v>0.08</v>
      </c>
      <c r="I1232" t="s">
        <v>1936</v>
      </c>
      <c r="J1232" s="16">
        <v>1746.712</v>
      </c>
      <c r="K1232" s="19">
        <f t="shared" si="95"/>
        <v>830197.38770000043</v>
      </c>
      <c r="L1232" s="22">
        <f t="shared" si="96"/>
        <v>1078.1784255844161</v>
      </c>
      <c r="M1232" s="22">
        <f t="shared" si="97"/>
        <v>256</v>
      </c>
      <c r="N1232" s="22" t="str">
        <f t="shared" si="98"/>
        <v>High Value</v>
      </c>
      <c r="O1232" s="22" t="str">
        <f t="shared" si="99"/>
        <v>Oct-2024</v>
      </c>
      <c r="P1232" s="22" t="s">
        <v>1796</v>
      </c>
      <c r="Q1232" s="22" t="s">
        <v>1560</v>
      </c>
      <c r="R1232" s="22" t="s">
        <v>83</v>
      </c>
      <c r="S1232" s="22"/>
      <c r="T1232" s="22"/>
      <c r="V1232" s="26" t="s">
        <v>1936</v>
      </c>
      <c r="W1232" s="6">
        <v>4</v>
      </c>
    </row>
    <row r="1233" spans="1:23">
      <c r="A1233" t="s">
        <v>3170</v>
      </c>
      <c r="B1233" s="8">
        <v>45259</v>
      </c>
      <c r="C1233" t="s">
        <v>1334</v>
      </c>
      <c r="D1233" t="s">
        <v>1768</v>
      </c>
      <c r="E1233" t="s">
        <v>1883</v>
      </c>
      <c r="F1233">
        <v>3</v>
      </c>
      <c r="G1233" s="10">
        <v>664.75</v>
      </c>
      <c r="H1233" s="13">
        <v>0.12</v>
      </c>
      <c r="I1233" t="s">
        <v>1931</v>
      </c>
      <c r="J1233" s="16">
        <v>1754.94</v>
      </c>
      <c r="K1233" s="19">
        <f t="shared" si="95"/>
        <v>828450.67570000037</v>
      </c>
      <c r="L1233" s="22">
        <f t="shared" si="96"/>
        <v>1077.3090711313398</v>
      </c>
      <c r="M1233" s="22">
        <f t="shared" si="97"/>
        <v>256</v>
      </c>
      <c r="N1233" s="22" t="str">
        <f t="shared" si="98"/>
        <v>High Value</v>
      </c>
      <c r="O1233" s="22" t="str">
        <f t="shared" si="99"/>
        <v>Nov-2023</v>
      </c>
      <c r="P1233" s="22" t="s">
        <v>1769</v>
      </c>
      <c r="Q1233" s="22" t="s">
        <v>1555</v>
      </c>
      <c r="R1233" s="22" t="s">
        <v>1335</v>
      </c>
      <c r="S1233" s="22"/>
      <c r="T1233" s="22"/>
      <c r="V1233" s="26" t="s">
        <v>1931</v>
      </c>
      <c r="W1233" s="6">
        <v>7</v>
      </c>
    </row>
    <row r="1234" spans="1:23">
      <c r="A1234" t="s">
        <v>3171</v>
      </c>
      <c r="B1234" s="8">
        <v>45740</v>
      </c>
      <c r="C1234" t="s">
        <v>895</v>
      </c>
      <c r="D1234" t="s">
        <v>1765</v>
      </c>
      <c r="E1234" t="s">
        <v>1914</v>
      </c>
      <c r="F1234">
        <v>3</v>
      </c>
      <c r="G1234" s="10">
        <v>190.04</v>
      </c>
      <c r="H1234" s="13">
        <v>7.0000000000000007E-2</v>
      </c>
      <c r="I1234" t="s">
        <v>1933</v>
      </c>
      <c r="J1234" s="16">
        <v>530.21159999999998</v>
      </c>
      <c r="K1234" s="19">
        <f t="shared" si="95"/>
        <v>826695.73570000043</v>
      </c>
      <c r="L1234" s="22">
        <f t="shared" si="96"/>
        <v>1076.426739192709</v>
      </c>
      <c r="M1234" s="22">
        <f t="shared" si="97"/>
        <v>256</v>
      </c>
      <c r="N1234" s="22" t="str">
        <f t="shared" si="98"/>
        <v>Low Value</v>
      </c>
      <c r="O1234" s="22" t="str">
        <f t="shared" si="99"/>
        <v>Mar-2025</v>
      </c>
      <c r="P1234" s="22" t="s">
        <v>1766</v>
      </c>
      <c r="Q1234" s="22" t="s">
        <v>1560</v>
      </c>
      <c r="R1234" s="22" t="s">
        <v>896</v>
      </c>
      <c r="S1234" s="22"/>
      <c r="T1234" s="22"/>
      <c r="V1234" s="26" t="s">
        <v>1933</v>
      </c>
      <c r="W1234" s="6">
        <v>3</v>
      </c>
    </row>
    <row r="1235" spans="1:23">
      <c r="A1235" t="s">
        <v>3172</v>
      </c>
      <c r="B1235" s="8">
        <v>45869</v>
      </c>
      <c r="C1235" t="s">
        <v>880</v>
      </c>
      <c r="D1235" t="s">
        <v>1558</v>
      </c>
      <c r="E1235" t="s">
        <v>1908</v>
      </c>
      <c r="F1235">
        <v>3</v>
      </c>
      <c r="G1235" s="10">
        <v>754.02</v>
      </c>
      <c r="H1235" s="13">
        <v>0.1</v>
      </c>
      <c r="I1235" t="s">
        <v>1936</v>
      </c>
      <c r="J1235" s="16">
        <v>2035.854</v>
      </c>
      <c r="K1235" s="19">
        <f t="shared" si="95"/>
        <v>826165.52410000039</v>
      </c>
      <c r="L1235" s="22">
        <f t="shared" si="96"/>
        <v>1077.1388840938728</v>
      </c>
      <c r="M1235" s="22">
        <f t="shared" si="97"/>
        <v>255</v>
      </c>
      <c r="N1235" s="22" t="str">
        <f t="shared" si="98"/>
        <v>High Value</v>
      </c>
      <c r="O1235" s="22" t="str">
        <f t="shared" si="99"/>
        <v>Jul-2025</v>
      </c>
      <c r="P1235" s="22" t="s">
        <v>1559</v>
      </c>
      <c r="Q1235" s="22" t="s">
        <v>1560</v>
      </c>
      <c r="R1235" s="22" t="s">
        <v>881</v>
      </c>
      <c r="S1235" s="22"/>
      <c r="T1235" s="22"/>
      <c r="V1235" s="25" t="s">
        <v>3942</v>
      </c>
      <c r="W1235" s="6">
        <v>14</v>
      </c>
    </row>
    <row r="1236" spans="1:23">
      <c r="A1236" t="s">
        <v>3173</v>
      </c>
      <c r="B1236" s="8">
        <v>45526</v>
      </c>
      <c r="C1236" t="s">
        <v>1193</v>
      </c>
      <c r="D1236" t="s">
        <v>1652</v>
      </c>
      <c r="E1236" t="s">
        <v>1901</v>
      </c>
      <c r="F1236">
        <v>4</v>
      </c>
      <c r="G1236" s="10">
        <v>94.13</v>
      </c>
      <c r="H1236" s="13">
        <v>0.04</v>
      </c>
      <c r="I1236" t="s">
        <v>1936</v>
      </c>
      <c r="J1236" s="16">
        <v>361.45920000000001</v>
      </c>
      <c r="K1236" s="19">
        <f t="shared" si="95"/>
        <v>824129.67010000034</v>
      </c>
      <c r="L1236" s="22">
        <f t="shared" si="96"/>
        <v>1075.8872977806793</v>
      </c>
      <c r="M1236" s="22">
        <f t="shared" si="97"/>
        <v>255</v>
      </c>
      <c r="N1236" s="22" t="str">
        <f t="shared" si="98"/>
        <v>Low Value</v>
      </c>
      <c r="O1236" s="22" t="str">
        <f t="shared" si="99"/>
        <v>Aug-2024</v>
      </c>
      <c r="P1236" s="22" t="s">
        <v>1653</v>
      </c>
      <c r="Q1236" s="22" t="s">
        <v>1531</v>
      </c>
      <c r="R1236" s="22" t="s">
        <v>1194</v>
      </c>
      <c r="S1236" s="22"/>
      <c r="T1236" s="22"/>
      <c r="V1236" s="26" t="s">
        <v>1936</v>
      </c>
      <c r="W1236" s="6">
        <v>5</v>
      </c>
    </row>
    <row r="1237" spans="1:23">
      <c r="A1237" t="s">
        <v>3174</v>
      </c>
      <c r="B1237" s="8">
        <v>45489</v>
      </c>
      <c r="C1237" t="s">
        <v>1433</v>
      </c>
      <c r="D1237" t="s">
        <v>1534</v>
      </c>
      <c r="E1237" t="s">
        <v>1908</v>
      </c>
      <c r="F1237">
        <v>3</v>
      </c>
      <c r="G1237" s="10">
        <v>402.3</v>
      </c>
      <c r="H1237" s="13">
        <v>0.21</v>
      </c>
      <c r="I1237" t="s">
        <v>1933</v>
      </c>
      <c r="J1237" s="16">
        <v>953.45100000000014</v>
      </c>
      <c r="K1237" s="19">
        <f t="shared" si="95"/>
        <v>823768.21090000041</v>
      </c>
      <c r="L1237" s="22">
        <f t="shared" si="96"/>
        <v>1076.8211907189548</v>
      </c>
      <c r="M1237" s="22">
        <f t="shared" si="97"/>
        <v>255</v>
      </c>
      <c r="N1237" s="22" t="str">
        <f t="shared" si="98"/>
        <v>Low Value</v>
      </c>
      <c r="O1237" s="22" t="str">
        <f t="shared" si="99"/>
        <v>Jul-2024</v>
      </c>
      <c r="P1237" s="22" t="s">
        <v>1535</v>
      </c>
      <c r="Q1237" s="22" t="s">
        <v>1536</v>
      </c>
      <c r="R1237" s="22" t="s">
        <v>1434</v>
      </c>
      <c r="S1237" s="22"/>
      <c r="T1237" s="22"/>
      <c r="V1237" s="26" t="s">
        <v>1931</v>
      </c>
      <c r="W1237" s="6">
        <v>3</v>
      </c>
    </row>
    <row r="1238" spans="1:23">
      <c r="A1238" t="s">
        <v>3175</v>
      </c>
      <c r="B1238" s="8">
        <v>45908</v>
      </c>
      <c r="C1238" t="s">
        <v>768</v>
      </c>
      <c r="D1238" t="s">
        <v>1813</v>
      </c>
      <c r="E1238" t="s">
        <v>1886</v>
      </c>
      <c r="F1238">
        <v>1</v>
      </c>
      <c r="G1238" s="10">
        <v>729.05</v>
      </c>
      <c r="H1238" s="13">
        <v>0.06</v>
      </c>
      <c r="I1238" t="s">
        <v>1936</v>
      </c>
      <c r="J1238" s="16">
        <v>685.3069999999999</v>
      </c>
      <c r="K1238" s="19">
        <f t="shared" si="95"/>
        <v>822814.75990000053</v>
      </c>
      <c r="L1238" s="22">
        <f t="shared" si="96"/>
        <v>1076.9826700261788</v>
      </c>
      <c r="M1238" s="22">
        <f t="shared" si="97"/>
        <v>254</v>
      </c>
      <c r="N1238" s="22" t="str">
        <f t="shared" si="98"/>
        <v>Low Value</v>
      </c>
      <c r="O1238" s="22" t="str">
        <f t="shared" si="99"/>
        <v>Sep-2025</v>
      </c>
      <c r="P1238" s="22" t="s">
        <v>1814</v>
      </c>
      <c r="Q1238" s="22" t="s">
        <v>1560</v>
      </c>
      <c r="R1238" s="22" t="s">
        <v>769</v>
      </c>
      <c r="S1238" s="22"/>
      <c r="T1238" s="22"/>
      <c r="V1238" s="26" t="s">
        <v>1933</v>
      </c>
      <c r="W1238" s="6">
        <v>6</v>
      </c>
    </row>
    <row r="1239" spans="1:23">
      <c r="A1239" t="s">
        <v>3176</v>
      </c>
      <c r="B1239" s="8">
        <v>45912</v>
      </c>
      <c r="C1239" t="s">
        <v>456</v>
      </c>
      <c r="D1239" t="s">
        <v>1825</v>
      </c>
      <c r="E1239" t="s">
        <v>1904</v>
      </c>
      <c r="F1239">
        <v>1</v>
      </c>
      <c r="G1239" s="10">
        <v>822.6</v>
      </c>
      <c r="H1239" s="13">
        <v>0.28999999999999998</v>
      </c>
      <c r="I1239" t="s">
        <v>1933</v>
      </c>
      <c r="J1239" s="16">
        <v>584.04599999999994</v>
      </c>
      <c r="K1239" s="19">
        <f t="shared" si="95"/>
        <v>822129.4529000005</v>
      </c>
      <c r="L1239" s="22">
        <f t="shared" si="96"/>
        <v>1077.496006422019</v>
      </c>
      <c r="M1239" s="22">
        <f t="shared" si="97"/>
        <v>254</v>
      </c>
      <c r="N1239" s="22" t="str">
        <f t="shared" si="98"/>
        <v>Low Value</v>
      </c>
      <c r="O1239" s="22" t="str">
        <f t="shared" si="99"/>
        <v>Sep-2025</v>
      </c>
      <c r="P1239" s="22" t="s">
        <v>1826</v>
      </c>
      <c r="Q1239" s="22" t="s">
        <v>1531</v>
      </c>
      <c r="R1239" s="22" t="s">
        <v>457</v>
      </c>
      <c r="S1239" s="22"/>
      <c r="T1239" s="22"/>
      <c r="V1239" s="25" t="s">
        <v>525</v>
      </c>
      <c r="W1239" s="6">
        <v>3</v>
      </c>
    </row>
    <row r="1240" spans="1:23">
      <c r="A1240" t="s">
        <v>3177</v>
      </c>
      <c r="B1240" s="8">
        <v>45771</v>
      </c>
      <c r="C1240" t="s">
        <v>632</v>
      </c>
      <c r="D1240" t="s">
        <v>1804</v>
      </c>
      <c r="E1240" t="s">
        <v>1889</v>
      </c>
      <c r="F1240">
        <v>2</v>
      </c>
      <c r="G1240" s="10">
        <v>327.25</v>
      </c>
      <c r="H1240" s="13">
        <v>0.19</v>
      </c>
      <c r="I1240" t="s">
        <v>1933</v>
      </c>
      <c r="J1240" s="16">
        <v>530.14499999999998</v>
      </c>
      <c r="K1240" s="19">
        <f t="shared" si="95"/>
        <v>821545.40690000041</v>
      </c>
      <c r="L1240" s="22">
        <f t="shared" si="96"/>
        <v>1078.1435786089244</v>
      </c>
      <c r="M1240" s="22">
        <f t="shared" si="97"/>
        <v>253</v>
      </c>
      <c r="N1240" s="22" t="str">
        <f t="shared" si="98"/>
        <v>Low Value</v>
      </c>
      <c r="O1240" s="22" t="str">
        <f t="shared" si="99"/>
        <v>Apr-2025</v>
      </c>
      <c r="P1240" s="22" t="s">
        <v>1805</v>
      </c>
      <c r="Q1240" s="22" t="s">
        <v>1555</v>
      </c>
      <c r="R1240" s="22" t="s">
        <v>633</v>
      </c>
      <c r="S1240" s="22"/>
      <c r="T1240" s="22"/>
      <c r="V1240" s="26" t="s">
        <v>1933</v>
      </c>
      <c r="W1240" s="6">
        <v>3</v>
      </c>
    </row>
    <row r="1241" spans="1:23">
      <c r="A1241" t="s">
        <v>3178</v>
      </c>
      <c r="B1241" s="8">
        <v>45619</v>
      </c>
      <c r="C1241" t="s">
        <v>301</v>
      </c>
      <c r="D1241" t="s">
        <v>1765</v>
      </c>
      <c r="E1241" t="s">
        <v>1893</v>
      </c>
      <c r="F1241">
        <v>4</v>
      </c>
      <c r="G1241" s="10">
        <v>930.38</v>
      </c>
      <c r="H1241" s="13">
        <v>0</v>
      </c>
      <c r="I1241" t="s">
        <v>1936</v>
      </c>
      <c r="J1241" s="16">
        <v>3721.52</v>
      </c>
      <c r="K1241" s="19">
        <f t="shared" si="95"/>
        <v>821015.26190000039</v>
      </c>
      <c r="L1241" s="22">
        <f t="shared" si="96"/>
        <v>1078.8636818659663</v>
      </c>
      <c r="M1241" s="22">
        <f t="shared" si="97"/>
        <v>252</v>
      </c>
      <c r="N1241" s="22" t="str">
        <f t="shared" si="98"/>
        <v>High Value</v>
      </c>
      <c r="O1241" s="22" t="str">
        <f t="shared" si="99"/>
        <v>Nov-2024</v>
      </c>
      <c r="P1241" s="22" t="s">
        <v>1766</v>
      </c>
      <c r="Q1241" s="22" t="s">
        <v>1560</v>
      </c>
      <c r="R1241" s="22" t="s">
        <v>302</v>
      </c>
      <c r="S1241" s="22"/>
      <c r="T1241" s="22"/>
      <c r="V1241" s="25" t="s">
        <v>1446</v>
      </c>
      <c r="W1241" s="6">
        <v>9</v>
      </c>
    </row>
    <row r="1242" spans="1:23">
      <c r="A1242" t="s">
        <v>3179</v>
      </c>
      <c r="B1242" s="8">
        <v>45394</v>
      </c>
      <c r="C1242" t="s">
        <v>485</v>
      </c>
      <c r="D1242" t="s">
        <v>1630</v>
      </c>
      <c r="E1242" t="s">
        <v>1880</v>
      </c>
      <c r="F1242">
        <v>2</v>
      </c>
      <c r="G1242" s="10">
        <v>437.84</v>
      </c>
      <c r="H1242" s="13">
        <v>0.24</v>
      </c>
      <c r="I1242" t="s">
        <v>1931</v>
      </c>
      <c r="J1242" s="16">
        <v>665.51679999999999</v>
      </c>
      <c r="K1242" s="19">
        <f t="shared" si="95"/>
        <v>817293.74190000037</v>
      </c>
      <c r="L1242" s="22">
        <f t="shared" si="96"/>
        <v>1075.3865025000005</v>
      </c>
      <c r="M1242" s="22">
        <f t="shared" si="97"/>
        <v>252</v>
      </c>
      <c r="N1242" s="22" t="str">
        <f t="shared" si="98"/>
        <v>Low Value</v>
      </c>
      <c r="O1242" s="22" t="str">
        <f t="shared" si="99"/>
        <v>Apr-2024</v>
      </c>
      <c r="P1242" s="22" t="s">
        <v>1631</v>
      </c>
      <c r="Q1242" s="22" t="s">
        <v>1560</v>
      </c>
      <c r="R1242" s="22" t="s">
        <v>486</v>
      </c>
      <c r="S1242" s="22"/>
      <c r="T1242" s="22"/>
      <c r="V1242" s="26" t="s">
        <v>1936</v>
      </c>
      <c r="W1242" s="6">
        <v>1</v>
      </c>
    </row>
    <row r="1243" spans="1:23">
      <c r="A1243" t="s">
        <v>3180</v>
      </c>
      <c r="B1243" s="8">
        <v>45786</v>
      </c>
      <c r="C1243" t="s">
        <v>255</v>
      </c>
      <c r="D1243" t="s">
        <v>1970</v>
      </c>
      <c r="E1243" t="s">
        <v>1911</v>
      </c>
      <c r="F1243">
        <v>2</v>
      </c>
      <c r="G1243" s="10">
        <v>126.02</v>
      </c>
      <c r="H1243" s="13">
        <v>0.09</v>
      </c>
      <c r="I1243" t="s">
        <v>1936</v>
      </c>
      <c r="J1243" s="16">
        <v>229.35640000000001</v>
      </c>
      <c r="K1243" s="19">
        <f t="shared" si="95"/>
        <v>816628.22510000027</v>
      </c>
      <c r="L1243" s="22">
        <f t="shared" si="96"/>
        <v>1075.9265152832679</v>
      </c>
      <c r="M1243" s="22">
        <f t="shared" si="97"/>
        <v>252</v>
      </c>
      <c r="N1243" s="22" t="str">
        <f t="shared" si="98"/>
        <v>Low Value</v>
      </c>
      <c r="O1243" s="22" t="str">
        <f t="shared" si="99"/>
        <v>May-2025</v>
      </c>
      <c r="P1243" s="22" t="s">
        <v>1594</v>
      </c>
      <c r="Q1243" s="22" t="s">
        <v>1555</v>
      </c>
      <c r="R1243" s="22" t="s">
        <v>256</v>
      </c>
      <c r="S1243" s="22"/>
      <c r="T1243" s="22"/>
      <c r="V1243" s="26" t="s">
        <v>1931</v>
      </c>
      <c r="W1243" s="6">
        <v>6</v>
      </c>
    </row>
    <row r="1244" spans="1:23">
      <c r="A1244" t="s">
        <v>3181</v>
      </c>
      <c r="B1244" s="8">
        <v>45692</v>
      </c>
      <c r="C1244" t="s">
        <v>1346</v>
      </c>
      <c r="D1244" t="s">
        <v>1804</v>
      </c>
      <c r="E1244" t="s">
        <v>1908</v>
      </c>
      <c r="F1244">
        <v>1</v>
      </c>
      <c r="G1244" s="10">
        <v>860.84</v>
      </c>
      <c r="H1244" s="13">
        <v>7.0000000000000007E-2</v>
      </c>
      <c r="I1244" t="s">
        <v>1933</v>
      </c>
      <c r="J1244" s="16">
        <v>800.58119999999997</v>
      </c>
      <c r="K1244" s="19">
        <f t="shared" si="95"/>
        <v>816398.86870000034</v>
      </c>
      <c r="L1244" s="22">
        <f t="shared" si="96"/>
        <v>1077.0433624010559</v>
      </c>
      <c r="M1244" s="22">
        <f t="shared" si="97"/>
        <v>252</v>
      </c>
      <c r="N1244" s="22" t="str">
        <f t="shared" si="98"/>
        <v>Low Value</v>
      </c>
      <c r="O1244" s="22" t="str">
        <f t="shared" si="99"/>
        <v>Feb-2025</v>
      </c>
      <c r="P1244" s="22" t="s">
        <v>1805</v>
      </c>
      <c r="Q1244" s="22" t="s">
        <v>1555</v>
      </c>
      <c r="R1244" s="22" t="s">
        <v>1347</v>
      </c>
      <c r="S1244" s="22"/>
      <c r="T1244" s="22"/>
      <c r="V1244" s="26" t="s">
        <v>1933</v>
      </c>
      <c r="W1244" s="6">
        <v>2</v>
      </c>
    </row>
    <row r="1245" spans="1:23">
      <c r="A1245" t="s">
        <v>3182</v>
      </c>
      <c r="B1245" s="8">
        <v>45677</v>
      </c>
      <c r="C1245" t="s">
        <v>330</v>
      </c>
      <c r="D1245" t="s">
        <v>1697</v>
      </c>
      <c r="E1245" t="s">
        <v>1904</v>
      </c>
      <c r="F1245">
        <v>1</v>
      </c>
      <c r="G1245" s="10">
        <v>161.80000000000001</v>
      </c>
      <c r="H1245" s="13">
        <v>0.24</v>
      </c>
      <c r="I1245" t="s">
        <v>1933</v>
      </c>
      <c r="J1245" s="16">
        <v>122.968</v>
      </c>
      <c r="K1245" s="19">
        <f t="shared" si="95"/>
        <v>815598.28750000021</v>
      </c>
      <c r="L1245" s="22">
        <f t="shared" si="96"/>
        <v>1077.4085700132102</v>
      </c>
      <c r="M1245" s="22">
        <f t="shared" si="97"/>
        <v>251</v>
      </c>
      <c r="N1245" s="22" t="str">
        <f t="shared" si="98"/>
        <v>Low Value</v>
      </c>
      <c r="O1245" s="22" t="str">
        <f t="shared" si="99"/>
        <v>Jan-2025</v>
      </c>
      <c r="P1245" s="22" t="s">
        <v>1698</v>
      </c>
      <c r="Q1245" s="22" t="s">
        <v>1531</v>
      </c>
      <c r="R1245" s="22" t="s">
        <v>331</v>
      </c>
      <c r="S1245" s="22"/>
      <c r="T1245" s="22"/>
      <c r="V1245" s="25" t="s">
        <v>1520</v>
      </c>
      <c r="W1245" s="6">
        <v>11</v>
      </c>
    </row>
    <row r="1246" spans="1:23">
      <c r="A1246" t="s">
        <v>3183</v>
      </c>
      <c r="B1246" s="8">
        <v>45669</v>
      </c>
      <c r="C1246" t="s">
        <v>1196</v>
      </c>
      <c r="D1246" t="s">
        <v>1665</v>
      </c>
      <c r="E1246" t="s">
        <v>1914</v>
      </c>
      <c r="F1246">
        <v>4</v>
      </c>
      <c r="G1246" s="10">
        <v>347.82</v>
      </c>
      <c r="H1246" s="13">
        <v>0.02</v>
      </c>
      <c r="I1246" t="s">
        <v>1936</v>
      </c>
      <c r="J1246" s="16">
        <v>1363.4544000000001</v>
      </c>
      <c r="K1246" s="19">
        <f t="shared" si="95"/>
        <v>815475.31950000033</v>
      </c>
      <c r="L1246" s="22">
        <f t="shared" si="96"/>
        <v>1078.671057539683</v>
      </c>
      <c r="M1246" s="22">
        <f t="shared" si="97"/>
        <v>250</v>
      </c>
      <c r="N1246" s="22" t="str">
        <f t="shared" si="98"/>
        <v>High Value</v>
      </c>
      <c r="O1246" s="22" t="str">
        <f t="shared" si="99"/>
        <v>Jan-2025</v>
      </c>
      <c r="P1246" s="22" t="s">
        <v>1666</v>
      </c>
      <c r="Q1246" s="22" t="s">
        <v>1569</v>
      </c>
      <c r="R1246" s="22" t="s">
        <v>1197</v>
      </c>
      <c r="S1246" s="22"/>
      <c r="T1246" s="22"/>
      <c r="V1246" s="26" t="s">
        <v>1931</v>
      </c>
      <c r="W1246" s="6">
        <v>7</v>
      </c>
    </row>
    <row r="1247" spans="1:23">
      <c r="A1247" t="s">
        <v>3184</v>
      </c>
      <c r="B1247" s="8">
        <v>45299</v>
      </c>
      <c r="C1247" t="s">
        <v>1391</v>
      </c>
      <c r="D1247" t="s">
        <v>1810</v>
      </c>
      <c r="E1247" t="s">
        <v>1911</v>
      </c>
      <c r="F1247">
        <v>3</v>
      </c>
      <c r="G1247" s="10">
        <v>416.44</v>
      </c>
      <c r="H1247" s="13">
        <v>0.27</v>
      </c>
      <c r="I1247" t="s">
        <v>1931</v>
      </c>
      <c r="J1247" s="16">
        <v>912.00359999999989</v>
      </c>
      <c r="K1247" s="19">
        <f t="shared" si="95"/>
        <v>814111.86510000017</v>
      </c>
      <c r="L1247" s="22">
        <f t="shared" si="96"/>
        <v>1078.2938610596029</v>
      </c>
      <c r="M1247" s="22">
        <f t="shared" si="97"/>
        <v>250</v>
      </c>
      <c r="N1247" s="22" t="str">
        <f t="shared" si="98"/>
        <v>Low Value</v>
      </c>
      <c r="O1247" s="22" t="str">
        <f t="shared" si="99"/>
        <v>Jan-2024</v>
      </c>
      <c r="P1247" s="22" t="s">
        <v>1811</v>
      </c>
      <c r="Q1247" s="22" t="s">
        <v>1536</v>
      </c>
      <c r="R1247" s="22" t="s">
        <v>1392</v>
      </c>
      <c r="S1247" s="22"/>
      <c r="T1247" s="22"/>
      <c r="V1247" s="26" t="s">
        <v>1933</v>
      </c>
      <c r="W1247" s="6">
        <v>4</v>
      </c>
    </row>
    <row r="1248" spans="1:23">
      <c r="A1248" t="s">
        <v>3185</v>
      </c>
      <c r="B1248" s="8">
        <v>45893</v>
      </c>
      <c r="C1248" t="s">
        <v>31</v>
      </c>
      <c r="D1248" t="s">
        <v>1740</v>
      </c>
      <c r="E1248" t="s">
        <v>1859</v>
      </c>
      <c r="F1248">
        <v>1</v>
      </c>
      <c r="G1248" s="10">
        <v>147.96</v>
      </c>
      <c r="H1248" s="13">
        <v>0.24</v>
      </c>
      <c r="I1248" t="s">
        <v>1936</v>
      </c>
      <c r="J1248" s="16">
        <v>112.4496</v>
      </c>
      <c r="K1248" s="19">
        <f t="shared" si="95"/>
        <v>813199.86150000023</v>
      </c>
      <c r="L1248" s="22">
        <f t="shared" si="96"/>
        <v>1078.5144051724142</v>
      </c>
      <c r="M1248" s="22">
        <f t="shared" si="97"/>
        <v>250</v>
      </c>
      <c r="N1248" s="22" t="str">
        <f t="shared" si="98"/>
        <v>Low Value</v>
      </c>
      <c r="O1248" s="22" t="str">
        <f t="shared" si="99"/>
        <v>Aug-2025</v>
      </c>
      <c r="P1248" s="22" t="s">
        <v>1741</v>
      </c>
      <c r="Q1248" s="22" t="s">
        <v>1531</v>
      </c>
      <c r="R1248" s="22" t="s">
        <v>32</v>
      </c>
      <c r="S1248" s="22"/>
      <c r="T1248" s="22"/>
      <c r="V1248" s="25" t="s">
        <v>141</v>
      </c>
      <c r="W1248" s="6">
        <v>11</v>
      </c>
    </row>
    <row r="1249" spans="1:23">
      <c r="A1249" t="s">
        <v>3186</v>
      </c>
      <c r="B1249" s="8">
        <v>45560</v>
      </c>
      <c r="C1249" t="s">
        <v>1368</v>
      </c>
      <c r="D1249" t="s">
        <v>1600</v>
      </c>
      <c r="E1249" t="s">
        <v>1889</v>
      </c>
      <c r="F1249">
        <v>3</v>
      </c>
      <c r="G1249" s="10">
        <v>550.26</v>
      </c>
      <c r="H1249" s="13">
        <v>0.22</v>
      </c>
      <c r="I1249" t="s">
        <v>1931</v>
      </c>
      <c r="J1249" s="16">
        <v>1287.6084000000001</v>
      </c>
      <c r="K1249" s="19">
        <f t="shared" si="95"/>
        <v>813087.4119000003</v>
      </c>
      <c r="L1249" s="22">
        <f t="shared" si="96"/>
        <v>1079.7973597609566</v>
      </c>
      <c r="M1249" s="22">
        <f t="shared" si="97"/>
        <v>250</v>
      </c>
      <c r="N1249" s="22" t="str">
        <f t="shared" si="98"/>
        <v>High Value</v>
      </c>
      <c r="O1249" s="22" t="str">
        <f t="shared" si="99"/>
        <v>Sep-2024</v>
      </c>
      <c r="P1249" s="22" t="s">
        <v>1601</v>
      </c>
      <c r="Q1249" s="22" t="s">
        <v>1536</v>
      </c>
      <c r="R1249" s="22" t="s">
        <v>1369</v>
      </c>
      <c r="S1249" s="22"/>
      <c r="T1249" s="22"/>
      <c r="V1249" s="26" t="s">
        <v>1936</v>
      </c>
      <c r="W1249" s="6">
        <v>3</v>
      </c>
    </row>
    <row r="1250" spans="1:23">
      <c r="A1250" t="s">
        <v>3187</v>
      </c>
      <c r="B1250" s="8">
        <v>45267</v>
      </c>
      <c r="C1250" t="s">
        <v>1154</v>
      </c>
      <c r="D1250" t="s">
        <v>1846</v>
      </c>
      <c r="E1250" t="s">
        <v>1886</v>
      </c>
      <c r="F1250">
        <v>4</v>
      </c>
      <c r="G1250" s="10">
        <v>938.21</v>
      </c>
      <c r="H1250" s="13">
        <v>0.04</v>
      </c>
      <c r="I1250" t="s">
        <v>1933</v>
      </c>
      <c r="J1250" s="16">
        <v>3602.7264</v>
      </c>
      <c r="K1250" s="19">
        <f t="shared" si="95"/>
        <v>811799.80350000027</v>
      </c>
      <c r="L1250" s="22">
        <f t="shared" si="96"/>
        <v>1079.5210152925536</v>
      </c>
      <c r="M1250" s="22">
        <f t="shared" si="97"/>
        <v>250</v>
      </c>
      <c r="N1250" s="22" t="str">
        <f t="shared" si="98"/>
        <v>High Value</v>
      </c>
      <c r="O1250" s="22" t="str">
        <f t="shared" si="99"/>
        <v>Dec-2023</v>
      </c>
      <c r="P1250" s="22" t="s">
        <v>1847</v>
      </c>
      <c r="Q1250" s="22" t="s">
        <v>1569</v>
      </c>
      <c r="R1250" s="22" t="s">
        <v>1155</v>
      </c>
      <c r="S1250" s="22"/>
      <c r="T1250" s="22"/>
      <c r="V1250" s="26" t="s">
        <v>1931</v>
      </c>
      <c r="W1250" s="6">
        <v>8</v>
      </c>
    </row>
    <row r="1251" spans="1:23">
      <c r="A1251" t="s">
        <v>3188</v>
      </c>
      <c r="B1251" s="8">
        <v>45467</v>
      </c>
      <c r="C1251" t="s">
        <v>456</v>
      </c>
      <c r="D1251" t="s">
        <v>1837</v>
      </c>
      <c r="E1251" t="s">
        <v>1911</v>
      </c>
      <c r="F1251">
        <v>3</v>
      </c>
      <c r="G1251" s="10">
        <v>517.98</v>
      </c>
      <c r="H1251" s="13">
        <v>0.01</v>
      </c>
      <c r="I1251" t="s">
        <v>1933</v>
      </c>
      <c r="J1251" s="16">
        <v>1538.4005999999999</v>
      </c>
      <c r="K1251" s="19">
        <f t="shared" si="95"/>
        <v>808197.07710000023</v>
      </c>
      <c r="L1251" s="22">
        <f t="shared" si="96"/>
        <v>1076.1612211717713</v>
      </c>
      <c r="M1251" s="22">
        <f t="shared" si="97"/>
        <v>249</v>
      </c>
      <c r="N1251" s="22" t="str">
        <f t="shared" si="98"/>
        <v>High Value</v>
      </c>
      <c r="O1251" s="22" t="str">
        <f t="shared" si="99"/>
        <v>Jun-2024</v>
      </c>
      <c r="P1251" s="22" t="s">
        <v>1838</v>
      </c>
      <c r="Q1251" s="22" t="s">
        <v>1555</v>
      </c>
      <c r="R1251" s="22" t="s">
        <v>457</v>
      </c>
      <c r="S1251" s="22"/>
      <c r="T1251" s="22"/>
      <c r="V1251" s="25" t="s">
        <v>1305</v>
      </c>
      <c r="W1251" s="6">
        <v>5</v>
      </c>
    </row>
    <row r="1252" spans="1:23">
      <c r="A1252" t="s">
        <v>3189</v>
      </c>
      <c r="B1252" s="8">
        <v>45847</v>
      </c>
      <c r="C1252" t="s">
        <v>143</v>
      </c>
      <c r="D1252" t="s">
        <v>1553</v>
      </c>
      <c r="E1252" t="s">
        <v>1889</v>
      </c>
      <c r="F1252">
        <v>1</v>
      </c>
      <c r="G1252" s="10">
        <v>98.27</v>
      </c>
      <c r="H1252" s="13">
        <v>0.16</v>
      </c>
      <c r="I1252" t="s">
        <v>1933</v>
      </c>
      <c r="J1252" s="16">
        <v>82.54679999999999</v>
      </c>
      <c r="K1252" s="19">
        <f t="shared" si="95"/>
        <v>806658.67650000041</v>
      </c>
      <c r="L1252" s="22">
        <f t="shared" si="96"/>
        <v>1075.5449020000005</v>
      </c>
      <c r="M1252" s="22">
        <f t="shared" si="97"/>
        <v>248</v>
      </c>
      <c r="N1252" s="22" t="str">
        <f t="shared" si="98"/>
        <v>Low Value</v>
      </c>
      <c r="O1252" s="22" t="str">
        <f t="shared" si="99"/>
        <v>Jul-2025</v>
      </c>
      <c r="P1252" s="22" t="s">
        <v>1554</v>
      </c>
      <c r="Q1252" s="22" t="s">
        <v>1555</v>
      </c>
      <c r="R1252" s="22" t="s">
        <v>144</v>
      </c>
      <c r="S1252" s="22"/>
      <c r="T1252" s="22"/>
      <c r="V1252" s="26" t="s">
        <v>1936</v>
      </c>
      <c r="W1252" s="6">
        <v>1</v>
      </c>
    </row>
    <row r="1253" spans="1:23">
      <c r="A1253" t="s">
        <v>3190</v>
      </c>
      <c r="B1253" s="8">
        <v>45480</v>
      </c>
      <c r="C1253" t="s">
        <v>804</v>
      </c>
      <c r="D1253" t="s">
        <v>1697</v>
      </c>
      <c r="E1253" t="s">
        <v>1899</v>
      </c>
      <c r="F1253">
        <v>2</v>
      </c>
      <c r="G1253" s="10">
        <v>875.2</v>
      </c>
      <c r="H1253" s="13">
        <v>0.19</v>
      </c>
      <c r="I1253" t="s">
        <v>1931</v>
      </c>
      <c r="J1253" s="16">
        <v>1417.8240000000001</v>
      </c>
      <c r="K1253" s="19">
        <f t="shared" si="95"/>
        <v>806576.12970000028</v>
      </c>
      <c r="L1253" s="22">
        <f t="shared" si="96"/>
        <v>1076.8706671562086</v>
      </c>
      <c r="M1253" s="22">
        <f t="shared" si="97"/>
        <v>247</v>
      </c>
      <c r="N1253" s="22" t="str">
        <f t="shared" si="98"/>
        <v>High Value</v>
      </c>
      <c r="O1253" s="22" t="str">
        <f t="shared" si="99"/>
        <v>Jul-2024</v>
      </c>
      <c r="P1253" s="22" t="s">
        <v>1698</v>
      </c>
      <c r="Q1253" s="22" t="s">
        <v>1531</v>
      </c>
      <c r="R1253" s="22" t="s">
        <v>805</v>
      </c>
      <c r="S1253" s="22"/>
      <c r="T1253" s="22"/>
      <c r="V1253" s="26" t="s">
        <v>1931</v>
      </c>
      <c r="W1253" s="6">
        <v>4</v>
      </c>
    </row>
    <row r="1254" spans="1:23">
      <c r="A1254" t="s">
        <v>3191</v>
      </c>
      <c r="B1254" s="8">
        <v>45345</v>
      </c>
      <c r="C1254" t="s">
        <v>960</v>
      </c>
      <c r="D1254" t="s">
        <v>1813</v>
      </c>
      <c r="E1254" t="s">
        <v>1859</v>
      </c>
      <c r="F1254">
        <v>1</v>
      </c>
      <c r="G1254" s="10">
        <v>227.35</v>
      </c>
      <c r="H1254" s="13">
        <v>0.06</v>
      </c>
      <c r="I1254" t="s">
        <v>1936</v>
      </c>
      <c r="J1254" s="16">
        <v>213.709</v>
      </c>
      <c r="K1254" s="19">
        <f t="shared" si="95"/>
        <v>805158.30570000026</v>
      </c>
      <c r="L1254" s="22">
        <f t="shared" si="96"/>
        <v>1076.4148471925137</v>
      </c>
      <c r="M1254" s="22">
        <f t="shared" si="97"/>
        <v>247</v>
      </c>
      <c r="N1254" s="22" t="str">
        <f t="shared" si="98"/>
        <v>Low Value</v>
      </c>
      <c r="O1254" s="22" t="str">
        <f t="shared" si="99"/>
        <v>Feb-2024</v>
      </c>
      <c r="P1254" s="22" t="s">
        <v>1814</v>
      </c>
      <c r="Q1254" s="22" t="s">
        <v>1560</v>
      </c>
      <c r="R1254" s="22" t="s">
        <v>961</v>
      </c>
      <c r="S1254" s="22"/>
      <c r="T1254" s="22"/>
      <c r="V1254" s="25" t="s">
        <v>1026</v>
      </c>
      <c r="W1254" s="6">
        <v>18</v>
      </c>
    </row>
    <row r="1255" spans="1:23">
      <c r="A1255" t="s">
        <v>3192</v>
      </c>
      <c r="B1255" s="8">
        <v>45235</v>
      </c>
      <c r="C1255" t="s">
        <v>682</v>
      </c>
      <c r="D1255" t="s">
        <v>1777</v>
      </c>
      <c r="E1255" t="s">
        <v>1864</v>
      </c>
      <c r="F1255">
        <v>1</v>
      </c>
      <c r="G1255" s="10">
        <v>842.46</v>
      </c>
      <c r="H1255" s="13">
        <v>0.05</v>
      </c>
      <c r="I1255" t="s">
        <v>1936</v>
      </c>
      <c r="J1255" s="16">
        <v>800.33699999999999</v>
      </c>
      <c r="K1255" s="19">
        <f t="shared" si="95"/>
        <v>804944.59670000023</v>
      </c>
      <c r="L1255" s="22">
        <f t="shared" si="96"/>
        <v>1077.5697412315933</v>
      </c>
      <c r="M1255" s="22">
        <f t="shared" si="97"/>
        <v>247</v>
      </c>
      <c r="N1255" s="22" t="str">
        <f t="shared" si="98"/>
        <v>Low Value</v>
      </c>
      <c r="O1255" s="22" t="str">
        <f t="shared" si="99"/>
        <v>Nov-2023</v>
      </c>
      <c r="P1255" s="22" t="s">
        <v>1778</v>
      </c>
      <c r="Q1255" s="22" t="s">
        <v>1531</v>
      </c>
      <c r="R1255" s="22" t="s">
        <v>683</v>
      </c>
      <c r="S1255" s="22"/>
      <c r="T1255" s="22"/>
      <c r="V1255" s="26" t="s">
        <v>1936</v>
      </c>
      <c r="W1255" s="6">
        <v>6</v>
      </c>
    </row>
    <row r="1256" spans="1:23">
      <c r="A1256" t="s">
        <v>3193</v>
      </c>
      <c r="B1256" s="8">
        <v>45543</v>
      </c>
      <c r="C1256" t="s">
        <v>688</v>
      </c>
      <c r="D1256" t="s">
        <v>1658</v>
      </c>
      <c r="E1256" t="s">
        <v>1899</v>
      </c>
      <c r="F1256">
        <v>3</v>
      </c>
      <c r="G1256" s="10">
        <v>120.67</v>
      </c>
      <c r="H1256" s="13">
        <v>0.08</v>
      </c>
      <c r="I1256" t="s">
        <v>1936</v>
      </c>
      <c r="J1256" s="16">
        <v>333.04919999999998</v>
      </c>
      <c r="K1256" s="19">
        <f t="shared" si="95"/>
        <v>804144.2597000004</v>
      </c>
      <c r="L1256" s="22">
        <f t="shared" si="96"/>
        <v>1077.9413668900809</v>
      </c>
      <c r="M1256" s="22">
        <f t="shared" si="97"/>
        <v>247</v>
      </c>
      <c r="N1256" s="22" t="str">
        <f t="shared" si="98"/>
        <v>Low Value</v>
      </c>
      <c r="O1256" s="22" t="str">
        <f t="shared" si="99"/>
        <v>Sep-2024</v>
      </c>
      <c r="P1256" s="22" t="s">
        <v>1659</v>
      </c>
      <c r="Q1256" s="22" t="s">
        <v>1536</v>
      </c>
      <c r="R1256" s="22" t="s">
        <v>689</v>
      </c>
      <c r="S1256" s="22"/>
      <c r="T1256" s="22"/>
      <c r="V1256" s="26" t="s">
        <v>1931</v>
      </c>
      <c r="W1256" s="6">
        <v>11</v>
      </c>
    </row>
    <row r="1257" spans="1:23">
      <c r="A1257" t="s">
        <v>3194</v>
      </c>
      <c r="B1257" s="8">
        <v>45402</v>
      </c>
      <c r="C1257" t="s">
        <v>1514</v>
      </c>
      <c r="D1257" t="s">
        <v>1607</v>
      </c>
      <c r="E1257" t="s">
        <v>1873</v>
      </c>
      <c r="F1257">
        <v>4</v>
      </c>
      <c r="G1257" s="10">
        <v>176.13</v>
      </c>
      <c r="H1257" s="13">
        <v>0.27</v>
      </c>
      <c r="I1257" t="s">
        <v>1933</v>
      </c>
      <c r="J1257" s="16">
        <v>514.29959999999994</v>
      </c>
      <c r="K1257" s="19">
        <f t="shared" si="95"/>
        <v>803811.21050000039</v>
      </c>
      <c r="L1257" s="22">
        <f t="shared" si="96"/>
        <v>1078.9412221476516</v>
      </c>
      <c r="M1257" s="22">
        <f t="shared" si="97"/>
        <v>247</v>
      </c>
      <c r="N1257" s="22" t="str">
        <f t="shared" si="98"/>
        <v>Low Value</v>
      </c>
      <c r="O1257" s="22" t="str">
        <f t="shared" si="99"/>
        <v>Apr-2024</v>
      </c>
      <c r="P1257" s="22" t="s">
        <v>1608</v>
      </c>
      <c r="Q1257" s="22" t="s">
        <v>1569</v>
      </c>
      <c r="R1257" s="22" t="s">
        <v>1515</v>
      </c>
      <c r="S1257" s="22"/>
      <c r="T1257" s="22"/>
      <c r="V1257" s="26" t="s">
        <v>1933</v>
      </c>
      <c r="W1257" s="6">
        <v>1</v>
      </c>
    </row>
    <row r="1258" spans="1:23">
      <c r="A1258" t="s">
        <v>3195</v>
      </c>
      <c r="B1258" s="8">
        <v>45671</v>
      </c>
      <c r="C1258" t="s">
        <v>1383</v>
      </c>
      <c r="D1258" t="s">
        <v>1743</v>
      </c>
      <c r="E1258" t="s">
        <v>1899</v>
      </c>
      <c r="F1258">
        <v>4</v>
      </c>
      <c r="G1258" s="10">
        <v>592.67999999999995</v>
      </c>
      <c r="H1258" s="13">
        <v>0.03</v>
      </c>
      <c r="I1258" t="s">
        <v>1931</v>
      </c>
      <c r="J1258" s="16">
        <v>2299.5983999999999</v>
      </c>
      <c r="K1258" s="19">
        <f t="shared" si="95"/>
        <v>803296.91090000013</v>
      </c>
      <c r="L1258" s="22">
        <f t="shared" si="96"/>
        <v>1079.7001490591399</v>
      </c>
      <c r="M1258" s="22">
        <f t="shared" si="97"/>
        <v>246</v>
      </c>
      <c r="N1258" s="22" t="str">
        <f t="shared" si="98"/>
        <v>High Value</v>
      </c>
      <c r="O1258" s="22" t="str">
        <f t="shared" si="99"/>
        <v>Jan-2025</v>
      </c>
      <c r="P1258" s="22" t="s">
        <v>1744</v>
      </c>
      <c r="Q1258" s="22" t="s">
        <v>1555</v>
      </c>
      <c r="R1258" s="22" t="s">
        <v>1384</v>
      </c>
      <c r="S1258" s="22"/>
      <c r="T1258" s="22"/>
      <c r="V1258" s="25" t="s">
        <v>273</v>
      </c>
      <c r="W1258" s="6">
        <v>14</v>
      </c>
    </row>
    <row r="1259" spans="1:23">
      <c r="A1259" t="s">
        <v>3196</v>
      </c>
      <c r="B1259" s="8">
        <v>45367</v>
      </c>
      <c r="C1259" t="s">
        <v>580</v>
      </c>
      <c r="D1259" t="s">
        <v>1765</v>
      </c>
      <c r="E1259" t="s">
        <v>1876</v>
      </c>
      <c r="F1259">
        <v>4</v>
      </c>
      <c r="G1259" s="10">
        <v>662.43</v>
      </c>
      <c r="H1259" s="13">
        <v>0.24</v>
      </c>
      <c r="I1259" t="s">
        <v>1933</v>
      </c>
      <c r="J1259" s="16">
        <v>2013.7872</v>
      </c>
      <c r="K1259" s="19">
        <f t="shared" si="95"/>
        <v>800997.31250000012</v>
      </c>
      <c r="L1259" s="22">
        <f t="shared" si="96"/>
        <v>1078.0582940780621</v>
      </c>
      <c r="M1259" s="22">
        <f t="shared" si="97"/>
        <v>246</v>
      </c>
      <c r="N1259" s="22" t="str">
        <f t="shared" si="98"/>
        <v>High Value</v>
      </c>
      <c r="O1259" s="22" t="str">
        <f t="shared" si="99"/>
        <v>Mar-2024</v>
      </c>
      <c r="P1259" s="22" t="s">
        <v>1766</v>
      </c>
      <c r="Q1259" s="22" t="s">
        <v>1560</v>
      </c>
      <c r="R1259" s="22" t="s">
        <v>581</v>
      </c>
      <c r="S1259" s="22"/>
      <c r="T1259" s="22"/>
      <c r="V1259" s="26" t="s">
        <v>1936</v>
      </c>
      <c r="W1259" s="6">
        <v>12</v>
      </c>
    </row>
    <row r="1260" spans="1:23">
      <c r="A1260" t="s">
        <v>3197</v>
      </c>
      <c r="B1260" s="8">
        <v>45488</v>
      </c>
      <c r="C1260" t="s">
        <v>437</v>
      </c>
      <c r="D1260" t="s">
        <v>1681</v>
      </c>
      <c r="E1260" t="s">
        <v>1889</v>
      </c>
      <c r="F1260">
        <v>3</v>
      </c>
      <c r="G1260" s="10">
        <v>518.35</v>
      </c>
      <c r="H1260" s="13">
        <v>0.21</v>
      </c>
      <c r="I1260" t="s">
        <v>1936</v>
      </c>
      <c r="J1260" s="16">
        <v>1228.4894999999999</v>
      </c>
      <c r="K1260" s="19">
        <f t="shared" si="95"/>
        <v>798983.52530000021</v>
      </c>
      <c r="L1260" s="22">
        <f t="shared" si="96"/>
        <v>1076.7972039083561</v>
      </c>
      <c r="M1260" s="22">
        <f t="shared" si="97"/>
        <v>245</v>
      </c>
      <c r="N1260" s="22" t="str">
        <f t="shared" si="98"/>
        <v>High Value</v>
      </c>
      <c r="O1260" s="22" t="str">
        <f t="shared" si="99"/>
        <v>Jul-2024</v>
      </c>
      <c r="P1260" s="22" t="s">
        <v>1682</v>
      </c>
      <c r="Q1260" s="22" t="s">
        <v>1531</v>
      </c>
      <c r="R1260" s="22" t="s">
        <v>438</v>
      </c>
      <c r="S1260" s="22"/>
      <c r="T1260" s="22"/>
      <c r="V1260" s="26" t="s">
        <v>1931</v>
      </c>
      <c r="W1260" s="6">
        <v>2</v>
      </c>
    </row>
    <row r="1261" spans="1:23">
      <c r="A1261" t="s">
        <v>3198</v>
      </c>
      <c r="B1261" s="8">
        <v>45509</v>
      </c>
      <c r="C1261" t="s">
        <v>975</v>
      </c>
      <c r="D1261" t="s">
        <v>1737</v>
      </c>
      <c r="E1261" t="s">
        <v>1880</v>
      </c>
      <c r="F1261">
        <v>1</v>
      </c>
      <c r="G1261" s="10">
        <v>85.58</v>
      </c>
      <c r="H1261" s="13">
        <v>0.1</v>
      </c>
      <c r="I1261" t="s">
        <v>1936</v>
      </c>
      <c r="J1261" s="16">
        <v>77.022000000000006</v>
      </c>
      <c r="K1261" s="19">
        <f t="shared" si="95"/>
        <v>797755.03580000007</v>
      </c>
      <c r="L1261" s="22">
        <f t="shared" si="96"/>
        <v>1076.5924909581647</v>
      </c>
      <c r="M1261" s="22">
        <f t="shared" si="97"/>
        <v>245</v>
      </c>
      <c r="N1261" s="22" t="str">
        <f t="shared" si="98"/>
        <v>Low Value</v>
      </c>
      <c r="O1261" s="22" t="str">
        <f t="shared" si="99"/>
        <v>Aug-2024</v>
      </c>
      <c r="P1261" s="22" t="s">
        <v>1738</v>
      </c>
      <c r="Q1261" s="22" t="s">
        <v>1569</v>
      </c>
      <c r="R1261" s="22" t="s">
        <v>976</v>
      </c>
      <c r="S1261" s="22"/>
      <c r="T1261" s="22"/>
      <c r="V1261" s="25" t="s">
        <v>83</v>
      </c>
      <c r="W1261" s="6">
        <v>5</v>
      </c>
    </row>
    <row r="1262" spans="1:23">
      <c r="A1262" t="s">
        <v>3199</v>
      </c>
      <c r="B1262" s="8">
        <v>45323</v>
      </c>
      <c r="C1262" t="s">
        <v>1130</v>
      </c>
      <c r="D1262" t="s">
        <v>1816</v>
      </c>
      <c r="E1262" t="s">
        <v>1864</v>
      </c>
      <c r="F1262">
        <v>4</v>
      </c>
      <c r="G1262" s="10">
        <v>800</v>
      </c>
      <c r="H1262" s="13">
        <v>0.2</v>
      </c>
      <c r="I1262" t="s">
        <v>1931</v>
      </c>
      <c r="J1262" s="16">
        <v>2560</v>
      </c>
      <c r="K1262" s="19">
        <f t="shared" si="95"/>
        <v>797678.01380000019</v>
      </c>
      <c r="L1262" s="22">
        <f t="shared" si="96"/>
        <v>1077.9432618918922</v>
      </c>
      <c r="M1262" s="22">
        <f t="shared" si="97"/>
        <v>245</v>
      </c>
      <c r="N1262" s="22" t="str">
        <f t="shared" si="98"/>
        <v>High Value</v>
      </c>
      <c r="O1262" s="22" t="str">
        <f t="shared" si="99"/>
        <v>Feb-2024</v>
      </c>
      <c r="P1262" s="22" t="s">
        <v>1817</v>
      </c>
      <c r="Q1262" s="22" t="s">
        <v>1560</v>
      </c>
      <c r="R1262" s="22" t="s">
        <v>1131</v>
      </c>
      <c r="S1262" s="22"/>
      <c r="T1262" s="22"/>
      <c r="V1262" s="26" t="s">
        <v>1936</v>
      </c>
      <c r="W1262" s="6">
        <v>2</v>
      </c>
    </row>
    <row r="1263" spans="1:23">
      <c r="A1263" t="s">
        <v>3200</v>
      </c>
      <c r="B1263" s="8">
        <v>45889</v>
      </c>
      <c r="C1263" t="s">
        <v>518</v>
      </c>
      <c r="D1263" t="s">
        <v>1734</v>
      </c>
      <c r="E1263" t="s">
        <v>1896</v>
      </c>
      <c r="F1263">
        <v>3</v>
      </c>
      <c r="G1263" s="10">
        <v>118.25</v>
      </c>
      <c r="H1263" s="13">
        <v>0.26</v>
      </c>
      <c r="I1263" t="s">
        <v>1933</v>
      </c>
      <c r="J1263" s="16">
        <v>262.51499999999999</v>
      </c>
      <c r="K1263" s="19">
        <f t="shared" si="95"/>
        <v>795118.01380000019</v>
      </c>
      <c r="L1263" s="22">
        <f t="shared" si="96"/>
        <v>1075.9377723951288</v>
      </c>
      <c r="M1263" s="22">
        <f t="shared" si="97"/>
        <v>245</v>
      </c>
      <c r="N1263" s="22" t="str">
        <f t="shared" si="98"/>
        <v>Low Value</v>
      </c>
      <c r="O1263" s="22" t="str">
        <f t="shared" si="99"/>
        <v>Aug-2025</v>
      </c>
      <c r="P1263" s="22" t="s">
        <v>1735</v>
      </c>
      <c r="Q1263" s="22" t="s">
        <v>1555</v>
      </c>
      <c r="R1263" s="22" t="s">
        <v>519</v>
      </c>
      <c r="S1263" s="22"/>
      <c r="T1263" s="22"/>
      <c r="V1263" s="26" t="s">
        <v>1933</v>
      </c>
      <c r="W1263" s="6">
        <v>3</v>
      </c>
    </row>
    <row r="1264" spans="1:23">
      <c r="A1264" t="s">
        <v>3201</v>
      </c>
      <c r="B1264" s="8">
        <v>45253</v>
      </c>
      <c r="C1264" t="s">
        <v>1299</v>
      </c>
      <c r="D1264" t="s">
        <v>1646</v>
      </c>
      <c r="E1264" t="s">
        <v>1908</v>
      </c>
      <c r="F1264">
        <v>1</v>
      </c>
      <c r="G1264" s="10">
        <v>223.25</v>
      </c>
      <c r="H1264" s="13">
        <v>0.28999999999999998</v>
      </c>
      <c r="I1264" t="s">
        <v>1931</v>
      </c>
      <c r="J1264" s="16">
        <v>158.50749999999999</v>
      </c>
      <c r="K1264" s="19">
        <f t="shared" si="95"/>
        <v>794855.49880000029</v>
      </c>
      <c r="L1264" s="22">
        <f t="shared" si="96"/>
        <v>1077.039971273713</v>
      </c>
      <c r="M1264" s="22">
        <f t="shared" si="97"/>
        <v>244</v>
      </c>
      <c r="N1264" s="22" t="str">
        <f t="shared" si="98"/>
        <v>Low Value</v>
      </c>
      <c r="O1264" s="22" t="str">
        <f t="shared" si="99"/>
        <v>Nov-2023</v>
      </c>
      <c r="P1264" s="22" t="s">
        <v>1647</v>
      </c>
      <c r="Q1264" s="22" t="s">
        <v>1555</v>
      </c>
      <c r="R1264" s="22" t="s">
        <v>1300</v>
      </c>
      <c r="S1264" s="22"/>
      <c r="T1264" s="22"/>
      <c r="V1264" s="25" t="s">
        <v>495</v>
      </c>
      <c r="W1264" s="6">
        <v>21</v>
      </c>
    </row>
    <row r="1265" spans="1:23">
      <c r="A1265" t="s">
        <v>3202</v>
      </c>
      <c r="B1265" s="8">
        <v>45530</v>
      </c>
      <c r="C1265" t="s">
        <v>1316</v>
      </c>
      <c r="D1265" t="s">
        <v>1646</v>
      </c>
      <c r="E1265" t="s">
        <v>1876</v>
      </c>
      <c r="F1265">
        <v>3</v>
      </c>
      <c r="G1265" s="10">
        <v>918.76</v>
      </c>
      <c r="H1265" s="13">
        <v>0.2</v>
      </c>
      <c r="I1265" t="s">
        <v>1933</v>
      </c>
      <c r="J1265" s="16">
        <v>2205.0239999999999</v>
      </c>
      <c r="K1265" s="19">
        <f t="shared" si="95"/>
        <v>794696.99130000023</v>
      </c>
      <c r="L1265" s="22">
        <f t="shared" si="96"/>
        <v>1078.2862839891454</v>
      </c>
      <c r="M1265" s="22">
        <f t="shared" si="97"/>
        <v>244</v>
      </c>
      <c r="N1265" s="22" t="str">
        <f t="shared" si="98"/>
        <v>High Value</v>
      </c>
      <c r="O1265" s="22" t="str">
        <f t="shared" si="99"/>
        <v>Aug-2024</v>
      </c>
      <c r="P1265" s="22" t="s">
        <v>1647</v>
      </c>
      <c r="Q1265" s="22" t="s">
        <v>1555</v>
      </c>
      <c r="R1265" s="22" t="s">
        <v>1317</v>
      </c>
      <c r="S1265" s="22"/>
      <c r="T1265" s="22"/>
      <c r="V1265" s="26" t="s">
        <v>1936</v>
      </c>
      <c r="W1265" s="6">
        <v>7</v>
      </c>
    </row>
    <row r="1266" spans="1:23">
      <c r="A1266" t="s">
        <v>3203</v>
      </c>
      <c r="B1266" s="8">
        <v>45491</v>
      </c>
      <c r="C1266" t="s">
        <v>889</v>
      </c>
      <c r="D1266" t="s">
        <v>1807</v>
      </c>
      <c r="E1266" t="s">
        <v>1904</v>
      </c>
      <c r="F1266">
        <v>2</v>
      </c>
      <c r="G1266" s="10">
        <v>905.26</v>
      </c>
      <c r="H1266" s="13">
        <v>0.15</v>
      </c>
      <c r="I1266" t="s">
        <v>1936</v>
      </c>
      <c r="J1266" s="16">
        <v>1538.942</v>
      </c>
      <c r="K1266" s="19">
        <f t="shared" si="95"/>
        <v>792491.96730000025</v>
      </c>
      <c r="L1266" s="22">
        <f t="shared" si="96"/>
        <v>1076.7553903532612</v>
      </c>
      <c r="M1266" s="22">
        <f t="shared" si="97"/>
        <v>243</v>
      </c>
      <c r="N1266" s="22" t="str">
        <f t="shared" si="98"/>
        <v>High Value</v>
      </c>
      <c r="O1266" s="22" t="str">
        <f t="shared" si="99"/>
        <v>Jul-2024</v>
      </c>
      <c r="P1266" s="22" t="s">
        <v>1808</v>
      </c>
      <c r="Q1266" s="22" t="s">
        <v>1560</v>
      </c>
      <c r="R1266" s="22" t="s">
        <v>890</v>
      </c>
      <c r="S1266" s="22"/>
      <c r="T1266" s="22"/>
      <c r="V1266" s="26" t="s">
        <v>1931</v>
      </c>
      <c r="W1266" s="6">
        <v>4</v>
      </c>
    </row>
    <row r="1267" spans="1:23">
      <c r="A1267" t="s">
        <v>3204</v>
      </c>
      <c r="B1267" s="8">
        <v>45628</v>
      </c>
      <c r="C1267" t="s">
        <v>981</v>
      </c>
      <c r="D1267" t="s">
        <v>1970</v>
      </c>
      <c r="E1267" t="s">
        <v>1920</v>
      </c>
      <c r="F1267">
        <v>4</v>
      </c>
      <c r="G1267" s="10">
        <v>295.39999999999998</v>
      </c>
      <c r="H1267" s="13">
        <v>0.23</v>
      </c>
      <c r="I1267" t="s">
        <v>1933</v>
      </c>
      <c r="J1267" s="16">
        <v>909.83199999999999</v>
      </c>
      <c r="K1267" s="19">
        <f t="shared" si="95"/>
        <v>790953.02530000021</v>
      </c>
      <c r="L1267" s="22">
        <f t="shared" si="96"/>
        <v>1076.126565034014</v>
      </c>
      <c r="M1267" s="22">
        <f t="shared" si="97"/>
        <v>243</v>
      </c>
      <c r="N1267" s="22" t="str">
        <f t="shared" si="98"/>
        <v>Low Value</v>
      </c>
      <c r="O1267" s="22" t="str">
        <f t="shared" si="99"/>
        <v>Dec-2024</v>
      </c>
      <c r="P1267" s="22" t="s">
        <v>1594</v>
      </c>
      <c r="Q1267" s="22" t="s">
        <v>1555</v>
      </c>
      <c r="R1267" s="22" t="s">
        <v>982</v>
      </c>
      <c r="S1267" s="22"/>
      <c r="T1267" s="22"/>
      <c r="V1267" s="26" t="s">
        <v>1933</v>
      </c>
      <c r="W1267" s="6">
        <v>10</v>
      </c>
    </row>
    <row r="1268" spans="1:23">
      <c r="A1268" t="s">
        <v>3205</v>
      </c>
      <c r="B1268" s="8">
        <v>45861</v>
      </c>
      <c r="C1268" t="s">
        <v>310</v>
      </c>
      <c r="D1268" t="s">
        <v>1837</v>
      </c>
      <c r="E1268" t="s">
        <v>1880</v>
      </c>
      <c r="F1268">
        <v>1</v>
      </c>
      <c r="G1268" s="10">
        <v>252.18</v>
      </c>
      <c r="H1268" s="13">
        <v>0.23</v>
      </c>
      <c r="I1268" t="s">
        <v>1933</v>
      </c>
      <c r="J1268" s="16">
        <v>194.17859999999999</v>
      </c>
      <c r="K1268" s="19">
        <f t="shared" si="95"/>
        <v>790043.19330000004</v>
      </c>
      <c r="L1268" s="22">
        <f t="shared" si="96"/>
        <v>1076.3531243869211</v>
      </c>
      <c r="M1268" s="22">
        <f t="shared" si="97"/>
        <v>242</v>
      </c>
      <c r="N1268" s="22" t="str">
        <f t="shared" si="98"/>
        <v>Low Value</v>
      </c>
      <c r="O1268" s="22" t="str">
        <f t="shared" si="99"/>
        <v>Jul-2025</v>
      </c>
      <c r="P1268" s="22" t="s">
        <v>1838</v>
      </c>
      <c r="Q1268" s="22" t="s">
        <v>1555</v>
      </c>
      <c r="R1268" s="22" t="s">
        <v>3947</v>
      </c>
      <c r="S1268" s="22"/>
      <c r="T1268" s="22"/>
      <c r="V1268" s="25" t="s">
        <v>925</v>
      </c>
      <c r="W1268" s="6">
        <v>10</v>
      </c>
    </row>
    <row r="1269" spans="1:23">
      <c r="A1269" t="s">
        <v>3206</v>
      </c>
      <c r="B1269" s="8">
        <v>45878</v>
      </c>
      <c r="C1269" t="s">
        <v>509</v>
      </c>
      <c r="D1269" t="s">
        <v>1846</v>
      </c>
      <c r="E1269" t="s">
        <v>1901</v>
      </c>
      <c r="F1269">
        <v>4</v>
      </c>
      <c r="G1269" s="10">
        <v>792.1</v>
      </c>
      <c r="H1269" s="13">
        <v>0.19</v>
      </c>
      <c r="I1269" t="s">
        <v>1936</v>
      </c>
      <c r="J1269" s="16">
        <v>2566.404</v>
      </c>
      <c r="K1269" s="19">
        <f t="shared" si="95"/>
        <v>789849.01470000006</v>
      </c>
      <c r="L1269" s="22">
        <f t="shared" si="96"/>
        <v>1077.5566366984995</v>
      </c>
      <c r="M1269" s="22">
        <f t="shared" si="97"/>
        <v>241</v>
      </c>
      <c r="N1269" s="22" t="str">
        <f t="shared" si="98"/>
        <v>High Value</v>
      </c>
      <c r="O1269" s="22" t="str">
        <f t="shared" si="99"/>
        <v>Aug-2025</v>
      </c>
      <c r="P1269" s="22" t="s">
        <v>1847</v>
      </c>
      <c r="Q1269" s="22" t="s">
        <v>1569</v>
      </c>
      <c r="R1269" s="22" t="s">
        <v>510</v>
      </c>
      <c r="S1269" s="22"/>
      <c r="T1269" s="22"/>
      <c r="V1269" s="26" t="s">
        <v>1936</v>
      </c>
      <c r="W1269" s="6">
        <v>4</v>
      </c>
    </row>
    <row r="1270" spans="1:23">
      <c r="A1270" t="s">
        <v>3207</v>
      </c>
      <c r="B1270" s="8">
        <v>45426</v>
      </c>
      <c r="C1270" t="s">
        <v>275</v>
      </c>
      <c r="D1270" t="s">
        <v>1819</v>
      </c>
      <c r="E1270" t="s">
        <v>1906</v>
      </c>
      <c r="F1270">
        <v>1</v>
      </c>
      <c r="G1270" s="10">
        <v>883.36</v>
      </c>
      <c r="H1270" s="13">
        <v>0.11</v>
      </c>
      <c r="I1270" t="s">
        <v>1933</v>
      </c>
      <c r="J1270" s="16">
        <v>786.19040000000007</v>
      </c>
      <c r="K1270" s="19">
        <f t="shared" si="95"/>
        <v>787282.61070000019</v>
      </c>
      <c r="L1270" s="22">
        <f t="shared" si="96"/>
        <v>1075.5226922131151</v>
      </c>
      <c r="M1270" s="22">
        <f t="shared" si="97"/>
        <v>241</v>
      </c>
      <c r="N1270" s="22" t="str">
        <f t="shared" si="98"/>
        <v>Low Value</v>
      </c>
      <c r="O1270" s="22" t="str">
        <f t="shared" si="99"/>
        <v>May-2024</v>
      </c>
      <c r="P1270" s="22" t="s">
        <v>1820</v>
      </c>
      <c r="Q1270" s="22" t="s">
        <v>1569</v>
      </c>
      <c r="R1270" s="22" t="s">
        <v>276</v>
      </c>
      <c r="S1270" s="22"/>
      <c r="T1270" s="22"/>
      <c r="V1270" s="26" t="s">
        <v>1931</v>
      </c>
      <c r="W1270" s="6">
        <v>2</v>
      </c>
    </row>
    <row r="1271" spans="1:23">
      <c r="A1271" t="s">
        <v>3208</v>
      </c>
      <c r="B1271" s="8">
        <v>45231</v>
      </c>
      <c r="C1271" t="s">
        <v>877</v>
      </c>
      <c r="D1271" t="s">
        <v>1762</v>
      </c>
      <c r="E1271" t="s">
        <v>1859</v>
      </c>
      <c r="F1271">
        <v>4</v>
      </c>
      <c r="G1271" s="10">
        <v>305.95</v>
      </c>
      <c r="H1271" s="13">
        <v>0.08</v>
      </c>
      <c r="I1271" t="s">
        <v>1933</v>
      </c>
      <c r="J1271" s="16">
        <v>1125.896</v>
      </c>
      <c r="K1271" s="19">
        <f t="shared" si="95"/>
        <v>786496.4203</v>
      </c>
      <c r="L1271" s="22">
        <f t="shared" si="96"/>
        <v>1075.9184956224351</v>
      </c>
      <c r="M1271" s="22">
        <f t="shared" si="97"/>
        <v>240</v>
      </c>
      <c r="N1271" s="22" t="str">
        <f t="shared" si="98"/>
        <v>High Value</v>
      </c>
      <c r="O1271" s="22" t="str">
        <f t="shared" si="99"/>
        <v>Nov-2023</v>
      </c>
      <c r="P1271" s="22" t="s">
        <v>1763</v>
      </c>
      <c r="Q1271" s="22" t="s">
        <v>1536</v>
      </c>
      <c r="R1271" s="22" t="s">
        <v>878</v>
      </c>
      <c r="S1271" s="22"/>
      <c r="T1271" s="22"/>
      <c r="V1271" s="26" t="s">
        <v>1933</v>
      </c>
      <c r="W1271" s="6">
        <v>4</v>
      </c>
    </row>
    <row r="1272" spans="1:23">
      <c r="A1272" t="s">
        <v>3209</v>
      </c>
      <c r="B1272" s="8">
        <v>45609</v>
      </c>
      <c r="C1272" t="s">
        <v>1242</v>
      </c>
      <c r="D1272" t="s">
        <v>1728</v>
      </c>
      <c r="E1272" t="s">
        <v>1886</v>
      </c>
      <c r="F1272">
        <v>3</v>
      </c>
      <c r="G1272" s="10">
        <v>742.45</v>
      </c>
      <c r="H1272" s="13">
        <v>0.23</v>
      </c>
      <c r="I1272" t="s">
        <v>1936</v>
      </c>
      <c r="J1272" s="16">
        <v>1715.0595000000001</v>
      </c>
      <c r="K1272" s="19">
        <f t="shared" si="95"/>
        <v>785370.52430000005</v>
      </c>
      <c r="L1272" s="22">
        <f t="shared" si="96"/>
        <v>1075.8500332876713</v>
      </c>
      <c r="M1272" s="22">
        <f t="shared" si="97"/>
        <v>239</v>
      </c>
      <c r="N1272" s="22" t="str">
        <f t="shared" si="98"/>
        <v>High Value</v>
      </c>
      <c r="O1272" s="22" t="str">
        <f t="shared" si="99"/>
        <v>Nov-2024</v>
      </c>
      <c r="P1272" s="22" t="s">
        <v>1729</v>
      </c>
      <c r="Q1272" s="22" t="s">
        <v>1536</v>
      </c>
      <c r="R1272" s="22" t="s">
        <v>1243</v>
      </c>
      <c r="S1272" s="22"/>
      <c r="T1272" s="22"/>
      <c r="V1272" s="25" t="s">
        <v>305</v>
      </c>
      <c r="W1272" s="6">
        <v>6</v>
      </c>
    </row>
    <row r="1273" spans="1:23">
      <c r="A1273" t="s">
        <v>3210</v>
      </c>
      <c r="B1273" s="8">
        <v>45392</v>
      </c>
      <c r="C1273" t="s">
        <v>1107</v>
      </c>
      <c r="D1273" t="s">
        <v>1624</v>
      </c>
      <c r="E1273" t="s">
        <v>1917</v>
      </c>
      <c r="F1273">
        <v>3</v>
      </c>
      <c r="G1273" s="10">
        <v>336.1</v>
      </c>
      <c r="H1273" s="13">
        <v>0.12</v>
      </c>
      <c r="I1273" t="s">
        <v>1936</v>
      </c>
      <c r="J1273" s="16">
        <v>887.30400000000009</v>
      </c>
      <c r="K1273" s="19">
        <f t="shared" si="95"/>
        <v>783655.46479999984</v>
      </c>
      <c r="L1273" s="22">
        <f t="shared" si="96"/>
        <v>1074.9732027434841</v>
      </c>
      <c r="M1273" s="22">
        <f t="shared" si="97"/>
        <v>239</v>
      </c>
      <c r="N1273" s="22" t="str">
        <f t="shared" si="98"/>
        <v>Low Value</v>
      </c>
      <c r="O1273" s="22" t="str">
        <f t="shared" si="99"/>
        <v>Apr-2024</v>
      </c>
      <c r="P1273" s="22" t="s">
        <v>1625</v>
      </c>
      <c r="Q1273" s="22" t="s">
        <v>1536</v>
      </c>
      <c r="R1273" s="22" t="s">
        <v>1108</v>
      </c>
      <c r="S1273" s="22"/>
      <c r="T1273" s="22"/>
      <c r="V1273" s="26" t="s">
        <v>1931</v>
      </c>
      <c r="W1273" s="6">
        <v>3</v>
      </c>
    </row>
    <row r="1274" spans="1:23">
      <c r="A1274" t="s">
        <v>3211</v>
      </c>
      <c r="B1274" s="8">
        <v>45876</v>
      </c>
      <c r="C1274" t="s">
        <v>1274</v>
      </c>
      <c r="D1274" t="s">
        <v>1636</v>
      </c>
      <c r="E1274" t="s">
        <v>1886</v>
      </c>
      <c r="F1274">
        <v>3</v>
      </c>
      <c r="G1274" s="10">
        <v>310.36</v>
      </c>
      <c r="H1274" s="13">
        <v>0.14000000000000001</v>
      </c>
      <c r="I1274" t="s">
        <v>1936</v>
      </c>
      <c r="J1274" s="16">
        <v>800.72879999999998</v>
      </c>
      <c r="K1274" s="19">
        <f t="shared" si="95"/>
        <v>782768.16080000007</v>
      </c>
      <c r="L1274" s="22">
        <f t="shared" si="96"/>
        <v>1075.2309901098902</v>
      </c>
      <c r="M1274" s="22">
        <f t="shared" si="97"/>
        <v>239</v>
      </c>
      <c r="N1274" s="22" t="str">
        <f t="shared" si="98"/>
        <v>Low Value</v>
      </c>
      <c r="O1274" s="22" t="str">
        <f t="shared" si="99"/>
        <v>Aug-2025</v>
      </c>
      <c r="P1274" s="22" t="s">
        <v>1637</v>
      </c>
      <c r="Q1274" s="22" t="s">
        <v>1560</v>
      </c>
      <c r="R1274" s="22" t="s">
        <v>1275</v>
      </c>
      <c r="S1274" s="22"/>
      <c r="T1274" s="22"/>
      <c r="V1274" s="26" t="s">
        <v>1933</v>
      </c>
      <c r="W1274" s="6">
        <v>3</v>
      </c>
    </row>
    <row r="1275" spans="1:23">
      <c r="A1275" t="s">
        <v>3212</v>
      </c>
      <c r="B1275" s="8">
        <v>45772</v>
      </c>
      <c r="C1275" t="s">
        <v>886</v>
      </c>
      <c r="D1275" t="s">
        <v>1849</v>
      </c>
      <c r="E1275" t="s">
        <v>1889</v>
      </c>
      <c r="F1275">
        <v>3</v>
      </c>
      <c r="G1275" s="10">
        <v>992.81</v>
      </c>
      <c r="H1275" s="13">
        <v>0.04</v>
      </c>
      <c r="I1275" t="s">
        <v>1933</v>
      </c>
      <c r="J1275" s="16">
        <v>2859.2928000000002</v>
      </c>
      <c r="K1275" s="19">
        <f t="shared" si="95"/>
        <v>781967.43199999991</v>
      </c>
      <c r="L1275" s="22">
        <f t="shared" si="96"/>
        <v>1075.6085722145804</v>
      </c>
      <c r="M1275" s="22">
        <f t="shared" si="97"/>
        <v>239</v>
      </c>
      <c r="N1275" s="22" t="str">
        <f t="shared" si="98"/>
        <v>High Value</v>
      </c>
      <c r="O1275" s="22" t="str">
        <f t="shared" si="99"/>
        <v>Apr-2025</v>
      </c>
      <c r="P1275" s="22" t="s">
        <v>1850</v>
      </c>
      <c r="Q1275" s="22" t="s">
        <v>1531</v>
      </c>
      <c r="R1275" s="22" t="s">
        <v>887</v>
      </c>
      <c r="S1275" s="22"/>
      <c r="T1275" s="22"/>
      <c r="V1275" s="25" t="s">
        <v>466</v>
      </c>
      <c r="W1275" s="6">
        <v>8</v>
      </c>
    </row>
    <row r="1276" spans="1:23">
      <c r="A1276" t="s">
        <v>3213</v>
      </c>
      <c r="B1276" s="8">
        <v>45217</v>
      </c>
      <c r="C1276" t="s">
        <v>646</v>
      </c>
      <c r="D1276" t="s">
        <v>1734</v>
      </c>
      <c r="E1276" t="s">
        <v>1899</v>
      </c>
      <c r="F1276">
        <v>3</v>
      </c>
      <c r="G1276" s="10">
        <v>257.11</v>
      </c>
      <c r="H1276" s="13">
        <v>0.26</v>
      </c>
      <c r="I1276" t="s">
        <v>1936</v>
      </c>
      <c r="J1276" s="16">
        <v>570.78420000000006</v>
      </c>
      <c r="K1276" s="19">
        <f t="shared" si="95"/>
        <v>779108.13919999998</v>
      </c>
      <c r="L1276" s="22">
        <f t="shared" si="96"/>
        <v>1073.1517068870523</v>
      </c>
      <c r="M1276" s="22">
        <f t="shared" si="97"/>
        <v>238</v>
      </c>
      <c r="N1276" s="22" t="str">
        <f t="shared" si="98"/>
        <v>Low Value</v>
      </c>
      <c r="O1276" s="22" t="str">
        <f t="shared" si="99"/>
        <v>Oct-2023</v>
      </c>
      <c r="P1276" s="22" t="s">
        <v>1735</v>
      </c>
      <c r="Q1276" s="22" t="s">
        <v>1555</v>
      </c>
      <c r="R1276" s="22" t="s">
        <v>647</v>
      </c>
      <c r="S1276" s="22"/>
      <c r="T1276" s="22"/>
      <c r="V1276" s="26" t="s">
        <v>1936</v>
      </c>
      <c r="W1276" s="6">
        <v>5</v>
      </c>
    </row>
    <row r="1277" spans="1:23">
      <c r="A1277" t="s">
        <v>3214</v>
      </c>
      <c r="B1277" s="8">
        <v>45739</v>
      </c>
      <c r="C1277" t="s">
        <v>712</v>
      </c>
      <c r="D1277" t="s">
        <v>1840</v>
      </c>
      <c r="E1277" t="s">
        <v>1901</v>
      </c>
      <c r="F1277">
        <v>4</v>
      </c>
      <c r="G1277" s="10">
        <v>816.29</v>
      </c>
      <c r="H1277" s="13">
        <v>0.24</v>
      </c>
      <c r="I1277" t="s">
        <v>1933</v>
      </c>
      <c r="J1277" s="16">
        <v>2481.5216</v>
      </c>
      <c r="K1277" s="19">
        <f t="shared" si="95"/>
        <v>778537.3550000001</v>
      </c>
      <c r="L1277" s="22">
        <f t="shared" si="96"/>
        <v>1073.844627586207</v>
      </c>
      <c r="M1277" s="22">
        <f t="shared" si="97"/>
        <v>238</v>
      </c>
      <c r="N1277" s="22" t="str">
        <f t="shared" si="98"/>
        <v>High Value</v>
      </c>
      <c r="O1277" s="22" t="str">
        <f t="shared" si="99"/>
        <v>Mar-2025</v>
      </c>
      <c r="P1277" s="22" t="s">
        <v>1841</v>
      </c>
      <c r="Q1277" s="22" t="s">
        <v>1569</v>
      </c>
      <c r="R1277" s="22" t="s">
        <v>713</v>
      </c>
      <c r="S1277" s="22"/>
      <c r="T1277" s="22"/>
      <c r="V1277" s="26" t="s">
        <v>1931</v>
      </c>
      <c r="W1277" s="6">
        <v>3</v>
      </c>
    </row>
    <row r="1278" spans="1:23">
      <c r="A1278" t="s">
        <v>3215</v>
      </c>
      <c r="B1278" s="8">
        <v>45272</v>
      </c>
      <c r="C1278" t="s">
        <v>418</v>
      </c>
      <c r="D1278" t="s">
        <v>1734</v>
      </c>
      <c r="E1278" t="s">
        <v>1901</v>
      </c>
      <c r="F1278">
        <v>4</v>
      </c>
      <c r="G1278" s="10">
        <v>755.82</v>
      </c>
      <c r="H1278" s="13">
        <v>0.22</v>
      </c>
      <c r="I1278" t="s">
        <v>1936</v>
      </c>
      <c r="J1278" s="16">
        <v>2358.1583999999998</v>
      </c>
      <c r="K1278" s="19">
        <f t="shared" si="95"/>
        <v>776055.8334</v>
      </c>
      <c r="L1278" s="22">
        <f t="shared" si="96"/>
        <v>1071.9003223756906</v>
      </c>
      <c r="M1278" s="22">
        <f t="shared" si="97"/>
        <v>237</v>
      </c>
      <c r="N1278" s="22" t="str">
        <f t="shared" si="98"/>
        <v>High Value</v>
      </c>
      <c r="O1278" s="22" t="str">
        <f t="shared" si="99"/>
        <v>Dec-2023</v>
      </c>
      <c r="P1278" s="22" t="s">
        <v>1735</v>
      </c>
      <c r="Q1278" s="22" t="s">
        <v>1555</v>
      </c>
      <c r="R1278" s="22" t="s">
        <v>419</v>
      </c>
      <c r="S1278" s="22"/>
      <c r="T1278" s="22"/>
      <c r="V1278" s="25" t="s">
        <v>723</v>
      </c>
      <c r="W1278" s="6">
        <v>9</v>
      </c>
    </row>
    <row r="1279" spans="1:23">
      <c r="A1279" t="s">
        <v>3216</v>
      </c>
      <c r="B1279" s="8">
        <v>45524</v>
      </c>
      <c r="C1279" t="s">
        <v>22</v>
      </c>
      <c r="D1279" t="s">
        <v>1529</v>
      </c>
      <c r="E1279" t="s">
        <v>1906</v>
      </c>
      <c r="F1279">
        <v>1</v>
      </c>
      <c r="G1279" s="10">
        <v>449.6</v>
      </c>
      <c r="H1279" s="13">
        <v>0.01</v>
      </c>
      <c r="I1279" t="s">
        <v>1933</v>
      </c>
      <c r="J1279" s="16">
        <v>445.10399999999998</v>
      </c>
      <c r="K1279" s="19">
        <f t="shared" si="95"/>
        <v>773697.67500000016</v>
      </c>
      <c r="L1279" s="22">
        <f t="shared" si="96"/>
        <v>1070.1212655601662</v>
      </c>
      <c r="M1279" s="22">
        <f t="shared" si="97"/>
        <v>237</v>
      </c>
      <c r="N1279" s="22" t="str">
        <f t="shared" si="98"/>
        <v>Low Value</v>
      </c>
      <c r="O1279" s="22" t="str">
        <f t="shared" si="99"/>
        <v>Aug-2024</v>
      </c>
      <c r="P1279" s="22" t="s">
        <v>1530</v>
      </c>
      <c r="Q1279" s="22" t="s">
        <v>1531</v>
      </c>
      <c r="R1279" s="22" t="s">
        <v>3941</v>
      </c>
      <c r="S1279" s="22"/>
      <c r="T1279" s="22"/>
      <c r="V1279" s="26" t="s">
        <v>1936</v>
      </c>
      <c r="W1279" s="6">
        <v>3</v>
      </c>
    </row>
    <row r="1280" spans="1:23">
      <c r="A1280" t="s">
        <v>3217</v>
      </c>
      <c r="B1280" s="8">
        <v>45481</v>
      </c>
      <c r="C1280" t="s">
        <v>1096</v>
      </c>
      <c r="D1280" t="s">
        <v>1586</v>
      </c>
      <c r="E1280" t="s">
        <v>1859</v>
      </c>
      <c r="F1280">
        <v>2</v>
      </c>
      <c r="G1280" s="10">
        <v>779.29</v>
      </c>
      <c r="H1280" s="13">
        <v>0.12</v>
      </c>
      <c r="I1280" t="s">
        <v>1936</v>
      </c>
      <c r="J1280" s="16">
        <v>1371.5504000000001</v>
      </c>
      <c r="K1280" s="19">
        <f t="shared" si="95"/>
        <v>773252.57100000011</v>
      </c>
      <c r="L1280" s="22">
        <f t="shared" si="96"/>
        <v>1070.9869404432134</v>
      </c>
      <c r="M1280" s="22">
        <f t="shared" si="97"/>
        <v>236</v>
      </c>
      <c r="N1280" s="22" t="str">
        <f t="shared" si="98"/>
        <v>High Value</v>
      </c>
      <c r="O1280" s="22" t="str">
        <f t="shared" si="99"/>
        <v>Jul-2024</v>
      </c>
      <c r="P1280" s="22" t="s">
        <v>1587</v>
      </c>
      <c r="Q1280" s="22" t="s">
        <v>1560</v>
      </c>
      <c r="R1280" s="22" t="s">
        <v>1097</v>
      </c>
      <c r="S1280" s="22"/>
      <c r="T1280" s="22"/>
      <c r="V1280" s="26" t="s">
        <v>1931</v>
      </c>
      <c r="W1280" s="6">
        <v>4</v>
      </c>
    </row>
    <row r="1281" spans="1:23">
      <c r="A1281" t="s">
        <v>3218</v>
      </c>
      <c r="B1281" s="8">
        <v>45267</v>
      </c>
      <c r="C1281" t="s">
        <v>1943</v>
      </c>
      <c r="D1281" t="s">
        <v>1786</v>
      </c>
      <c r="E1281" t="s">
        <v>1914</v>
      </c>
      <c r="F1281">
        <v>1</v>
      </c>
      <c r="G1281" s="10">
        <v>748.75</v>
      </c>
      <c r="H1281" s="13">
        <v>0.1</v>
      </c>
      <c r="I1281" t="s">
        <v>1936</v>
      </c>
      <c r="J1281" s="16">
        <v>673.875</v>
      </c>
      <c r="K1281" s="19">
        <f t="shared" si="95"/>
        <v>771881.02060000005</v>
      </c>
      <c r="L1281" s="22">
        <f t="shared" si="96"/>
        <v>1070.5700701803053</v>
      </c>
      <c r="M1281" s="22">
        <f t="shared" si="97"/>
        <v>236</v>
      </c>
      <c r="N1281" s="22" t="str">
        <f t="shared" si="98"/>
        <v>Low Value</v>
      </c>
      <c r="O1281" s="22" t="str">
        <f t="shared" si="99"/>
        <v>Dec-2023</v>
      </c>
      <c r="P1281" s="22" t="s">
        <v>1787</v>
      </c>
      <c r="Q1281" s="22" t="s">
        <v>1531</v>
      </c>
      <c r="R1281" s="22" t="s">
        <v>1422</v>
      </c>
      <c r="S1281" s="22"/>
      <c r="T1281" s="22"/>
      <c r="V1281" s="26" t="s">
        <v>1933</v>
      </c>
      <c r="W1281" s="6">
        <v>2</v>
      </c>
    </row>
    <row r="1282" spans="1:23">
      <c r="A1282" t="s">
        <v>3219</v>
      </c>
      <c r="B1282" s="8">
        <v>45328</v>
      </c>
      <c r="C1282" t="s">
        <v>596</v>
      </c>
      <c r="D1282" t="s">
        <v>1822</v>
      </c>
      <c r="E1282" t="s">
        <v>1859</v>
      </c>
      <c r="F1282">
        <v>2</v>
      </c>
      <c r="G1282" s="10">
        <v>121.67</v>
      </c>
      <c r="H1282" s="13">
        <v>0.08</v>
      </c>
      <c r="I1282" t="s">
        <v>1936</v>
      </c>
      <c r="J1282" s="16">
        <v>223.87280000000001</v>
      </c>
      <c r="K1282" s="19">
        <f t="shared" ref="K1282:K1345" si="100">SUM(J1282:J3281)</f>
        <v>771207.14560000005</v>
      </c>
      <c r="L1282" s="22">
        <f t="shared" ref="L1282:L1345" si="101">AVERAGE(J1282:J3281)</f>
        <v>1071.1210355555556</v>
      </c>
      <c r="M1282" s="22">
        <f t="shared" ref="M1282:M1345" si="102">COUNTIF(I1282:I3281,"PayPal")</f>
        <v>236</v>
      </c>
      <c r="N1282" s="22" t="str">
        <f t="shared" ref="N1282:N1345" si="103">IF(J1282&gt;=1000,"High Value","Low Value")</f>
        <v>Low Value</v>
      </c>
      <c r="O1282" s="22" t="str">
        <f t="shared" ref="O1282:O1345" si="104">TEXT(B1282,"mmm-yyyy")</f>
        <v>Feb-2024</v>
      </c>
      <c r="P1282" s="22" t="s">
        <v>1823</v>
      </c>
      <c r="Q1282" s="22" t="s">
        <v>1555</v>
      </c>
      <c r="R1282" s="22" t="s">
        <v>597</v>
      </c>
      <c r="S1282" s="22"/>
      <c r="T1282" s="22"/>
      <c r="V1282" s="25" t="s">
        <v>994</v>
      </c>
      <c r="W1282" s="6">
        <v>9</v>
      </c>
    </row>
    <row r="1283" spans="1:23">
      <c r="A1283" t="s">
        <v>3220</v>
      </c>
      <c r="B1283" s="8">
        <v>45787</v>
      </c>
      <c r="C1283" t="s">
        <v>1500</v>
      </c>
      <c r="D1283" t="s">
        <v>1700</v>
      </c>
      <c r="E1283" t="s">
        <v>1908</v>
      </c>
      <c r="F1283">
        <v>3</v>
      </c>
      <c r="G1283" s="10">
        <v>225.14</v>
      </c>
      <c r="H1283" s="13">
        <v>0.15</v>
      </c>
      <c r="I1283" t="s">
        <v>1936</v>
      </c>
      <c r="J1283" s="16">
        <v>574.10699999999997</v>
      </c>
      <c r="K1283" s="19">
        <f t="shared" si="100"/>
        <v>770983.27280000004</v>
      </c>
      <c r="L1283" s="22">
        <f t="shared" si="101"/>
        <v>1072.2994058414465</v>
      </c>
      <c r="M1283" s="22">
        <f t="shared" si="102"/>
        <v>236</v>
      </c>
      <c r="N1283" s="22" t="str">
        <f t="shared" si="103"/>
        <v>Low Value</v>
      </c>
      <c r="O1283" s="22" t="str">
        <f t="shared" si="104"/>
        <v>May-2025</v>
      </c>
      <c r="P1283" s="22" t="s">
        <v>1701</v>
      </c>
      <c r="Q1283" s="22" t="s">
        <v>1555</v>
      </c>
      <c r="R1283" s="22" t="s">
        <v>1501</v>
      </c>
      <c r="S1283" s="22"/>
      <c r="T1283" s="22"/>
      <c r="V1283" s="26" t="s">
        <v>1936</v>
      </c>
      <c r="W1283" s="6">
        <v>2</v>
      </c>
    </row>
    <row r="1284" spans="1:23">
      <c r="A1284" t="s">
        <v>3221</v>
      </c>
      <c r="B1284" s="8">
        <v>45876</v>
      </c>
      <c r="C1284" t="s">
        <v>1008</v>
      </c>
      <c r="D1284" t="s">
        <v>1636</v>
      </c>
      <c r="E1284" t="s">
        <v>1920</v>
      </c>
      <c r="F1284">
        <v>1</v>
      </c>
      <c r="G1284" s="10">
        <v>654.17999999999995</v>
      </c>
      <c r="H1284" s="13">
        <v>0.19</v>
      </c>
      <c r="I1284" t="s">
        <v>1933</v>
      </c>
      <c r="J1284" s="16">
        <v>529.88580000000002</v>
      </c>
      <c r="K1284" s="19">
        <f t="shared" si="100"/>
        <v>770409.16580000019</v>
      </c>
      <c r="L1284" s="22">
        <f t="shared" si="101"/>
        <v>1072.9932671309195</v>
      </c>
      <c r="M1284" s="22">
        <f t="shared" si="102"/>
        <v>236</v>
      </c>
      <c r="N1284" s="22" t="str">
        <f t="shared" si="103"/>
        <v>Low Value</v>
      </c>
      <c r="O1284" s="22" t="str">
        <f t="shared" si="104"/>
        <v>Aug-2025</v>
      </c>
      <c r="P1284" s="22" t="s">
        <v>1637</v>
      </c>
      <c r="Q1284" s="22" t="s">
        <v>1560</v>
      </c>
      <c r="R1284" s="22" t="s">
        <v>1009</v>
      </c>
      <c r="S1284" s="22"/>
      <c r="T1284" s="22"/>
      <c r="V1284" s="26" t="s">
        <v>1931</v>
      </c>
      <c r="W1284" s="6">
        <v>3</v>
      </c>
    </row>
    <row r="1285" spans="1:23">
      <c r="A1285" t="s">
        <v>3222</v>
      </c>
      <c r="B1285" s="8">
        <v>45552</v>
      </c>
      <c r="C1285" t="s">
        <v>215</v>
      </c>
      <c r="D1285" t="s">
        <v>1768</v>
      </c>
      <c r="E1285" t="s">
        <v>1880</v>
      </c>
      <c r="F1285">
        <v>2</v>
      </c>
      <c r="G1285" s="10">
        <v>504.98</v>
      </c>
      <c r="H1285" s="13">
        <v>0.08</v>
      </c>
      <c r="I1285" t="s">
        <v>1936</v>
      </c>
      <c r="J1285" s="16">
        <v>929.16320000000007</v>
      </c>
      <c r="K1285" s="19">
        <f t="shared" si="100"/>
        <v>769879.28000000014</v>
      </c>
      <c r="L1285" s="22">
        <f t="shared" si="101"/>
        <v>1073.7507391910742</v>
      </c>
      <c r="M1285" s="22">
        <f t="shared" si="102"/>
        <v>235</v>
      </c>
      <c r="N1285" s="22" t="str">
        <f t="shared" si="103"/>
        <v>Low Value</v>
      </c>
      <c r="O1285" s="22" t="str">
        <f t="shared" si="104"/>
        <v>Sep-2024</v>
      </c>
      <c r="P1285" s="22" t="s">
        <v>1769</v>
      </c>
      <c r="Q1285" s="22" t="s">
        <v>1555</v>
      </c>
      <c r="R1285" s="22" t="s">
        <v>216</v>
      </c>
      <c r="S1285" s="22"/>
      <c r="T1285" s="22"/>
      <c r="V1285" s="26" t="s">
        <v>1933</v>
      </c>
      <c r="W1285" s="6">
        <v>4</v>
      </c>
    </row>
    <row r="1286" spans="1:23">
      <c r="A1286" t="s">
        <v>3223</v>
      </c>
      <c r="B1286" s="8">
        <v>45823</v>
      </c>
      <c r="C1286" t="s">
        <v>1175</v>
      </c>
      <c r="D1286" t="s">
        <v>1716</v>
      </c>
      <c r="E1286" t="s">
        <v>1889</v>
      </c>
      <c r="F1286">
        <v>2</v>
      </c>
      <c r="G1286" s="10">
        <v>623.20000000000005</v>
      </c>
      <c r="H1286" s="13">
        <v>0.14000000000000001</v>
      </c>
      <c r="I1286" t="s">
        <v>1936</v>
      </c>
      <c r="J1286" s="16">
        <v>1071.904</v>
      </c>
      <c r="K1286" s="19">
        <f t="shared" si="100"/>
        <v>768950.11680000008</v>
      </c>
      <c r="L1286" s="22">
        <f t="shared" si="101"/>
        <v>1073.9526770949722</v>
      </c>
      <c r="M1286" s="22">
        <f t="shared" si="102"/>
        <v>235</v>
      </c>
      <c r="N1286" s="22" t="str">
        <f t="shared" si="103"/>
        <v>High Value</v>
      </c>
      <c r="O1286" s="22" t="str">
        <f t="shared" si="104"/>
        <v>Jun-2025</v>
      </c>
      <c r="P1286" s="22" t="s">
        <v>1717</v>
      </c>
      <c r="Q1286" s="22" t="s">
        <v>1569</v>
      </c>
      <c r="R1286" s="22" t="s">
        <v>1176</v>
      </c>
      <c r="S1286" s="22"/>
      <c r="T1286" s="22"/>
      <c r="V1286" s="25" t="s">
        <v>328</v>
      </c>
      <c r="W1286" s="6">
        <v>12</v>
      </c>
    </row>
    <row r="1287" spans="1:23">
      <c r="A1287" t="s">
        <v>3224</v>
      </c>
      <c r="B1287" s="8">
        <v>45622</v>
      </c>
      <c r="C1287" t="s">
        <v>1019</v>
      </c>
      <c r="D1287" t="s">
        <v>1549</v>
      </c>
      <c r="E1287" t="s">
        <v>1911</v>
      </c>
      <c r="F1287">
        <v>2</v>
      </c>
      <c r="G1287" s="10">
        <v>530.54</v>
      </c>
      <c r="H1287" s="13">
        <v>0.28000000000000003</v>
      </c>
      <c r="I1287" t="s">
        <v>1936</v>
      </c>
      <c r="J1287" s="16">
        <v>763.97759999999994</v>
      </c>
      <c r="K1287" s="19">
        <f t="shared" si="100"/>
        <v>767878.21279999998</v>
      </c>
      <c r="L1287" s="22">
        <f t="shared" si="101"/>
        <v>1073.9555423776224</v>
      </c>
      <c r="M1287" s="22">
        <f t="shared" si="102"/>
        <v>235</v>
      </c>
      <c r="N1287" s="22" t="str">
        <f t="shared" si="103"/>
        <v>Low Value</v>
      </c>
      <c r="O1287" s="22" t="str">
        <f t="shared" si="104"/>
        <v>Nov-2024</v>
      </c>
      <c r="P1287" s="22" t="s">
        <v>1550</v>
      </c>
      <c r="Q1287" s="22" t="s">
        <v>1536</v>
      </c>
      <c r="R1287" s="22" t="s">
        <v>1020</v>
      </c>
      <c r="S1287" s="22"/>
      <c r="T1287" s="22"/>
      <c r="V1287" s="26" t="s">
        <v>1933</v>
      </c>
      <c r="W1287" s="6">
        <v>12</v>
      </c>
    </row>
    <row r="1288" spans="1:23">
      <c r="A1288" t="s">
        <v>3225</v>
      </c>
      <c r="B1288" s="8">
        <v>45810</v>
      </c>
      <c r="C1288" t="s">
        <v>1136</v>
      </c>
      <c r="D1288" t="s">
        <v>1529</v>
      </c>
      <c r="E1288" t="s">
        <v>1911</v>
      </c>
      <c r="F1288">
        <v>3</v>
      </c>
      <c r="G1288" s="10">
        <v>279.45</v>
      </c>
      <c r="H1288" s="13">
        <v>0.15</v>
      </c>
      <c r="I1288" t="s">
        <v>1936</v>
      </c>
      <c r="J1288" s="16">
        <v>712.59749999999985</v>
      </c>
      <c r="K1288" s="19">
        <f t="shared" si="100"/>
        <v>767114.23519999988</v>
      </c>
      <c r="L1288" s="22">
        <f t="shared" si="101"/>
        <v>1074.3896851540615</v>
      </c>
      <c r="M1288" s="22">
        <f t="shared" si="102"/>
        <v>235</v>
      </c>
      <c r="N1288" s="22" t="str">
        <f t="shared" si="103"/>
        <v>Low Value</v>
      </c>
      <c r="O1288" s="22" t="str">
        <f t="shared" si="104"/>
        <v>Jun-2025</v>
      </c>
      <c r="P1288" s="22" t="s">
        <v>1530</v>
      </c>
      <c r="Q1288" s="22" t="s">
        <v>1531</v>
      </c>
      <c r="R1288" s="22" t="s">
        <v>1137</v>
      </c>
      <c r="S1288" s="22"/>
      <c r="T1288" s="22"/>
      <c r="V1288" s="25" t="s">
        <v>3943</v>
      </c>
      <c r="W1288" s="6">
        <v>14</v>
      </c>
    </row>
    <row r="1289" spans="1:23">
      <c r="A1289" t="s">
        <v>3226</v>
      </c>
      <c r="B1289" s="8">
        <v>45645</v>
      </c>
      <c r="C1289" t="s">
        <v>849</v>
      </c>
      <c r="D1289" t="s">
        <v>1579</v>
      </c>
      <c r="E1289" t="s">
        <v>1889</v>
      </c>
      <c r="F1289">
        <v>3</v>
      </c>
      <c r="G1289" s="10">
        <v>906.99</v>
      </c>
      <c r="H1289" s="13">
        <v>0.26</v>
      </c>
      <c r="I1289" t="s">
        <v>1936</v>
      </c>
      <c r="J1289" s="16">
        <v>2013.5178000000001</v>
      </c>
      <c r="K1289" s="19">
        <f t="shared" si="100"/>
        <v>766401.63769999996</v>
      </c>
      <c r="L1289" s="22">
        <f t="shared" si="101"/>
        <v>1074.8971075736324</v>
      </c>
      <c r="M1289" s="22">
        <f t="shared" si="102"/>
        <v>235</v>
      </c>
      <c r="N1289" s="22" t="str">
        <f t="shared" si="103"/>
        <v>High Value</v>
      </c>
      <c r="O1289" s="22" t="str">
        <f t="shared" si="104"/>
        <v>Dec-2024</v>
      </c>
      <c r="P1289" s="22" t="s">
        <v>1580</v>
      </c>
      <c r="Q1289" s="22" t="s">
        <v>1555</v>
      </c>
      <c r="R1289" s="22" t="s">
        <v>850</v>
      </c>
      <c r="S1289" s="22"/>
      <c r="T1289" s="22"/>
      <c r="V1289" s="26" t="s">
        <v>1936</v>
      </c>
      <c r="W1289" s="6">
        <v>7</v>
      </c>
    </row>
    <row r="1290" spans="1:23">
      <c r="A1290" t="s">
        <v>3227</v>
      </c>
      <c r="B1290" s="8">
        <v>45749</v>
      </c>
      <c r="C1290" t="s">
        <v>255</v>
      </c>
      <c r="D1290" t="s">
        <v>1795</v>
      </c>
      <c r="E1290" t="s">
        <v>1914</v>
      </c>
      <c r="F1290">
        <v>4</v>
      </c>
      <c r="G1290" s="10">
        <v>408.76</v>
      </c>
      <c r="H1290" s="13">
        <v>0.12</v>
      </c>
      <c r="I1290" t="s">
        <v>1936</v>
      </c>
      <c r="J1290" s="16">
        <v>1438.8352</v>
      </c>
      <c r="K1290" s="19">
        <f t="shared" si="100"/>
        <v>764388.11989999993</v>
      </c>
      <c r="L1290" s="22">
        <f t="shared" si="101"/>
        <v>1073.5788200842696</v>
      </c>
      <c r="M1290" s="22">
        <f t="shared" si="102"/>
        <v>235</v>
      </c>
      <c r="N1290" s="22" t="str">
        <f t="shared" si="103"/>
        <v>High Value</v>
      </c>
      <c r="O1290" s="22" t="str">
        <f t="shared" si="104"/>
        <v>Apr-2025</v>
      </c>
      <c r="P1290" s="22" t="s">
        <v>1796</v>
      </c>
      <c r="Q1290" s="22" t="s">
        <v>1560</v>
      </c>
      <c r="R1290" s="22" t="s">
        <v>256</v>
      </c>
      <c r="S1290" s="22"/>
      <c r="T1290" s="22"/>
      <c r="V1290" s="26" t="s">
        <v>1931</v>
      </c>
      <c r="W1290" s="6">
        <v>3</v>
      </c>
    </row>
    <row r="1291" spans="1:23">
      <c r="A1291" t="s">
        <v>3228</v>
      </c>
      <c r="B1291" s="8">
        <v>45537</v>
      </c>
      <c r="C1291" t="s">
        <v>583</v>
      </c>
      <c r="D1291" t="s">
        <v>1658</v>
      </c>
      <c r="E1291" t="s">
        <v>1893</v>
      </c>
      <c r="F1291">
        <v>2</v>
      </c>
      <c r="G1291" s="10">
        <v>117.34</v>
      </c>
      <c r="H1291" s="13">
        <v>0.09</v>
      </c>
      <c r="I1291" t="s">
        <v>1933</v>
      </c>
      <c r="J1291" s="16">
        <v>213.55879999999999</v>
      </c>
      <c r="K1291" s="19">
        <f t="shared" si="100"/>
        <v>762949.28470000008</v>
      </c>
      <c r="L1291" s="22">
        <f t="shared" si="101"/>
        <v>1073.0650980309424</v>
      </c>
      <c r="M1291" s="22">
        <f t="shared" si="102"/>
        <v>235</v>
      </c>
      <c r="N1291" s="22" t="str">
        <f t="shared" si="103"/>
        <v>Low Value</v>
      </c>
      <c r="O1291" s="22" t="str">
        <f t="shared" si="104"/>
        <v>Sep-2024</v>
      </c>
      <c r="P1291" s="22" t="s">
        <v>1659</v>
      </c>
      <c r="Q1291" s="22" t="s">
        <v>1536</v>
      </c>
      <c r="R1291" s="22" t="s">
        <v>584</v>
      </c>
      <c r="S1291" s="22"/>
      <c r="T1291" s="22"/>
      <c r="V1291" s="26" t="s">
        <v>1933</v>
      </c>
      <c r="W1291" s="6">
        <v>4</v>
      </c>
    </row>
    <row r="1292" spans="1:23">
      <c r="A1292" t="s">
        <v>3229</v>
      </c>
      <c r="B1292" s="8">
        <v>45376</v>
      </c>
      <c r="C1292" t="s">
        <v>557</v>
      </c>
      <c r="D1292" t="s">
        <v>1828</v>
      </c>
      <c r="E1292" t="s">
        <v>1906</v>
      </c>
      <c r="F1292">
        <v>3</v>
      </c>
      <c r="G1292" s="10">
        <v>690.27</v>
      </c>
      <c r="H1292" s="13">
        <v>7.0000000000000007E-2</v>
      </c>
      <c r="I1292" t="s">
        <v>1933</v>
      </c>
      <c r="J1292" s="16">
        <v>1925.8533</v>
      </c>
      <c r="K1292" s="19">
        <f t="shared" si="100"/>
        <v>762735.72590000008</v>
      </c>
      <c r="L1292" s="22">
        <f t="shared" si="101"/>
        <v>1074.2756702816903</v>
      </c>
      <c r="M1292" s="22">
        <f t="shared" si="102"/>
        <v>234</v>
      </c>
      <c r="N1292" s="22" t="str">
        <f t="shared" si="103"/>
        <v>High Value</v>
      </c>
      <c r="O1292" s="22" t="str">
        <f t="shared" si="104"/>
        <v>Mar-2024</v>
      </c>
      <c r="P1292" s="22" t="s">
        <v>1829</v>
      </c>
      <c r="Q1292" s="22" t="s">
        <v>1536</v>
      </c>
      <c r="R1292" s="22" t="s">
        <v>558</v>
      </c>
      <c r="S1292" s="22"/>
      <c r="T1292" s="22"/>
      <c r="V1292" s="25" t="s">
        <v>1023</v>
      </c>
      <c r="W1292" s="6">
        <v>8</v>
      </c>
    </row>
    <row r="1293" spans="1:23">
      <c r="A1293" t="s">
        <v>3230</v>
      </c>
      <c r="B1293" s="8">
        <v>45709</v>
      </c>
      <c r="C1293" t="s">
        <v>376</v>
      </c>
      <c r="D1293" t="s">
        <v>1633</v>
      </c>
      <c r="E1293" t="s">
        <v>1914</v>
      </c>
      <c r="F1293">
        <v>4</v>
      </c>
      <c r="G1293" s="10">
        <v>377.18</v>
      </c>
      <c r="H1293" s="13">
        <v>0.24</v>
      </c>
      <c r="I1293" t="s">
        <v>1933</v>
      </c>
      <c r="J1293" s="16">
        <v>1146.6271999999999</v>
      </c>
      <c r="K1293" s="19">
        <f t="shared" si="100"/>
        <v>760809.8726</v>
      </c>
      <c r="L1293" s="22">
        <f t="shared" si="101"/>
        <v>1073.0745734837799</v>
      </c>
      <c r="M1293" s="22">
        <f t="shared" si="102"/>
        <v>233</v>
      </c>
      <c r="N1293" s="22" t="str">
        <f t="shared" si="103"/>
        <v>High Value</v>
      </c>
      <c r="O1293" s="22" t="str">
        <f t="shared" si="104"/>
        <v>Feb-2025</v>
      </c>
      <c r="P1293" s="22" t="s">
        <v>1634</v>
      </c>
      <c r="Q1293" s="22" t="s">
        <v>1569</v>
      </c>
      <c r="R1293" s="22" t="s">
        <v>377</v>
      </c>
      <c r="S1293" s="22"/>
      <c r="T1293" s="22"/>
      <c r="V1293" s="26" t="s">
        <v>1931</v>
      </c>
      <c r="W1293" s="6">
        <v>2</v>
      </c>
    </row>
    <row r="1294" spans="1:23">
      <c r="A1294" t="s">
        <v>3231</v>
      </c>
      <c r="B1294" s="8">
        <v>45446</v>
      </c>
      <c r="C1294" t="s">
        <v>388</v>
      </c>
      <c r="D1294" t="s">
        <v>1672</v>
      </c>
      <c r="E1294" t="s">
        <v>1859</v>
      </c>
      <c r="F1294">
        <v>1</v>
      </c>
      <c r="G1294" s="10">
        <v>70.52</v>
      </c>
      <c r="H1294" s="13">
        <v>0.08</v>
      </c>
      <c r="I1294" t="s">
        <v>1936</v>
      </c>
      <c r="J1294" s="16">
        <v>64.878399999999999</v>
      </c>
      <c r="K1294" s="19">
        <f t="shared" si="100"/>
        <v>759663.24540000001</v>
      </c>
      <c r="L1294" s="22">
        <f t="shared" si="101"/>
        <v>1072.9706855932204</v>
      </c>
      <c r="M1294" s="22">
        <f t="shared" si="102"/>
        <v>232</v>
      </c>
      <c r="N1294" s="22" t="str">
        <f t="shared" si="103"/>
        <v>Low Value</v>
      </c>
      <c r="O1294" s="22" t="str">
        <f t="shared" si="104"/>
        <v>Jun-2024</v>
      </c>
      <c r="P1294" s="22" t="s">
        <v>1673</v>
      </c>
      <c r="Q1294" s="22" t="s">
        <v>1531</v>
      </c>
      <c r="R1294" s="22" t="s">
        <v>389</v>
      </c>
      <c r="S1294" s="22"/>
      <c r="T1294" s="22"/>
      <c r="V1294" s="26" t="s">
        <v>1933</v>
      </c>
      <c r="W1294" s="6">
        <v>6</v>
      </c>
    </row>
    <row r="1295" spans="1:23">
      <c r="A1295" t="s">
        <v>3232</v>
      </c>
      <c r="B1295" s="8">
        <v>45330</v>
      </c>
      <c r="C1295" t="s">
        <v>874</v>
      </c>
      <c r="D1295" t="s">
        <v>1665</v>
      </c>
      <c r="E1295" t="s">
        <v>1893</v>
      </c>
      <c r="F1295">
        <v>1</v>
      </c>
      <c r="G1295" s="10">
        <v>40.25</v>
      </c>
      <c r="H1295" s="13">
        <v>0.1</v>
      </c>
      <c r="I1295" t="s">
        <v>1933</v>
      </c>
      <c r="J1295" s="16">
        <v>36.225000000000001</v>
      </c>
      <c r="K1295" s="19">
        <f t="shared" si="100"/>
        <v>759598.3670000002</v>
      </c>
      <c r="L1295" s="22">
        <f t="shared" si="101"/>
        <v>1074.3965586987274</v>
      </c>
      <c r="M1295" s="22">
        <f t="shared" si="102"/>
        <v>232</v>
      </c>
      <c r="N1295" s="22" t="str">
        <f t="shared" si="103"/>
        <v>Low Value</v>
      </c>
      <c r="O1295" s="22" t="str">
        <f t="shared" si="104"/>
        <v>Feb-2024</v>
      </c>
      <c r="P1295" s="22" t="s">
        <v>1666</v>
      </c>
      <c r="Q1295" s="22" t="s">
        <v>1569</v>
      </c>
      <c r="R1295" s="22" t="s">
        <v>875</v>
      </c>
      <c r="S1295" s="22"/>
      <c r="T1295" s="22"/>
      <c r="V1295" s="25" t="s">
        <v>961</v>
      </c>
      <c r="W1295" s="6">
        <v>11</v>
      </c>
    </row>
    <row r="1296" spans="1:23">
      <c r="A1296" t="s">
        <v>3233</v>
      </c>
      <c r="B1296" s="8">
        <v>45388</v>
      </c>
      <c r="C1296" t="s">
        <v>747</v>
      </c>
      <c r="D1296" t="s">
        <v>1822</v>
      </c>
      <c r="E1296" t="s">
        <v>1899</v>
      </c>
      <c r="F1296">
        <v>3</v>
      </c>
      <c r="G1296" s="10">
        <v>539.44000000000005</v>
      </c>
      <c r="H1296" s="13">
        <v>0.05</v>
      </c>
      <c r="I1296" t="s">
        <v>1936</v>
      </c>
      <c r="J1296" s="16">
        <v>1537.404</v>
      </c>
      <c r="K1296" s="19">
        <f t="shared" si="100"/>
        <v>759562.14200000011</v>
      </c>
      <c r="L1296" s="22">
        <f t="shared" si="101"/>
        <v>1075.8670566572239</v>
      </c>
      <c r="M1296" s="22">
        <f t="shared" si="102"/>
        <v>231</v>
      </c>
      <c r="N1296" s="22" t="str">
        <f t="shared" si="103"/>
        <v>High Value</v>
      </c>
      <c r="O1296" s="22" t="str">
        <f t="shared" si="104"/>
        <v>Apr-2024</v>
      </c>
      <c r="P1296" s="22" t="s">
        <v>1823</v>
      </c>
      <c r="Q1296" s="22" t="s">
        <v>1555</v>
      </c>
      <c r="R1296" s="22" t="s">
        <v>748</v>
      </c>
      <c r="S1296" s="22"/>
      <c r="T1296" s="22"/>
      <c r="V1296" s="26" t="s">
        <v>1936</v>
      </c>
      <c r="W1296" s="6">
        <v>6</v>
      </c>
    </row>
    <row r="1297" spans="1:23">
      <c r="A1297" t="s">
        <v>3234</v>
      </c>
      <c r="B1297" s="8">
        <v>45313</v>
      </c>
      <c r="C1297" t="s">
        <v>792</v>
      </c>
      <c r="D1297" t="s">
        <v>1734</v>
      </c>
      <c r="E1297" t="s">
        <v>1876</v>
      </c>
      <c r="F1297">
        <v>3</v>
      </c>
      <c r="G1297" s="10">
        <v>543.49</v>
      </c>
      <c r="H1297" s="13">
        <v>0.05</v>
      </c>
      <c r="I1297" t="s">
        <v>1933</v>
      </c>
      <c r="J1297" s="16">
        <v>1548.9465</v>
      </c>
      <c r="K1297" s="19">
        <f t="shared" si="100"/>
        <v>758024.73800000001</v>
      </c>
      <c r="L1297" s="22">
        <f t="shared" si="101"/>
        <v>1075.2123943262411</v>
      </c>
      <c r="M1297" s="22">
        <f t="shared" si="102"/>
        <v>231</v>
      </c>
      <c r="N1297" s="22" t="str">
        <f t="shared" si="103"/>
        <v>High Value</v>
      </c>
      <c r="O1297" s="22" t="str">
        <f t="shared" si="104"/>
        <v>Jan-2024</v>
      </c>
      <c r="P1297" s="22" t="s">
        <v>1735</v>
      </c>
      <c r="Q1297" s="22" t="s">
        <v>1555</v>
      </c>
      <c r="R1297" s="22" t="s">
        <v>793</v>
      </c>
      <c r="S1297" s="22"/>
      <c r="T1297" s="22"/>
      <c r="V1297" s="26" t="s">
        <v>1931</v>
      </c>
      <c r="W1297" s="6">
        <v>1</v>
      </c>
    </row>
    <row r="1298" spans="1:23">
      <c r="A1298" t="s">
        <v>3235</v>
      </c>
      <c r="B1298" s="8">
        <v>45221</v>
      </c>
      <c r="C1298" t="s">
        <v>1017</v>
      </c>
      <c r="D1298" t="s">
        <v>1558</v>
      </c>
      <c r="E1298" t="s">
        <v>1883</v>
      </c>
      <c r="F1298">
        <v>4</v>
      </c>
      <c r="G1298" s="10">
        <v>547.21</v>
      </c>
      <c r="H1298" s="13">
        <v>0.1</v>
      </c>
      <c r="I1298" t="s">
        <v>1936</v>
      </c>
      <c r="J1298" s="16">
        <v>1969.9559999999999</v>
      </c>
      <c r="K1298" s="19">
        <f t="shared" si="100"/>
        <v>756475.79149999993</v>
      </c>
      <c r="L1298" s="22">
        <f t="shared" si="101"/>
        <v>1074.5394765624999</v>
      </c>
      <c r="M1298" s="22">
        <f t="shared" si="102"/>
        <v>230</v>
      </c>
      <c r="N1298" s="22" t="str">
        <f t="shared" si="103"/>
        <v>High Value</v>
      </c>
      <c r="O1298" s="22" t="str">
        <f t="shared" si="104"/>
        <v>Oct-2023</v>
      </c>
      <c r="P1298" s="22" t="s">
        <v>1559</v>
      </c>
      <c r="Q1298" s="22" t="s">
        <v>1560</v>
      </c>
      <c r="R1298" s="22" t="s">
        <v>3953</v>
      </c>
      <c r="S1298" s="22"/>
      <c r="T1298" s="22"/>
      <c r="V1298" s="26" t="s">
        <v>1933</v>
      </c>
      <c r="W1298" s="6">
        <v>4</v>
      </c>
    </row>
    <row r="1299" spans="1:23">
      <c r="A1299" t="s">
        <v>3236</v>
      </c>
      <c r="B1299" s="8">
        <v>45619</v>
      </c>
      <c r="C1299" t="s">
        <v>774</v>
      </c>
      <c r="D1299" t="s">
        <v>1749</v>
      </c>
      <c r="E1299" t="s">
        <v>1864</v>
      </c>
      <c r="F1299">
        <v>2</v>
      </c>
      <c r="G1299" s="10">
        <v>892.46</v>
      </c>
      <c r="H1299" s="13">
        <v>7.0000000000000007E-2</v>
      </c>
      <c r="I1299" t="s">
        <v>1933</v>
      </c>
      <c r="J1299" s="16">
        <v>1659.9756</v>
      </c>
      <c r="K1299" s="19">
        <f t="shared" si="100"/>
        <v>754505.83549999993</v>
      </c>
      <c r="L1299" s="22">
        <f t="shared" si="101"/>
        <v>1073.265768847795</v>
      </c>
      <c r="M1299" s="22">
        <f t="shared" si="102"/>
        <v>230</v>
      </c>
      <c r="N1299" s="22" t="str">
        <f t="shared" si="103"/>
        <v>High Value</v>
      </c>
      <c r="O1299" s="22" t="str">
        <f t="shared" si="104"/>
        <v>Nov-2024</v>
      </c>
      <c r="P1299" s="22" t="s">
        <v>1750</v>
      </c>
      <c r="Q1299" s="22" t="s">
        <v>1569</v>
      </c>
      <c r="R1299" s="22" t="s">
        <v>775</v>
      </c>
      <c r="S1299" s="22"/>
      <c r="T1299" s="22"/>
      <c r="V1299" s="25" t="s">
        <v>686</v>
      </c>
      <c r="W1299" s="6">
        <v>16</v>
      </c>
    </row>
    <row r="1300" spans="1:23">
      <c r="A1300" t="s">
        <v>3237</v>
      </c>
      <c r="B1300" s="8">
        <v>45286</v>
      </c>
      <c r="C1300" t="s">
        <v>1202</v>
      </c>
      <c r="D1300" t="s">
        <v>1627</v>
      </c>
      <c r="E1300" t="s">
        <v>1889</v>
      </c>
      <c r="F1300">
        <v>2</v>
      </c>
      <c r="G1300" s="10">
        <v>853.41</v>
      </c>
      <c r="H1300" s="13">
        <v>0.25</v>
      </c>
      <c r="I1300" t="s">
        <v>1931</v>
      </c>
      <c r="J1300" s="16">
        <v>1280.115</v>
      </c>
      <c r="K1300" s="19">
        <f t="shared" si="100"/>
        <v>752845.85989999992</v>
      </c>
      <c r="L1300" s="22">
        <f t="shared" si="101"/>
        <v>1072.4299998575498</v>
      </c>
      <c r="M1300" s="22">
        <f t="shared" si="102"/>
        <v>229</v>
      </c>
      <c r="N1300" s="22" t="str">
        <f t="shared" si="103"/>
        <v>High Value</v>
      </c>
      <c r="O1300" s="22" t="str">
        <f t="shared" si="104"/>
        <v>Dec-2023</v>
      </c>
      <c r="P1300" s="22" t="s">
        <v>1628</v>
      </c>
      <c r="Q1300" s="22" t="s">
        <v>1531</v>
      </c>
      <c r="R1300" s="22" t="s">
        <v>1203</v>
      </c>
      <c r="S1300" s="22"/>
      <c r="T1300" s="22"/>
      <c r="V1300" s="26" t="s">
        <v>1936</v>
      </c>
      <c r="W1300" s="6">
        <v>15</v>
      </c>
    </row>
    <row r="1301" spans="1:23">
      <c r="A1301" t="s">
        <v>3238</v>
      </c>
      <c r="B1301" s="8">
        <v>45451</v>
      </c>
      <c r="C1301" t="s">
        <v>382</v>
      </c>
      <c r="D1301" t="s">
        <v>1801</v>
      </c>
      <c r="E1301" t="s">
        <v>1886</v>
      </c>
      <c r="F1301">
        <v>1</v>
      </c>
      <c r="G1301" s="10">
        <v>162.13999999999999</v>
      </c>
      <c r="H1301" s="13">
        <v>7.0000000000000007E-2</v>
      </c>
      <c r="I1301" t="s">
        <v>1933</v>
      </c>
      <c r="J1301" s="16">
        <v>150.7902</v>
      </c>
      <c r="K1301" s="19">
        <f t="shared" si="100"/>
        <v>751565.74490000017</v>
      </c>
      <c r="L1301" s="22">
        <f t="shared" si="101"/>
        <v>1072.1337302425109</v>
      </c>
      <c r="M1301" s="22">
        <f t="shared" si="102"/>
        <v>229</v>
      </c>
      <c r="N1301" s="22" t="str">
        <f t="shared" si="103"/>
        <v>Low Value</v>
      </c>
      <c r="O1301" s="22" t="str">
        <f t="shared" si="104"/>
        <v>Jun-2024</v>
      </c>
      <c r="P1301" s="22" t="s">
        <v>1802</v>
      </c>
      <c r="Q1301" s="22" t="s">
        <v>1569</v>
      </c>
      <c r="R1301" s="22" t="s">
        <v>383</v>
      </c>
      <c r="S1301" s="22"/>
      <c r="T1301" s="22"/>
      <c r="V1301" s="26" t="s">
        <v>1933</v>
      </c>
      <c r="W1301" s="6">
        <v>1</v>
      </c>
    </row>
    <row r="1302" spans="1:23">
      <c r="A1302" t="s">
        <v>3239</v>
      </c>
      <c r="B1302" s="8">
        <v>45478</v>
      </c>
      <c r="C1302" t="s">
        <v>494</v>
      </c>
      <c r="D1302" t="s">
        <v>1843</v>
      </c>
      <c r="E1302" t="s">
        <v>1911</v>
      </c>
      <c r="F1302">
        <v>1</v>
      </c>
      <c r="G1302" s="10">
        <v>893.14</v>
      </c>
      <c r="H1302" s="13">
        <v>0.09</v>
      </c>
      <c r="I1302" t="s">
        <v>1931</v>
      </c>
      <c r="J1302" s="16">
        <v>812.75739999999996</v>
      </c>
      <c r="K1302" s="19">
        <f t="shared" si="100"/>
        <v>751414.9547</v>
      </c>
      <c r="L1302" s="22">
        <f t="shared" si="101"/>
        <v>1073.4499352857142</v>
      </c>
      <c r="M1302" s="22">
        <f t="shared" si="102"/>
        <v>228</v>
      </c>
      <c r="N1302" s="22" t="str">
        <f t="shared" si="103"/>
        <v>Low Value</v>
      </c>
      <c r="O1302" s="22" t="str">
        <f t="shared" si="104"/>
        <v>Jul-2024</v>
      </c>
      <c r="P1302" s="22" t="s">
        <v>1844</v>
      </c>
      <c r="Q1302" s="22" t="s">
        <v>1536</v>
      </c>
      <c r="R1302" s="22" t="s">
        <v>495</v>
      </c>
      <c r="S1302" s="22"/>
      <c r="T1302" s="22"/>
      <c r="V1302" s="25" t="s">
        <v>671</v>
      </c>
      <c r="W1302" s="6">
        <v>6</v>
      </c>
    </row>
    <row r="1303" spans="1:23">
      <c r="A1303" t="s">
        <v>3240</v>
      </c>
      <c r="B1303" s="8">
        <v>45528</v>
      </c>
      <c r="C1303" t="s">
        <v>361</v>
      </c>
      <c r="D1303" t="s">
        <v>1652</v>
      </c>
      <c r="E1303" t="s">
        <v>1889</v>
      </c>
      <c r="F1303">
        <v>4</v>
      </c>
      <c r="G1303" s="10">
        <v>349.07</v>
      </c>
      <c r="H1303" s="13">
        <v>0.28000000000000003</v>
      </c>
      <c r="I1303" t="s">
        <v>1931</v>
      </c>
      <c r="J1303" s="16">
        <v>1005.3216</v>
      </c>
      <c r="K1303" s="19">
        <f t="shared" si="100"/>
        <v>750602.19730000023</v>
      </c>
      <c r="L1303" s="22">
        <f t="shared" si="101"/>
        <v>1073.8228859799717</v>
      </c>
      <c r="M1303" s="22">
        <f t="shared" si="102"/>
        <v>228</v>
      </c>
      <c r="N1303" s="22" t="str">
        <f t="shared" si="103"/>
        <v>High Value</v>
      </c>
      <c r="O1303" s="22" t="str">
        <f t="shared" si="104"/>
        <v>Aug-2024</v>
      </c>
      <c r="P1303" s="22" t="s">
        <v>1653</v>
      </c>
      <c r="Q1303" s="22" t="s">
        <v>1531</v>
      </c>
      <c r="R1303" s="22" t="s">
        <v>362</v>
      </c>
      <c r="S1303" s="22"/>
      <c r="T1303" s="22"/>
      <c r="V1303" s="26" t="s">
        <v>1936</v>
      </c>
      <c r="W1303" s="6">
        <v>1</v>
      </c>
    </row>
    <row r="1304" spans="1:23">
      <c r="A1304" t="s">
        <v>3241</v>
      </c>
      <c r="B1304" s="8">
        <v>45418</v>
      </c>
      <c r="C1304" t="s">
        <v>898</v>
      </c>
      <c r="D1304" t="s">
        <v>1798</v>
      </c>
      <c r="E1304" t="s">
        <v>1904</v>
      </c>
      <c r="F1304">
        <v>1</v>
      </c>
      <c r="G1304" s="10">
        <v>747.9</v>
      </c>
      <c r="H1304" s="13">
        <v>0.21</v>
      </c>
      <c r="I1304" t="s">
        <v>1936</v>
      </c>
      <c r="J1304" s="16">
        <v>590.84100000000001</v>
      </c>
      <c r="K1304" s="19">
        <f t="shared" si="100"/>
        <v>749596.87570000009</v>
      </c>
      <c r="L1304" s="22">
        <f t="shared" si="101"/>
        <v>1073.9210253581664</v>
      </c>
      <c r="M1304" s="22">
        <f t="shared" si="102"/>
        <v>228</v>
      </c>
      <c r="N1304" s="22" t="str">
        <f t="shared" si="103"/>
        <v>Low Value</v>
      </c>
      <c r="O1304" s="22" t="str">
        <f t="shared" si="104"/>
        <v>May-2024</v>
      </c>
      <c r="P1304" s="22" t="s">
        <v>1799</v>
      </c>
      <c r="Q1304" s="22" t="s">
        <v>1569</v>
      </c>
      <c r="R1304" s="22" t="s">
        <v>899</v>
      </c>
      <c r="S1304" s="22"/>
      <c r="T1304" s="22"/>
      <c r="V1304" s="26" t="s">
        <v>1933</v>
      </c>
      <c r="W1304" s="6">
        <v>5</v>
      </c>
    </row>
    <row r="1305" spans="1:23">
      <c r="A1305" t="s">
        <v>3242</v>
      </c>
      <c r="B1305" s="8">
        <v>45478</v>
      </c>
      <c r="C1305" t="s">
        <v>127</v>
      </c>
      <c r="D1305" t="s">
        <v>1798</v>
      </c>
      <c r="E1305" t="s">
        <v>1883</v>
      </c>
      <c r="F1305">
        <v>3</v>
      </c>
      <c r="G1305" s="10">
        <v>438.92</v>
      </c>
      <c r="H1305" s="13">
        <v>0.21</v>
      </c>
      <c r="I1305" t="s">
        <v>1931</v>
      </c>
      <c r="J1305" s="16">
        <v>1040.2403999999999</v>
      </c>
      <c r="K1305" s="19">
        <f t="shared" si="100"/>
        <v>749006.03470000008</v>
      </c>
      <c r="L1305" s="22">
        <f t="shared" si="101"/>
        <v>1074.6141100430418</v>
      </c>
      <c r="M1305" s="22">
        <f t="shared" si="102"/>
        <v>228</v>
      </c>
      <c r="N1305" s="22" t="str">
        <f t="shared" si="103"/>
        <v>High Value</v>
      </c>
      <c r="O1305" s="22" t="str">
        <f t="shared" si="104"/>
        <v>Jul-2024</v>
      </c>
      <c r="P1305" s="22" t="s">
        <v>1799</v>
      </c>
      <c r="Q1305" s="22" t="s">
        <v>1569</v>
      </c>
      <c r="R1305" s="22" t="s">
        <v>128</v>
      </c>
      <c r="S1305" s="22"/>
      <c r="T1305" s="22"/>
      <c r="V1305" s="25" t="s">
        <v>1425</v>
      </c>
      <c r="W1305" s="6">
        <v>2</v>
      </c>
    </row>
    <row r="1306" spans="1:23">
      <c r="A1306" t="s">
        <v>3243</v>
      </c>
      <c r="B1306" s="8">
        <v>45232</v>
      </c>
      <c r="C1306" t="s">
        <v>421</v>
      </c>
      <c r="D1306" t="s">
        <v>1786</v>
      </c>
      <c r="E1306" t="s">
        <v>1876</v>
      </c>
      <c r="F1306">
        <v>4</v>
      </c>
      <c r="G1306" s="10">
        <v>665.38</v>
      </c>
      <c r="H1306" s="13">
        <v>0.18</v>
      </c>
      <c r="I1306" t="s">
        <v>1931</v>
      </c>
      <c r="J1306" s="16">
        <v>2182.4463999999998</v>
      </c>
      <c r="K1306" s="19">
        <f t="shared" si="100"/>
        <v>747965.79430000007</v>
      </c>
      <c r="L1306" s="22">
        <f t="shared" si="101"/>
        <v>1074.6634975574714</v>
      </c>
      <c r="M1306" s="22">
        <f t="shared" si="102"/>
        <v>228</v>
      </c>
      <c r="N1306" s="22" t="str">
        <f t="shared" si="103"/>
        <v>High Value</v>
      </c>
      <c r="O1306" s="22" t="str">
        <f t="shared" si="104"/>
        <v>Nov-2023</v>
      </c>
      <c r="P1306" s="22" t="s">
        <v>1787</v>
      </c>
      <c r="Q1306" s="22" t="s">
        <v>1531</v>
      </c>
      <c r="R1306" s="22" t="s">
        <v>422</v>
      </c>
      <c r="S1306" s="22"/>
      <c r="T1306" s="22"/>
      <c r="V1306" s="26" t="s">
        <v>1933</v>
      </c>
      <c r="W1306" s="6">
        <v>2</v>
      </c>
    </row>
    <row r="1307" spans="1:23">
      <c r="A1307" t="s">
        <v>3244</v>
      </c>
      <c r="B1307" s="8">
        <v>45616</v>
      </c>
      <c r="C1307" t="s">
        <v>22</v>
      </c>
      <c r="D1307" t="s">
        <v>1734</v>
      </c>
      <c r="E1307" t="s">
        <v>1917</v>
      </c>
      <c r="F1307">
        <v>1</v>
      </c>
      <c r="G1307" s="10">
        <v>146.49</v>
      </c>
      <c r="H1307" s="13">
        <v>0.28000000000000003</v>
      </c>
      <c r="I1307" t="s">
        <v>1931</v>
      </c>
      <c r="J1307" s="16">
        <v>105.47280000000001</v>
      </c>
      <c r="K1307" s="19">
        <f t="shared" si="100"/>
        <v>745783.34790000005</v>
      </c>
      <c r="L1307" s="22">
        <f t="shared" si="101"/>
        <v>1073.069565323741</v>
      </c>
      <c r="M1307" s="22">
        <f t="shared" si="102"/>
        <v>228</v>
      </c>
      <c r="N1307" s="22" t="str">
        <f t="shared" si="103"/>
        <v>Low Value</v>
      </c>
      <c r="O1307" s="22" t="str">
        <f t="shared" si="104"/>
        <v>Nov-2024</v>
      </c>
      <c r="P1307" s="22" t="s">
        <v>1735</v>
      </c>
      <c r="Q1307" s="22" t="s">
        <v>1555</v>
      </c>
      <c r="R1307" s="22" t="s">
        <v>3941</v>
      </c>
      <c r="S1307" s="22"/>
      <c r="T1307" s="22"/>
      <c r="V1307" s="25" t="s">
        <v>253</v>
      </c>
      <c r="W1307" s="6">
        <v>10</v>
      </c>
    </row>
    <row r="1308" spans="1:23">
      <c r="A1308" t="s">
        <v>3245</v>
      </c>
      <c r="B1308" s="8">
        <v>45774</v>
      </c>
      <c r="C1308" t="s">
        <v>470</v>
      </c>
      <c r="D1308" t="s">
        <v>1665</v>
      </c>
      <c r="E1308" t="s">
        <v>1908</v>
      </c>
      <c r="F1308">
        <v>2</v>
      </c>
      <c r="G1308" s="10">
        <v>235.39</v>
      </c>
      <c r="H1308" s="13">
        <v>0.27</v>
      </c>
      <c r="I1308" t="s">
        <v>1936</v>
      </c>
      <c r="J1308" s="16">
        <v>343.6694</v>
      </c>
      <c r="K1308" s="19">
        <f t="shared" si="100"/>
        <v>745677.87509999995</v>
      </c>
      <c r="L1308" s="22">
        <f t="shared" si="101"/>
        <v>1074.4637969740634</v>
      </c>
      <c r="M1308" s="22">
        <f t="shared" si="102"/>
        <v>228</v>
      </c>
      <c r="N1308" s="22" t="str">
        <f t="shared" si="103"/>
        <v>Low Value</v>
      </c>
      <c r="O1308" s="22" t="str">
        <f t="shared" si="104"/>
        <v>Apr-2025</v>
      </c>
      <c r="P1308" s="22" t="s">
        <v>1666</v>
      </c>
      <c r="Q1308" s="22" t="s">
        <v>1569</v>
      </c>
      <c r="R1308" s="22" t="s">
        <v>471</v>
      </c>
      <c r="S1308" s="22"/>
      <c r="T1308" s="22"/>
      <c r="V1308" s="26" t="s">
        <v>1931</v>
      </c>
      <c r="W1308" s="6">
        <v>8</v>
      </c>
    </row>
    <row r="1309" spans="1:23">
      <c r="A1309" t="s">
        <v>3246</v>
      </c>
      <c r="B1309" s="8">
        <v>45651</v>
      </c>
      <c r="C1309" t="s">
        <v>118</v>
      </c>
      <c r="D1309" t="s">
        <v>1737</v>
      </c>
      <c r="E1309" t="s">
        <v>1880</v>
      </c>
      <c r="F1309">
        <v>3</v>
      </c>
      <c r="G1309" s="10">
        <v>38.07</v>
      </c>
      <c r="H1309" s="13">
        <v>0.09</v>
      </c>
      <c r="I1309" t="s">
        <v>1933</v>
      </c>
      <c r="J1309" s="16">
        <v>103.9311</v>
      </c>
      <c r="K1309" s="19">
        <f t="shared" si="100"/>
        <v>745334.20570000017</v>
      </c>
      <c r="L1309" s="22">
        <f t="shared" si="101"/>
        <v>1075.5183343434346</v>
      </c>
      <c r="M1309" s="22">
        <f t="shared" si="102"/>
        <v>228</v>
      </c>
      <c r="N1309" s="22" t="str">
        <f t="shared" si="103"/>
        <v>Low Value</v>
      </c>
      <c r="O1309" s="22" t="str">
        <f t="shared" si="104"/>
        <v>Dec-2024</v>
      </c>
      <c r="P1309" s="22" t="s">
        <v>1738</v>
      </c>
      <c r="Q1309" s="22" t="s">
        <v>1569</v>
      </c>
      <c r="R1309" s="22" t="s">
        <v>119</v>
      </c>
      <c r="S1309" s="22"/>
      <c r="T1309" s="22"/>
      <c r="V1309" s="26" t="s">
        <v>1933</v>
      </c>
      <c r="W1309" s="6">
        <v>2</v>
      </c>
    </row>
    <row r="1310" spans="1:23">
      <c r="A1310" t="s">
        <v>3247</v>
      </c>
      <c r="B1310" s="8">
        <v>45902</v>
      </c>
      <c r="C1310" t="s">
        <v>1247</v>
      </c>
      <c r="D1310" t="s">
        <v>1652</v>
      </c>
      <c r="E1310" t="s">
        <v>1876</v>
      </c>
      <c r="F1310">
        <v>2</v>
      </c>
      <c r="G1310" s="10">
        <v>511.7</v>
      </c>
      <c r="H1310" s="13">
        <v>0.12</v>
      </c>
      <c r="I1310" t="s">
        <v>1936</v>
      </c>
      <c r="J1310" s="16">
        <v>900.59199999999998</v>
      </c>
      <c r="K1310" s="19">
        <f t="shared" si="100"/>
        <v>745230.2746</v>
      </c>
      <c r="L1310" s="22">
        <f t="shared" si="101"/>
        <v>1076.9223621387284</v>
      </c>
      <c r="M1310" s="22">
        <f t="shared" si="102"/>
        <v>227</v>
      </c>
      <c r="N1310" s="22" t="str">
        <f t="shared" si="103"/>
        <v>Low Value</v>
      </c>
      <c r="O1310" s="22" t="str">
        <f t="shared" si="104"/>
        <v>Sep-2025</v>
      </c>
      <c r="P1310" s="22" t="s">
        <v>1653</v>
      </c>
      <c r="Q1310" s="22" t="s">
        <v>1531</v>
      </c>
      <c r="R1310" s="22" t="s">
        <v>1248</v>
      </c>
      <c r="S1310" s="22"/>
      <c r="T1310" s="22"/>
      <c r="V1310" s="25" t="s">
        <v>831</v>
      </c>
      <c r="W1310" s="6">
        <v>5</v>
      </c>
    </row>
    <row r="1311" spans="1:23">
      <c r="A1311" t="s">
        <v>3248</v>
      </c>
      <c r="B1311" s="8">
        <v>45401</v>
      </c>
      <c r="C1311" t="s">
        <v>327</v>
      </c>
      <c r="D1311" t="s">
        <v>1780</v>
      </c>
      <c r="E1311" t="s">
        <v>1889</v>
      </c>
      <c r="F1311">
        <v>4</v>
      </c>
      <c r="G1311" s="10">
        <v>488.72</v>
      </c>
      <c r="H1311" s="13">
        <v>0.23</v>
      </c>
      <c r="I1311" t="s">
        <v>1933</v>
      </c>
      <c r="J1311" s="16">
        <v>1505.2575999999999</v>
      </c>
      <c r="K1311" s="19">
        <f t="shared" si="100"/>
        <v>744329.68260000017</v>
      </c>
      <c r="L1311" s="22">
        <f t="shared" si="101"/>
        <v>1077.1775435600582</v>
      </c>
      <c r="M1311" s="22">
        <f t="shared" si="102"/>
        <v>227</v>
      </c>
      <c r="N1311" s="22" t="str">
        <f t="shared" si="103"/>
        <v>High Value</v>
      </c>
      <c r="O1311" s="22" t="str">
        <f t="shared" si="104"/>
        <v>Apr-2024</v>
      </c>
      <c r="P1311" s="22" t="s">
        <v>1781</v>
      </c>
      <c r="Q1311" s="22" t="s">
        <v>1536</v>
      </c>
      <c r="R1311" s="22" t="s">
        <v>328</v>
      </c>
      <c r="S1311" s="22"/>
      <c r="T1311" s="22"/>
      <c r="V1311" s="26" t="s">
        <v>1931</v>
      </c>
      <c r="W1311" s="6">
        <v>1</v>
      </c>
    </row>
    <row r="1312" spans="1:23">
      <c r="A1312" t="s">
        <v>3249</v>
      </c>
      <c r="B1312" s="8">
        <v>45717</v>
      </c>
      <c r="C1312" t="s">
        <v>1214</v>
      </c>
      <c r="D1312" t="s">
        <v>1704</v>
      </c>
      <c r="E1312" t="s">
        <v>1901</v>
      </c>
      <c r="F1312">
        <v>2</v>
      </c>
      <c r="G1312" s="10">
        <v>520.45000000000005</v>
      </c>
      <c r="H1312" s="13">
        <v>0.11</v>
      </c>
      <c r="I1312" t="s">
        <v>1936</v>
      </c>
      <c r="J1312" s="16">
        <v>926.40100000000007</v>
      </c>
      <c r="K1312" s="19">
        <f t="shared" si="100"/>
        <v>742824.42500000016</v>
      </c>
      <c r="L1312" s="22">
        <f t="shared" si="101"/>
        <v>1076.5571376811597</v>
      </c>
      <c r="M1312" s="22">
        <f t="shared" si="102"/>
        <v>226</v>
      </c>
      <c r="N1312" s="22" t="str">
        <f t="shared" si="103"/>
        <v>Low Value</v>
      </c>
      <c r="O1312" s="22" t="str">
        <f t="shared" si="104"/>
        <v>Mar-2025</v>
      </c>
      <c r="P1312" s="22" t="s">
        <v>1705</v>
      </c>
      <c r="Q1312" s="22" t="s">
        <v>1569</v>
      </c>
      <c r="R1312" s="22" t="s">
        <v>1215</v>
      </c>
      <c r="S1312" s="22"/>
      <c r="T1312" s="22"/>
      <c r="V1312" s="26" t="s">
        <v>1933</v>
      </c>
      <c r="W1312" s="6">
        <v>4</v>
      </c>
    </row>
    <row r="1313" spans="1:23">
      <c r="A1313" t="s">
        <v>3250</v>
      </c>
      <c r="B1313" s="8">
        <v>45376</v>
      </c>
      <c r="C1313" t="s">
        <v>1331</v>
      </c>
      <c r="D1313" t="s">
        <v>1697</v>
      </c>
      <c r="E1313" t="s">
        <v>1880</v>
      </c>
      <c r="F1313">
        <v>1</v>
      </c>
      <c r="G1313" s="10">
        <v>340.9</v>
      </c>
      <c r="H1313" s="13">
        <v>0.28999999999999998</v>
      </c>
      <c r="I1313" t="s">
        <v>1931</v>
      </c>
      <c r="J1313" s="16">
        <v>242.03899999999999</v>
      </c>
      <c r="K1313" s="19">
        <f t="shared" si="100"/>
        <v>741898.02400000009</v>
      </c>
      <c r="L1313" s="22">
        <f t="shared" si="101"/>
        <v>1076.7750711175618</v>
      </c>
      <c r="M1313" s="22">
        <f t="shared" si="102"/>
        <v>226</v>
      </c>
      <c r="N1313" s="22" t="str">
        <f t="shared" si="103"/>
        <v>Low Value</v>
      </c>
      <c r="O1313" s="22" t="str">
        <f t="shared" si="104"/>
        <v>Mar-2024</v>
      </c>
      <c r="P1313" s="22" t="s">
        <v>1698</v>
      </c>
      <c r="Q1313" s="22" t="s">
        <v>1531</v>
      </c>
      <c r="R1313" s="22" t="s">
        <v>1332</v>
      </c>
      <c r="S1313" s="22"/>
      <c r="T1313" s="22"/>
      <c r="V1313" s="25" t="s">
        <v>395</v>
      </c>
      <c r="W1313" s="6">
        <v>7</v>
      </c>
    </row>
    <row r="1314" spans="1:23">
      <c r="A1314" t="s">
        <v>3251</v>
      </c>
      <c r="B1314" s="8">
        <v>45576</v>
      </c>
      <c r="C1314" t="s">
        <v>1082</v>
      </c>
      <c r="D1314" t="s">
        <v>1642</v>
      </c>
      <c r="E1314" t="s">
        <v>1889</v>
      </c>
      <c r="F1314">
        <v>3</v>
      </c>
      <c r="G1314" s="10">
        <v>653.59</v>
      </c>
      <c r="H1314" s="13">
        <v>0.17</v>
      </c>
      <c r="I1314" t="s">
        <v>1936</v>
      </c>
      <c r="J1314" s="16">
        <v>1627.4391000000001</v>
      </c>
      <c r="K1314" s="19">
        <f t="shared" si="100"/>
        <v>741655.9850000001</v>
      </c>
      <c r="L1314" s="22">
        <f t="shared" si="101"/>
        <v>1077.9883502906978</v>
      </c>
      <c r="M1314" s="22">
        <f t="shared" si="102"/>
        <v>226</v>
      </c>
      <c r="N1314" s="22" t="str">
        <f t="shared" si="103"/>
        <v>High Value</v>
      </c>
      <c r="O1314" s="22" t="str">
        <f t="shared" si="104"/>
        <v>Oct-2024</v>
      </c>
      <c r="P1314" s="22" t="s">
        <v>1643</v>
      </c>
      <c r="Q1314" s="22" t="s">
        <v>1569</v>
      </c>
      <c r="R1314" s="22" t="s">
        <v>1083</v>
      </c>
      <c r="S1314" s="22"/>
      <c r="T1314" s="22"/>
      <c r="V1314" s="26" t="s">
        <v>1936</v>
      </c>
      <c r="W1314" s="6">
        <v>3</v>
      </c>
    </row>
    <row r="1315" spans="1:23">
      <c r="A1315" t="s">
        <v>3252</v>
      </c>
      <c r="B1315" s="8">
        <v>45906</v>
      </c>
      <c r="C1315" t="s">
        <v>93</v>
      </c>
      <c r="D1315" t="s">
        <v>1627</v>
      </c>
      <c r="E1315" t="s">
        <v>1917</v>
      </c>
      <c r="F1315">
        <v>1</v>
      </c>
      <c r="G1315" s="10">
        <v>179.77</v>
      </c>
      <c r="H1315" s="13">
        <v>0.23</v>
      </c>
      <c r="I1315" t="s">
        <v>1936</v>
      </c>
      <c r="J1315" s="16">
        <v>138.4229</v>
      </c>
      <c r="K1315" s="19">
        <f t="shared" si="100"/>
        <v>740028.54590000014</v>
      </c>
      <c r="L1315" s="22">
        <f t="shared" si="101"/>
        <v>1077.1885675400292</v>
      </c>
      <c r="M1315" s="22">
        <f t="shared" si="102"/>
        <v>226</v>
      </c>
      <c r="N1315" s="22" t="str">
        <f t="shared" si="103"/>
        <v>Low Value</v>
      </c>
      <c r="O1315" s="22" t="str">
        <f t="shared" si="104"/>
        <v>Sep-2025</v>
      </c>
      <c r="P1315" s="22" t="s">
        <v>1628</v>
      </c>
      <c r="Q1315" s="22" t="s">
        <v>1531</v>
      </c>
      <c r="R1315" s="22" t="s">
        <v>94</v>
      </c>
      <c r="S1315" s="22"/>
      <c r="T1315" s="22"/>
      <c r="V1315" s="26" t="s">
        <v>1931</v>
      </c>
      <c r="W1315" s="6">
        <v>3</v>
      </c>
    </row>
    <row r="1316" spans="1:23">
      <c r="A1316" t="s">
        <v>3253</v>
      </c>
      <c r="B1316" s="8">
        <v>45523</v>
      </c>
      <c r="C1316" t="s">
        <v>43</v>
      </c>
      <c r="D1316" t="s">
        <v>1529</v>
      </c>
      <c r="E1316" t="s">
        <v>1893</v>
      </c>
      <c r="F1316">
        <v>2</v>
      </c>
      <c r="G1316" s="10">
        <v>943.8</v>
      </c>
      <c r="H1316" s="13">
        <v>0.06</v>
      </c>
      <c r="I1316" t="s">
        <v>1931</v>
      </c>
      <c r="J1316" s="16">
        <v>1774.3440000000001</v>
      </c>
      <c r="K1316" s="19">
        <f t="shared" si="100"/>
        <v>739890.12300000014</v>
      </c>
      <c r="L1316" s="22">
        <f t="shared" si="101"/>
        <v>1078.5570306122452</v>
      </c>
      <c r="M1316" s="22">
        <f t="shared" si="102"/>
        <v>226</v>
      </c>
      <c r="N1316" s="22" t="str">
        <f t="shared" si="103"/>
        <v>High Value</v>
      </c>
      <c r="O1316" s="22" t="str">
        <f t="shared" si="104"/>
        <v>Aug-2024</v>
      </c>
      <c r="P1316" s="22" t="s">
        <v>1530</v>
      </c>
      <c r="Q1316" s="22" t="s">
        <v>1531</v>
      </c>
      <c r="R1316" s="22" t="s">
        <v>44</v>
      </c>
      <c r="S1316" s="22"/>
      <c r="T1316" s="22"/>
      <c r="V1316" s="26" t="s">
        <v>1933</v>
      </c>
      <c r="W1316" s="6">
        <v>1</v>
      </c>
    </row>
    <row r="1317" spans="1:23">
      <c r="A1317" t="s">
        <v>3254</v>
      </c>
      <c r="B1317" s="8">
        <v>45234</v>
      </c>
      <c r="C1317" t="s">
        <v>1265</v>
      </c>
      <c r="D1317" t="s">
        <v>1768</v>
      </c>
      <c r="E1317" t="s">
        <v>1908</v>
      </c>
      <c r="F1317">
        <v>2</v>
      </c>
      <c r="G1317" s="10">
        <v>985</v>
      </c>
      <c r="H1317" s="13">
        <v>0.25</v>
      </c>
      <c r="I1317" t="s">
        <v>1931</v>
      </c>
      <c r="J1317" s="16">
        <v>1477.5</v>
      </c>
      <c r="K1317" s="19">
        <f t="shared" si="100"/>
        <v>738115.77900000021</v>
      </c>
      <c r="L1317" s="22">
        <f t="shared" si="101"/>
        <v>1077.5412832116792</v>
      </c>
      <c r="M1317" s="22">
        <f t="shared" si="102"/>
        <v>226</v>
      </c>
      <c r="N1317" s="22" t="str">
        <f t="shared" si="103"/>
        <v>High Value</v>
      </c>
      <c r="O1317" s="22" t="str">
        <f t="shared" si="104"/>
        <v>Nov-2023</v>
      </c>
      <c r="P1317" s="22" t="s">
        <v>1769</v>
      </c>
      <c r="Q1317" s="22" t="s">
        <v>1555</v>
      </c>
      <c r="R1317" s="22" t="s">
        <v>1266</v>
      </c>
      <c r="S1317" s="22"/>
      <c r="T1317" s="22"/>
      <c r="V1317" s="25" t="s">
        <v>950</v>
      </c>
      <c r="W1317" s="6">
        <v>9</v>
      </c>
    </row>
    <row r="1318" spans="1:23">
      <c r="A1318" t="s">
        <v>3255</v>
      </c>
      <c r="B1318" s="8">
        <v>45405</v>
      </c>
      <c r="C1318" t="s">
        <v>1481</v>
      </c>
      <c r="D1318" t="s">
        <v>1819</v>
      </c>
      <c r="E1318" t="s">
        <v>1896</v>
      </c>
      <c r="F1318">
        <v>4</v>
      </c>
      <c r="G1318" s="10">
        <v>216.81</v>
      </c>
      <c r="H1318" s="13">
        <v>0.28999999999999998</v>
      </c>
      <c r="I1318" t="s">
        <v>1931</v>
      </c>
      <c r="J1318" s="16">
        <v>615.74040000000002</v>
      </c>
      <c r="K1318" s="19">
        <f t="shared" si="100"/>
        <v>736638.27900000021</v>
      </c>
      <c r="L1318" s="22">
        <f t="shared" si="101"/>
        <v>1076.9565482456144</v>
      </c>
      <c r="M1318" s="22">
        <f t="shared" si="102"/>
        <v>226</v>
      </c>
      <c r="N1318" s="22" t="str">
        <f t="shared" si="103"/>
        <v>Low Value</v>
      </c>
      <c r="O1318" s="22" t="str">
        <f t="shared" si="104"/>
        <v>Apr-2024</v>
      </c>
      <c r="P1318" s="22" t="s">
        <v>1820</v>
      </c>
      <c r="Q1318" s="22" t="s">
        <v>1569</v>
      </c>
      <c r="R1318" s="22" t="s">
        <v>1482</v>
      </c>
      <c r="S1318" s="22"/>
      <c r="T1318" s="22"/>
      <c r="V1318" s="26" t="s">
        <v>1933</v>
      </c>
      <c r="W1318" s="6">
        <v>9</v>
      </c>
    </row>
    <row r="1319" spans="1:23">
      <c r="A1319" t="s">
        <v>3256</v>
      </c>
      <c r="B1319" s="8">
        <v>45223</v>
      </c>
      <c r="C1319" t="s">
        <v>403</v>
      </c>
      <c r="D1319" t="s">
        <v>1746</v>
      </c>
      <c r="E1319" t="s">
        <v>1868</v>
      </c>
      <c r="F1319">
        <v>4</v>
      </c>
      <c r="G1319" s="10">
        <v>950.21</v>
      </c>
      <c r="H1319" s="13">
        <v>0.27</v>
      </c>
      <c r="I1319" t="s">
        <v>1936</v>
      </c>
      <c r="J1319" s="16">
        <v>2774.6131999999998</v>
      </c>
      <c r="K1319" s="19">
        <f t="shared" si="100"/>
        <v>736022.5386000002</v>
      </c>
      <c r="L1319" s="22">
        <f t="shared" si="101"/>
        <v>1077.631828111274</v>
      </c>
      <c r="M1319" s="22">
        <f t="shared" si="102"/>
        <v>226</v>
      </c>
      <c r="N1319" s="22" t="str">
        <f t="shared" si="103"/>
        <v>High Value</v>
      </c>
      <c r="O1319" s="22" t="str">
        <f t="shared" si="104"/>
        <v>Oct-2023</v>
      </c>
      <c r="P1319" s="22" t="s">
        <v>1747</v>
      </c>
      <c r="Q1319" s="22" t="s">
        <v>1555</v>
      </c>
      <c r="R1319" s="22" t="s">
        <v>404</v>
      </c>
      <c r="S1319" s="22"/>
      <c r="T1319" s="22"/>
      <c r="V1319" s="25" t="s">
        <v>1074</v>
      </c>
      <c r="W1319" s="6">
        <v>17</v>
      </c>
    </row>
    <row r="1320" spans="1:23">
      <c r="A1320" t="s">
        <v>3257</v>
      </c>
      <c r="B1320" s="8">
        <v>45838</v>
      </c>
      <c r="C1320" t="s">
        <v>818</v>
      </c>
      <c r="D1320" t="s">
        <v>1697</v>
      </c>
      <c r="E1320" t="s">
        <v>1886</v>
      </c>
      <c r="F1320">
        <v>2</v>
      </c>
      <c r="G1320" s="10">
        <v>271.39999999999998</v>
      </c>
      <c r="H1320" s="13">
        <v>0.17</v>
      </c>
      <c r="I1320" t="s">
        <v>1933</v>
      </c>
      <c r="J1320" s="16">
        <v>450.52399999999989</v>
      </c>
      <c r="K1320" s="19">
        <f t="shared" si="100"/>
        <v>733247.92540000018</v>
      </c>
      <c r="L1320" s="22">
        <f t="shared" si="101"/>
        <v>1075.1435856304988</v>
      </c>
      <c r="M1320" s="22">
        <f t="shared" si="102"/>
        <v>226</v>
      </c>
      <c r="N1320" s="22" t="str">
        <f t="shared" si="103"/>
        <v>Low Value</v>
      </c>
      <c r="O1320" s="22" t="str">
        <f t="shared" si="104"/>
        <v>Jun-2025</v>
      </c>
      <c r="P1320" s="22" t="s">
        <v>1698</v>
      </c>
      <c r="Q1320" s="22" t="s">
        <v>1531</v>
      </c>
      <c r="R1320" s="22" t="s">
        <v>819</v>
      </c>
      <c r="S1320" s="22"/>
      <c r="T1320" s="22"/>
      <c r="V1320" s="26" t="s">
        <v>1936</v>
      </c>
      <c r="W1320" s="6">
        <v>12</v>
      </c>
    </row>
    <row r="1321" spans="1:23">
      <c r="A1321" t="s">
        <v>3258</v>
      </c>
      <c r="B1321" s="8">
        <v>45883</v>
      </c>
      <c r="C1321" t="s">
        <v>557</v>
      </c>
      <c r="D1321" t="s">
        <v>1668</v>
      </c>
      <c r="E1321" t="s">
        <v>1889</v>
      </c>
      <c r="F1321">
        <v>4</v>
      </c>
      <c r="G1321" s="10">
        <v>708.19</v>
      </c>
      <c r="H1321" s="13">
        <v>0.1</v>
      </c>
      <c r="I1321" t="s">
        <v>1933</v>
      </c>
      <c r="J1321" s="16">
        <v>2549.4839999999999</v>
      </c>
      <c r="K1321" s="19">
        <f t="shared" si="100"/>
        <v>732797.40140000021</v>
      </c>
      <c r="L1321" s="22">
        <f t="shared" si="101"/>
        <v>1076.0607950073424</v>
      </c>
      <c r="M1321" s="22">
        <f t="shared" si="102"/>
        <v>225</v>
      </c>
      <c r="N1321" s="22" t="str">
        <f t="shared" si="103"/>
        <v>High Value</v>
      </c>
      <c r="O1321" s="22" t="str">
        <f t="shared" si="104"/>
        <v>Aug-2025</v>
      </c>
      <c r="P1321" s="22" t="s">
        <v>1669</v>
      </c>
      <c r="Q1321" s="22" t="s">
        <v>1531</v>
      </c>
      <c r="R1321" s="22" t="s">
        <v>558</v>
      </c>
      <c r="S1321" s="22"/>
      <c r="T1321" s="22"/>
      <c r="V1321" s="26" t="s">
        <v>1931</v>
      </c>
      <c r="W1321" s="6">
        <v>5</v>
      </c>
    </row>
    <row r="1322" spans="1:23">
      <c r="A1322" t="s">
        <v>3259</v>
      </c>
      <c r="B1322" s="8">
        <v>45788</v>
      </c>
      <c r="C1322" t="s">
        <v>1365</v>
      </c>
      <c r="D1322" t="s">
        <v>1716</v>
      </c>
      <c r="E1322" t="s">
        <v>1873</v>
      </c>
      <c r="F1322">
        <v>3</v>
      </c>
      <c r="G1322" s="10">
        <v>477.05</v>
      </c>
      <c r="H1322" s="13">
        <v>0.05</v>
      </c>
      <c r="I1322" t="s">
        <v>1933</v>
      </c>
      <c r="J1322" s="16">
        <v>1359.5925</v>
      </c>
      <c r="K1322" s="19">
        <f t="shared" si="100"/>
        <v>730247.91740000003</v>
      </c>
      <c r="L1322" s="22">
        <f t="shared" si="101"/>
        <v>1073.8939961764706</v>
      </c>
      <c r="M1322" s="22">
        <f t="shared" si="102"/>
        <v>224</v>
      </c>
      <c r="N1322" s="22" t="str">
        <f t="shared" si="103"/>
        <v>High Value</v>
      </c>
      <c r="O1322" s="22" t="str">
        <f t="shared" si="104"/>
        <v>May-2025</v>
      </c>
      <c r="P1322" s="22" t="s">
        <v>1717</v>
      </c>
      <c r="Q1322" s="22" t="s">
        <v>1569</v>
      </c>
      <c r="R1322" s="22" t="s">
        <v>1366</v>
      </c>
      <c r="S1322" s="22"/>
      <c r="T1322" s="22"/>
      <c r="V1322" s="25" t="s">
        <v>1105</v>
      </c>
      <c r="W1322" s="6">
        <v>6</v>
      </c>
    </row>
    <row r="1323" spans="1:23">
      <c r="A1323" t="s">
        <v>3260</v>
      </c>
      <c r="B1323" s="8">
        <v>45383</v>
      </c>
      <c r="C1323" t="s">
        <v>966</v>
      </c>
      <c r="D1323" t="s">
        <v>1777</v>
      </c>
      <c r="E1323" t="s">
        <v>1893</v>
      </c>
      <c r="F1323">
        <v>3</v>
      </c>
      <c r="G1323" s="10">
        <v>627.29</v>
      </c>
      <c r="H1323" s="13">
        <v>0.27</v>
      </c>
      <c r="I1323" t="s">
        <v>1936</v>
      </c>
      <c r="J1323" s="16">
        <v>1373.7651000000001</v>
      </c>
      <c r="K1323" s="19">
        <f t="shared" si="100"/>
        <v>728888.32490000001</v>
      </c>
      <c r="L1323" s="22">
        <f t="shared" si="101"/>
        <v>1073.4732325478644</v>
      </c>
      <c r="M1323" s="22">
        <f t="shared" si="102"/>
        <v>223</v>
      </c>
      <c r="N1323" s="22" t="str">
        <f t="shared" si="103"/>
        <v>High Value</v>
      </c>
      <c r="O1323" s="22" t="str">
        <f t="shared" si="104"/>
        <v>Apr-2024</v>
      </c>
      <c r="P1323" s="22" t="s">
        <v>1778</v>
      </c>
      <c r="Q1323" s="22" t="s">
        <v>1531</v>
      </c>
      <c r="R1323" s="22" t="s">
        <v>967</v>
      </c>
      <c r="S1323" s="22"/>
      <c r="T1323" s="22"/>
      <c r="V1323" s="26" t="s">
        <v>1936</v>
      </c>
      <c r="W1323" s="6">
        <v>3</v>
      </c>
    </row>
    <row r="1324" spans="1:23">
      <c r="A1324" t="s">
        <v>3261</v>
      </c>
      <c r="B1324" s="8">
        <v>45335</v>
      </c>
      <c r="C1324" t="s">
        <v>958</v>
      </c>
      <c r="D1324" t="s">
        <v>1837</v>
      </c>
      <c r="E1324" t="s">
        <v>1899</v>
      </c>
      <c r="F1324">
        <v>3</v>
      </c>
      <c r="G1324" s="10">
        <v>206.84</v>
      </c>
      <c r="H1324" s="13">
        <v>0.19</v>
      </c>
      <c r="I1324" t="s">
        <v>1933</v>
      </c>
      <c r="J1324" s="16">
        <v>502.62119999999999</v>
      </c>
      <c r="K1324" s="19">
        <f t="shared" si="100"/>
        <v>727514.55980000005</v>
      </c>
      <c r="L1324" s="22">
        <f t="shared" si="101"/>
        <v>1073.0303241887907</v>
      </c>
      <c r="M1324" s="22">
        <f t="shared" si="102"/>
        <v>223</v>
      </c>
      <c r="N1324" s="22" t="str">
        <f t="shared" si="103"/>
        <v>Low Value</v>
      </c>
      <c r="O1324" s="22" t="str">
        <f t="shared" si="104"/>
        <v>Feb-2024</v>
      </c>
      <c r="P1324" s="22" t="s">
        <v>1838</v>
      </c>
      <c r="Q1324" s="22" t="s">
        <v>1555</v>
      </c>
      <c r="R1324" s="22" t="s">
        <v>3952</v>
      </c>
      <c r="S1324" s="22"/>
      <c r="T1324" s="22"/>
      <c r="V1324" s="26" t="s">
        <v>1931</v>
      </c>
      <c r="W1324" s="6">
        <v>3</v>
      </c>
    </row>
    <row r="1325" spans="1:23">
      <c r="A1325" t="s">
        <v>3262</v>
      </c>
      <c r="B1325" s="8">
        <v>45304</v>
      </c>
      <c r="C1325" t="s">
        <v>804</v>
      </c>
      <c r="D1325" t="s">
        <v>1639</v>
      </c>
      <c r="E1325" t="s">
        <v>1864</v>
      </c>
      <c r="F1325">
        <v>4</v>
      </c>
      <c r="G1325" s="10">
        <v>629.04999999999995</v>
      </c>
      <c r="H1325" s="13">
        <v>0.26</v>
      </c>
      <c r="I1325" t="s">
        <v>1931</v>
      </c>
      <c r="J1325" s="16">
        <v>1861.9880000000001</v>
      </c>
      <c r="K1325" s="19">
        <f t="shared" si="100"/>
        <v>727011.93859999999</v>
      </c>
      <c r="L1325" s="22">
        <f t="shared" si="101"/>
        <v>1073.8728782865583</v>
      </c>
      <c r="M1325" s="22">
        <f t="shared" si="102"/>
        <v>222</v>
      </c>
      <c r="N1325" s="22" t="str">
        <f t="shared" si="103"/>
        <v>High Value</v>
      </c>
      <c r="O1325" s="22" t="str">
        <f t="shared" si="104"/>
        <v>Jan-2024</v>
      </c>
      <c r="P1325" s="22" t="s">
        <v>1640</v>
      </c>
      <c r="Q1325" s="22" t="s">
        <v>1560</v>
      </c>
      <c r="R1325" s="22" t="s">
        <v>805</v>
      </c>
      <c r="S1325" s="22"/>
      <c r="T1325" s="22"/>
      <c r="V1325" s="25" t="s">
        <v>1420</v>
      </c>
      <c r="W1325" s="6">
        <v>7</v>
      </c>
    </row>
    <row r="1326" spans="1:23">
      <c r="A1326" t="s">
        <v>3263</v>
      </c>
      <c r="B1326" s="8">
        <v>45543</v>
      </c>
      <c r="C1326" t="s">
        <v>1348</v>
      </c>
      <c r="D1326" t="s">
        <v>1777</v>
      </c>
      <c r="E1326" t="s">
        <v>1914</v>
      </c>
      <c r="F1326">
        <v>4</v>
      </c>
      <c r="G1326" s="10">
        <v>529.04</v>
      </c>
      <c r="H1326" s="13">
        <v>0.1</v>
      </c>
      <c r="I1326" t="s">
        <v>1933</v>
      </c>
      <c r="J1326" s="16">
        <v>1904.5440000000001</v>
      </c>
      <c r="K1326" s="19">
        <f t="shared" si="100"/>
        <v>725149.9506000001</v>
      </c>
      <c r="L1326" s="22">
        <f t="shared" si="101"/>
        <v>1072.707027514793</v>
      </c>
      <c r="M1326" s="22">
        <f t="shared" si="102"/>
        <v>222</v>
      </c>
      <c r="N1326" s="22" t="str">
        <f t="shared" si="103"/>
        <v>High Value</v>
      </c>
      <c r="O1326" s="22" t="str">
        <f t="shared" si="104"/>
        <v>Sep-2024</v>
      </c>
      <c r="P1326" s="22" t="s">
        <v>1778</v>
      </c>
      <c r="Q1326" s="22" t="s">
        <v>1531</v>
      </c>
      <c r="R1326" s="22" t="s">
        <v>1349</v>
      </c>
      <c r="S1326" s="22"/>
      <c r="T1326" s="22"/>
      <c r="V1326" s="26" t="s">
        <v>1936</v>
      </c>
      <c r="W1326" s="6">
        <v>5</v>
      </c>
    </row>
    <row r="1327" spans="1:23">
      <c r="A1327" t="s">
        <v>3264</v>
      </c>
      <c r="B1327" s="8">
        <v>45326</v>
      </c>
      <c r="C1327" t="s">
        <v>1090</v>
      </c>
      <c r="D1327" t="s">
        <v>1639</v>
      </c>
      <c r="E1327" t="s">
        <v>1914</v>
      </c>
      <c r="F1327">
        <v>1</v>
      </c>
      <c r="G1327" s="10">
        <v>350.67</v>
      </c>
      <c r="H1327" s="13">
        <v>0.22</v>
      </c>
      <c r="I1327" t="s">
        <v>1933</v>
      </c>
      <c r="J1327" s="16">
        <v>273.52260000000001</v>
      </c>
      <c r="K1327" s="19">
        <f t="shared" si="100"/>
        <v>723245.40659999999</v>
      </c>
      <c r="L1327" s="22">
        <f t="shared" si="101"/>
        <v>1071.4746764444444</v>
      </c>
      <c r="M1327" s="22">
        <f t="shared" si="102"/>
        <v>221</v>
      </c>
      <c r="N1327" s="22" t="str">
        <f t="shared" si="103"/>
        <v>Low Value</v>
      </c>
      <c r="O1327" s="22" t="str">
        <f t="shared" si="104"/>
        <v>Feb-2024</v>
      </c>
      <c r="P1327" s="22" t="s">
        <v>1640</v>
      </c>
      <c r="Q1327" s="22" t="s">
        <v>1560</v>
      </c>
      <c r="R1327" s="22" t="s">
        <v>1091</v>
      </c>
      <c r="S1327" s="22"/>
      <c r="T1327" s="22"/>
      <c r="V1327" s="26" t="s">
        <v>1933</v>
      </c>
      <c r="W1327" s="6">
        <v>2</v>
      </c>
    </row>
    <row r="1328" spans="1:23">
      <c r="A1328" t="s">
        <v>3265</v>
      </c>
      <c r="B1328" s="8">
        <v>45498</v>
      </c>
      <c r="C1328" t="s">
        <v>1154</v>
      </c>
      <c r="D1328" t="s">
        <v>1840</v>
      </c>
      <c r="E1328" t="s">
        <v>1864</v>
      </c>
      <c r="F1328">
        <v>1</v>
      </c>
      <c r="G1328" s="10">
        <v>128.93</v>
      </c>
      <c r="H1328" s="13">
        <v>0.26</v>
      </c>
      <c r="I1328" t="s">
        <v>1931</v>
      </c>
      <c r="J1328" s="16">
        <v>95.408200000000008</v>
      </c>
      <c r="K1328" s="19">
        <f t="shared" si="100"/>
        <v>722971.88400000008</v>
      </c>
      <c r="L1328" s="22">
        <f t="shared" si="101"/>
        <v>1072.6585816023739</v>
      </c>
      <c r="M1328" s="22">
        <f t="shared" si="102"/>
        <v>220</v>
      </c>
      <c r="N1328" s="22" t="str">
        <f t="shared" si="103"/>
        <v>Low Value</v>
      </c>
      <c r="O1328" s="22" t="str">
        <f t="shared" si="104"/>
        <v>Jul-2024</v>
      </c>
      <c r="P1328" s="22" t="s">
        <v>1841</v>
      </c>
      <c r="Q1328" s="22" t="s">
        <v>1569</v>
      </c>
      <c r="R1328" s="22" t="s">
        <v>1155</v>
      </c>
      <c r="S1328" s="22"/>
      <c r="T1328" s="22"/>
      <c r="V1328" s="25" t="s">
        <v>869</v>
      </c>
      <c r="W1328" s="6">
        <v>4</v>
      </c>
    </row>
    <row r="1329" spans="1:23">
      <c r="A1329" t="s">
        <v>3266</v>
      </c>
      <c r="B1329" s="8">
        <v>45544</v>
      </c>
      <c r="C1329" t="s">
        <v>488</v>
      </c>
      <c r="D1329" t="s">
        <v>1813</v>
      </c>
      <c r="E1329" t="s">
        <v>1908</v>
      </c>
      <c r="F1329">
        <v>2</v>
      </c>
      <c r="G1329" s="10">
        <v>384.92</v>
      </c>
      <c r="H1329" s="13">
        <v>0.09</v>
      </c>
      <c r="I1329" t="s">
        <v>1931</v>
      </c>
      <c r="J1329" s="16">
        <v>700.5544000000001</v>
      </c>
      <c r="K1329" s="19">
        <f t="shared" si="100"/>
        <v>722876.47580000001</v>
      </c>
      <c r="L1329" s="22">
        <f t="shared" si="101"/>
        <v>1074.1106624071322</v>
      </c>
      <c r="M1329" s="22">
        <f t="shared" si="102"/>
        <v>220</v>
      </c>
      <c r="N1329" s="22" t="str">
        <f t="shared" si="103"/>
        <v>Low Value</v>
      </c>
      <c r="O1329" s="22" t="str">
        <f t="shared" si="104"/>
        <v>Sep-2024</v>
      </c>
      <c r="P1329" s="22" t="s">
        <v>1814</v>
      </c>
      <c r="Q1329" s="22" t="s">
        <v>1560</v>
      </c>
      <c r="R1329" s="22" t="s">
        <v>489</v>
      </c>
      <c r="S1329" s="22"/>
      <c r="T1329" s="22"/>
      <c r="V1329" s="26" t="s">
        <v>1936</v>
      </c>
      <c r="W1329" s="6">
        <v>3</v>
      </c>
    </row>
    <row r="1330" spans="1:23">
      <c r="A1330" t="s">
        <v>3267</v>
      </c>
      <c r="B1330" s="8">
        <v>45268</v>
      </c>
      <c r="C1330" t="s">
        <v>1046</v>
      </c>
      <c r="D1330" t="s">
        <v>1549</v>
      </c>
      <c r="E1330" t="s">
        <v>1889</v>
      </c>
      <c r="F1330">
        <v>3</v>
      </c>
      <c r="G1330" s="10">
        <v>120.77</v>
      </c>
      <c r="H1330" s="13">
        <v>0.28999999999999998</v>
      </c>
      <c r="I1330" t="s">
        <v>1933</v>
      </c>
      <c r="J1330" s="16">
        <v>257.24009999999998</v>
      </c>
      <c r="K1330" s="19">
        <f t="shared" si="100"/>
        <v>722175.92140000011</v>
      </c>
      <c r="L1330" s="22">
        <f t="shared" si="101"/>
        <v>1074.6665497023812</v>
      </c>
      <c r="M1330" s="22">
        <f t="shared" si="102"/>
        <v>220</v>
      </c>
      <c r="N1330" s="22" t="str">
        <f t="shared" si="103"/>
        <v>Low Value</v>
      </c>
      <c r="O1330" s="22" t="str">
        <f t="shared" si="104"/>
        <v>Dec-2023</v>
      </c>
      <c r="P1330" s="22" t="s">
        <v>1550</v>
      </c>
      <c r="Q1330" s="22" t="s">
        <v>1536</v>
      </c>
      <c r="R1330" s="22" t="s">
        <v>1047</v>
      </c>
      <c r="S1330" s="22"/>
      <c r="T1330" s="22"/>
      <c r="V1330" s="26" t="s">
        <v>1931</v>
      </c>
      <c r="W1330" s="6">
        <v>1</v>
      </c>
    </row>
    <row r="1331" spans="1:23">
      <c r="A1331" t="s">
        <v>3268</v>
      </c>
      <c r="B1331" s="8">
        <v>45824</v>
      </c>
      <c r="C1331" t="s">
        <v>719</v>
      </c>
      <c r="D1331" t="s">
        <v>1783</v>
      </c>
      <c r="E1331" t="s">
        <v>1914</v>
      </c>
      <c r="F1331">
        <v>4</v>
      </c>
      <c r="G1331" s="10">
        <v>661.39</v>
      </c>
      <c r="H1331" s="13">
        <v>7.0000000000000007E-2</v>
      </c>
      <c r="I1331" t="s">
        <v>1931</v>
      </c>
      <c r="J1331" s="16">
        <v>2460.3708000000001</v>
      </c>
      <c r="K1331" s="19">
        <f t="shared" si="100"/>
        <v>721918.68130000005</v>
      </c>
      <c r="L1331" s="22">
        <f t="shared" si="101"/>
        <v>1075.8847709388972</v>
      </c>
      <c r="M1331" s="22">
        <f t="shared" si="102"/>
        <v>219</v>
      </c>
      <c r="N1331" s="22" t="str">
        <f t="shared" si="103"/>
        <v>High Value</v>
      </c>
      <c r="O1331" s="22" t="str">
        <f t="shared" si="104"/>
        <v>Jun-2025</v>
      </c>
      <c r="P1331" s="22" t="s">
        <v>1784</v>
      </c>
      <c r="Q1331" s="22" t="s">
        <v>1531</v>
      </c>
      <c r="R1331" s="22" t="s">
        <v>720</v>
      </c>
      <c r="S1331" s="22"/>
      <c r="T1331" s="22"/>
      <c r="V1331" s="25" t="s">
        <v>340</v>
      </c>
      <c r="W1331" s="6">
        <v>12</v>
      </c>
    </row>
    <row r="1332" spans="1:23">
      <c r="A1332" t="s">
        <v>3269</v>
      </c>
      <c r="B1332" s="8">
        <v>45261</v>
      </c>
      <c r="C1332" t="s">
        <v>1380</v>
      </c>
      <c r="D1332" t="s">
        <v>1740</v>
      </c>
      <c r="E1332" t="s">
        <v>1868</v>
      </c>
      <c r="F1332">
        <v>1</v>
      </c>
      <c r="G1332" s="10">
        <v>195.24</v>
      </c>
      <c r="H1332" s="13">
        <v>0.27</v>
      </c>
      <c r="I1332" t="s">
        <v>1933</v>
      </c>
      <c r="J1332" s="16">
        <v>142.52520000000001</v>
      </c>
      <c r="K1332" s="19">
        <f t="shared" si="100"/>
        <v>719458.31050000014</v>
      </c>
      <c r="L1332" s="22">
        <f t="shared" si="101"/>
        <v>1073.8183738805972</v>
      </c>
      <c r="M1332" s="22">
        <f t="shared" si="102"/>
        <v>219</v>
      </c>
      <c r="N1332" s="22" t="str">
        <f t="shared" si="103"/>
        <v>Low Value</v>
      </c>
      <c r="O1332" s="22" t="str">
        <f t="shared" si="104"/>
        <v>Dec-2023</v>
      </c>
      <c r="P1332" s="22" t="s">
        <v>1741</v>
      </c>
      <c r="Q1332" s="22" t="s">
        <v>1531</v>
      </c>
      <c r="R1332" s="22" t="s">
        <v>1381</v>
      </c>
      <c r="S1332" s="22"/>
      <c r="T1332" s="22"/>
      <c r="V1332" s="26" t="s">
        <v>1931</v>
      </c>
      <c r="W1332" s="6">
        <v>11</v>
      </c>
    </row>
    <row r="1333" spans="1:23">
      <c r="A1333" t="s">
        <v>3270</v>
      </c>
      <c r="B1333" s="8">
        <v>45233</v>
      </c>
      <c r="C1333" t="s">
        <v>26</v>
      </c>
      <c r="D1333" t="s">
        <v>1831</v>
      </c>
      <c r="E1333" t="s">
        <v>1917</v>
      </c>
      <c r="F1333">
        <v>2</v>
      </c>
      <c r="G1333" s="10">
        <v>177.4</v>
      </c>
      <c r="H1333" s="13">
        <v>0.19</v>
      </c>
      <c r="I1333" t="s">
        <v>1933</v>
      </c>
      <c r="J1333" s="16">
        <v>287.38799999999998</v>
      </c>
      <c r="K1333" s="19">
        <f t="shared" si="100"/>
        <v>719315.78530000011</v>
      </c>
      <c r="L1333" s="22">
        <f t="shared" si="101"/>
        <v>1075.2104414050823</v>
      </c>
      <c r="M1333" s="22">
        <f t="shared" si="102"/>
        <v>218</v>
      </c>
      <c r="N1333" s="22" t="str">
        <f t="shared" si="103"/>
        <v>Low Value</v>
      </c>
      <c r="O1333" s="22" t="str">
        <f t="shared" si="104"/>
        <v>Nov-2023</v>
      </c>
      <c r="P1333" s="22" t="s">
        <v>1832</v>
      </c>
      <c r="Q1333" s="22" t="s">
        <v>1560</v>
      </c>
      <c r="R1333" s="22" t="s">
        <v>27</v>
      </c>
      <c r="S1333" s="22"/>
      <c r="T1333" s="22"/>
      <c r="V1333" s="26" t="s">
        <v>1933</v>
      </c>
      <c r="W1333" s="6">
        <v>1</v>
      </c>
    </row>
    <row r="1334" spans="1:23">
      <c r="A1334" t="s">
        <v>3271</v>
      </c>
      <c r="B1334" s="8">
        <v>45673</v>
      </c>
      <c r="C1334" t="s">
        <v>211</v>
      </c>
      <c r="D1334" t="s">
        <v>1849</v>
      </c>
      <c r="E1334" t="s">
        <v>1899</v>
      </c>
      <c r="F1334">
        <v>4</v>
      </c>
      <c r="G1334" s="10">
        <v>862.67</v>
      </c>
      <c r="H1334" s="13">
        <v>0.2</v>
      </c>
      <c r="I1334" t="s">
        <v>1933</v>
      </c>
      <c r="J1334" s="16">
        <v>2760.5439999999999</v>
      </c>
      <c r="K1334" s="19">
        <f t="shared" si="100"/>
        <v>719028.39730000019</v>
      </c>
      <c r="L1334" s="22">
        <f t="shared" si="101"/>
        <v>1076.3898163173656</v>
      </c>
      <c r="M1334" s="22">
        <f t="shared" si="102"/>
        <v>217</v>
      </c>
      <c r="N1334" s="22" t="str">
        <f t="shared" si="103"/>
        <v>High Value</v>
      </c>
      <c r="O1334" s="22" t="str">
        <f t="shared" si="104"/>
        <v>Jan-2025</v>
      </c>
      <c r="P1334" s="22" t="s">
        <v>1850</v>
      </c>
      <c r="Q1334" s="22" t="s">
        <v>1531</v>
      </c>
      <c r="R1334" s="22" t="s">
        <v>212</v>
      </c>
      <c r="S1334" s="22"/>
      <c r="T1334" s="22"/>
      <c r="V1334" s="25" t="s">
        <v>1012</v>
      </c>
      <c r="W1334" s="6">
        <v>5</v>
      </c>
    </row>
    <row r="1335" spans="1:23">
      <c r="A1335" t="s">
        <v>3272</v>
      </c>
      <c r="B1335" s="8">
        <v>45565</v>
      </c>
      <c r="C1335" t="s">
        <v>1365</v>
      </c>
      <c r="D1335" t="s">
        <v>1597</v>
      </c>
      <c r="E1335" t="s">
        <v>1883</v>
      </c>
      <c r="F1335">
        <v>1</v>
      </c>
      <c r="G1335" s="10">
        <v>55.04</v>
      </c>
      <c r="H1335" s="13">
        <v>0.01</v>
      </c>
      <c r="I1335" t="s">
        <v>1936</v>
      </c>
      <c r="J1335" s="16">
        <v>54.489600000000003</v>
      </c>
      <c r="K1335" s="19">
        <f t="shared" si="100"/>
        <v>716267.85330000019</v>
      </c>
      <c r="L1335" s="22">
        <f t="shared" si="101"/>
        <v>1073.8648475262371</v>
      </c>
      <c r="M1335" s="22">
        <f t="shared" si="102"/>
        <v>216</v>
      </c>
      <c r="N1335" s="22" t="str">
        <f t="shared" si="103"/>
        <v>Low Value</v>
      </c>
      <c r="O1335" s="22" t="str">
        <f t="shared" si="104"/>
        <v>Sep-2024</v>
      </c>
      <c r="P1335" s="22" t="s">
        <v>1598</v>
      </c>
      <c r="Q1335" s="22" t="s">
        <v>1569</v>
      </c>
      <c r="R1335" s="22" t="s">
        <v>1366</v>
      </c>
      <c r="S1335" s="22"/>
      <c r="T1335" s="22"/>
      <c r="V1335" s="26" t="s">
        <v>1936</v>
      </c>
      <c r="W1335" s="6">
        <v>1</v>
      </c>
    </row>
    <row r="1336" spans="1:23">
      <c r="A1336" t="s">
        <v>3273</v>
      </c>
      <c r="B1336" s="8">
        <v>45646</v>
      </c>
      <c r="C1336" t="s">
        <v>185</v>
      </c>
      <c r="D1336" t="s">
        <v>1687</v>
      </c>
      <c r="E1336" t="s">
        <v>1859</v>
      </c>
      <c r="F1336">
        <v>2</v>
      </c>
      <c r="G1336" s="10">
        <v>905.47</v>
      </c>
      <c r="H1336" s="13">
        <v>0.2</v>
      </c>
      <c r="I1336" t="s">
        <v>1936</v>
      </c>
      <c r="J1336" s="16">
        <v>1448.752</v>
      </c>
      <c r="K1336" s="19">
        <f t="shared" si="100"/>
        <v>716213.3637000001</v>
      </c>
      <c r="L1336" s="22">
        <f t="shared" si="101"/>
        <v>1075.3954409909911</v>
      </c>
      <c r="M1336" s="22">
        <f t="shared" si="102"/>
        <v>216</v>
      </c>
      <c r="N1336" s="22" t="str">
        <f t="shared" si="103"/>
        <v>High Value</v>
      </c>
      <c r="O1336" s="22" t="str">
        <f t="shared" si="104"/>
        <v>Dec-2024</v>
      </c>
      <c r="P1336" s="22" t="s">
        <v>1688</v>
      </c>
      <c r="Q1336" s="22" t="s">
        <v>1569</v>
      </c>
      <c r="R1336" s="22" t="s">
        <v>186</v>
      </c>
      <c r="S1336" s="22"/>
      <c r="T1336" s="22"/>
      <c r="V1336" s="26" t="s">
        <v>1931</v>
      </c>
      <c r="W1336" s="6">
        <v>4</v>
      </c>
    </row>
    <row r="1337" spans="1:23">
      <c r="A1337" t="s">
        <v>3274</v>
      </c>
      <c r="B1337" s="8">
        <v>45539</v>
      </c>
      <c r="C1337" t="s">
        <v>1413</v>
      </c>
      <c r="D1337" t="s">
        <v>1743</v>
      </c>
      <c r="E1337" t="s">
        <v>1904</v>
      </c>
      <c r="F1337">
        <v>3</v>
      </c>
      <c r="G1337" s="10">
        <v>217.13</v>
      </c>
      <c r="H1337" s="13">
        <v>0.28000000000000003</v>
      </c>
      <c r="I1337" t="s">
        <v>1931</v>
      </c>
      <c r="J1337" s="16">
        <v>469.00080000000003</v>
      </c>
      <c r="K1337" s="19">
        <f t="shared" si="100"/>
        <v>714764.61170000012</v>
      </c>
      <c r="L1337" s="22">
        <f t="shared" si="101"/>
        <v>1074.8340025563912</v>
      </c>
      <c r="M1337" s="22">
        <f t="shared" si="102"/>
        <v>216</v>
      </c>
      <c r="N1337" s="22" t="str">
        <f t="shared" si="103"/>
        <v>Low Value</v>
      </c>
      <c r="O1337" s="22" t="str">
        <f t="shared" si="104"/>
        <v>Sep-2024</v>
      </c>
      <c r="P1337" s="22" t="s">
        <v>1744</v>
      </c>
      <c r="Q1337" s="22" t="s">
        <v>1555</v>
      </c>
      <c r="R1337" s="22" t="s">
        <v>1414</v>
      </c>
      <c r="S1337" s="22"/>
      <c r="T1337" s="22"/>
      <c r="V1337" s="25" t="s">
        <v>1320</v>
      </c>
      <c r="W1337" s="6">
        <v>10</v>
      </c>
    </row>
    <row r="1338" spans="1:23">
      <c r="A1338" t="s">
        <v>3275</v>
      </c>
      <c r="B1338" s="8">
        <v>45936</v>
      </c>
      <c r="C1338" t="s">
        <v>1208</v>
      </c>
      <c r="D1338" t="s">
        <v>1780</v>
      </c>
      <c r="E1338" t="s">
        <v>1859</v>
      </c>
      <c r="F1338">
        <v>3</v>
      </c>
      <c r="G1338" s="10">
        <v>580.45000000000005</v>
      </c>
      <c r="H1338" s="13">
        <v>0</v>
      </c>
      <c r="I1338" t="s">
        <v>1933</v>
      </c>
      <c r="J1338" s="16">
        <v>1741.35</v>
      </c>
      <c r="K1338" s="19">
        <f t="shared" si="100"/>
        <v>714295.6109000002</v>
      </c>
      <c r="L1338" s="22">
        <f t="shared" si="101"/>
        <v>1075.7464019578317</v>
      </c>
      <c r="M1338" s="22">
        <f t="shared" si="102"/>
        <v>216</v>
      </c>
      <c r="N1338" s="22" t="str">
        <f t="shared" si="103"/>
        <v>High Value</v>
      </c>
      <c r="O1338" s="22" t="str">
        <f t="shared" si="104"/>
        <v>Oct-2025</v>
      </c>
      <c r="P1338" s="22" t="s">
        <v>1781</v>
      </c>
      <c r="Q1338" s="22" t="s">
        <v>1536</v>
      </c>
      <c r="R1338" s="22" t="s">
        <v>1209</v>
      </c>
      <c r="S1338" s="22"/>
      <c r="T1338" s="22"/>
      <c r="V1338" s="26" t="s">
        <v>1936</v>
      </c>
      <c r="W1338" s="6">
        <v>4</v>
      </c>
    </row>
    <row r="1339" spans="1:23">
      <c r="A1339" t="s">
        <v>3276</v>
      </c>
      <c r="B1339" s="8">
        <v>45854</v>
      </c>
      <c r="C1339" t="s">
        <v>361</v>
      </c>
      <c r="D1339" t="s">
        <v>1545</v>
      </c>
      <c r="E1339" t="s">
        <v>1914</v>
      </c>
      <c r="F1339">
        <v>2</v>
      </c>
      <c r="G1339" s="10">
        <v>892.88</v>
      </c>
      <c r="H1339" s="13">
        <v>0.17</v>
      </c>
      <c r="I1339" t="s">
        <v>1933</v>
      </c>
      <c r="J1339" s="16">
        <v>1482.1808000000001</v>
      </c>
      <c r="K1339" s="19">
        <f t="shared" si="100"/>
        <v>712554.26090000011</v>
      </c>
      <c r="L1339" s="22">
        <f t="shared" si="101"/>
        <v>1074.7424749622928</v>
      </c>
      <c r="M1339" s="22">
        <f t="shared" si="102"/>
        <v>215</v>
      </c>
      <c r="N1339" s="22" t="str">
        <f t="shared" si="103"/>
        <v>High Value</v>
      </c>
      <c r="O1339" s="22" t="str">
        <f t="shared" si="104"/>
        <v>Jul-2025</v>
      </c>
      <c r="P1339" s="22" t="s">
        <v>1546</v>
      </c>
      <c r="Q1339" s="22" t="s">
        <v>1536</v>
      </c>
      <c r="R1339" s="22" t="s">
        <v>362</v>
      </c>
      <c r="S1339" s="22"/>
      <c r="T1339" s="22"/>
      <c r="V1339" s="26" t="s">
        <v>1931</v>
      </c>
      <c r="W1339" s="6">
        <v>5</v>
      </c>
    </row>
    <row r="1340" spans="1:23">
      <c r="A1340" t="s">
        <v>3277</v>
      </c>
      <c r="B1340" s="8">
        <v>45936</v>
      </c>
      <c r="C1340" t="s">
        <v>324</v>
      </c>
      <c r="D1340" t="s">
        <v>1672</v>
      </c>
      <c r="E1340" t="s">
        <v>1917</v>
      </c>
      <c r="F1340">
        <v>2</v>
      </c>
      <c r="G1340" s="10">
        <v>356.28</v>
      </c>
      <c r="H1340" s="13">
        <v>0.11</v>
      </c>
      <c r="I1340" t="s">
        <v>1936</v>
      </c>
      <c r="J1340" s="16">
        <v>634.17840000000001</v>
      </c>
      <c r="K1340" s="19">
        <f t="shared" si="100"/>
        <v>711072.08010000025</v>
      </c>
      <c r="L1340" s="22">
        <f t="shared" si="101"/>
        <v>1074.1270092145019</v>
      </c>
      <c r="M1340" s="22">
        <f t="shared" si="102"/>
        <v>214</v>
      </c>
      <c r="N1340" s="22" t="str">
        <f t="shared" si="103"/>
        <v>Low Value</v>
      </c>
      <c r="O1340" s="22" t="str">
        <f t="shared" si="104"/>
        <v>Oct-2025</v>
      </c>
      <c r="P1340" s="22" t="s">
        <v>1673</v>
      </c>
      <c r="Q1340" s="22" t="s">
        <v>1531</v>
      </c>
      <c r="R1340" s="22" t="s">
        <v>325</v>
      </c>
      <c r="S1340" s="22"/>
      <c r="T1340" s="22"/>
      <c r="V1340" s="26" t="s">
        <v>1933</v>
      </c>
      <c r="W1340" s="6">
        <v>1</v>
      </c>
    </row>
    <row r="1341" spans="1:23">
      <c r="A1341" t="s">
        <v>3278</v>
      </c>
      <c r="B1341" s="8">
        <v>45921</v>
      </c>
      <c r="C1341" t="s">
        <v>1193</v>
      </c>
      <c r="D1341" t="s">
        <v>1795</v>
      </c>
      <c r="E1341" t="s">
        <v>1868</v>
      </c>
      <c r="F1341">
        <v>4</v>
      </c>
      <c r="G1341" s="10">
        <v>806.99</v>
      </c>
      <c r="H1341" s="13">
        <v>0.06</v>
      </c>
      <c r="I1341" t="s">
        <v>1931</v>
      </c>
      <c r="J1341" s="16">
        <v>3034.2824000000001</v>
      </c>
      <c r="K1341" s="19">
        <f t="shared" si="100"/>
        <v>710437.90170000016</v>
      </c>
      <c r="L1341" s="22">
        <f t="shared" si="101"/>
        <v>1074.7925895612711</v>
      </c>
      <c r="M1341" s="22">
        <f t="shared" si="102"/>
        <v>214</v>
      </c>
      <c r="N1341" s="22" t="str">
        <f t="shared" si="103"/>
        <v>High Value</v>
      </c>
      <c r="O1341" s="22" t="str">
        <f t="shared" si="104"/>
        <v>Sep-2025</v>
      </c>
      <c r="P1341" s="22" t="s">
        <v>1796</v>
      </c>
      <c r="Q1341" s="22" t="s">
        <v>1560</v>
      </c>
      <c r="R1341" s="22" t="s">
        <v>1194</v>
      </c>
      <c r="S1341" s="22"/>
      <c r="T1341" s="22"/>
      <c r="V1341" s="25" t="s">
        <v>1482</v>
      </c>
      <c r="W1341" s="6">
        <v>22</v>
      </c>
    </row>
    <row r="1342" spans="1:23">
      <c r="A1342" t="s">
        <v>3279</v>
      </c>
      <c r="B1342" s="8">
        <v>45855</v>
      </c>
      <c r="C1342" t="s">
        <v>1351</v>
      </c>
      <c r="D1342" t="s">
        <v>1607</v>
      </c>
      <c r="E1342" t="s">
        <v>1864</v>
      </c>
      <c r="F1342">
        <v>3</v>
      </c>
      <c r="G1342" s="10">
        <v>684.22</v>
      </c>
      <c r="H1342" s="13">
        <v>0.09</v>
      </c>
      <c r="I1342" t="s">
        <v>1931</v>
      </c>
      <c r="J1342" s="16">
        <v>1867.9205999999999</v>
      </c>
      <c r="K1342" s="19">
        <f t="shared" si="100"/>
        <v>707403.61930000014</v>
      </c>
      <c r="L1342" s="22">
        <f t="shared" si="101"/>
        <v>1071.8236656060608</v>
      </c>
      <c r="M1342" s="22">
        <f t="shared" si="102"/>
        <v>214</v>
      </c>
      <c r="N1342" s="22" t="str">
        <f t="shared" si="103"/>
        <v>High Value</v>
      </c>
      <c r="O1342" s="22" t="str">
        <f t="shared" si="104"/>
        <v>Jul-2025</v>
      </c>
      <c r="P1342" s="22" t="s">
        <v>1608</v>
      </c>
      <c r="Q1342" s="22" t="s">
        <v>1569</v>
      </c>
      <c r="R1342" s="22" t="s">
        <v>1352</v>
      </c>
      <c r="S1342" s="22"/>
      <c r="T1342" s="22"/>
      <c r="V1342" s="26" t="s">
        <v>1936</v>
      </c>
      <c r="W1342" s="6">
        <v>9</v>
      </c>
    </row>
    <row r="1343" spans="1:23">
      <c r="A1343" t="s">
        <v>3280</v>
      </c>
      <c r="B1343" s="8">
        <v>45837</v>
      </c>
      <c r="C1343" t="s">
        <v>1362</v>
      </c>
      <c r="D1343" t="s">
        <v>1834</v>
      </c>
      <c r="E1343" t="s">
        <v>1886</v>
      </c>
      <c r="F1343">
        <v>4</v>
      </c>
      <c r="G1343" s="10">
        <v>763.34</v>
      </c>
      <c r="H1343" s="13">
        <v>7.0000000000000007E-2</v>
      </c>
      <c r="I1343" t="s">
        <v>1933</v>
      </c>
      <c r="J1343" s="16">
        <v>2839.6248000000001</v>
      </c>
      <c r="K1343" s="19">
        <f t="shared" si="100"/>
        <v>705535.69870000018</v>
      </c>
      <c r="L1343" s="22">
        <f t="shared" si="101"/>
        <v>1070.6156277693478</v>
      </c>
      <c r="M1343" s="22">
        <f t="shared" si="102"/>
        <v>214</v>
      </c>
      <c r="N1343" s="22" t="str">
        <f t="shared" si="103"/>
        <v>High Value</v>
      </c>
      <c r="O1343" s="22" t="str">
        <f t="shared" si="104"/>
        <v>Jun-2025</v>
      </c>
      <c r="P1343" s="22" t="s">
        <v>1835</v>
      </c>
      <c r="Q1343" s="22" t="s">
        <v>1531</v>
      </c>
      <c r="R1343" s="22" t="s">
        <v>1363</v>
      </c>
      <c r="S1343" s="22"/>
      <c r="T1343" s="22"/>
      <c r="V1343" s="26" t="s">
        <v>1931</v>
      </c>
      <c r="W1343" s="6">
        <v>9</v>
      </c>
    </row>
    <row r="1344" spans="1:23">
      <c r="A1344" t="s">
        <v>3281</v>
      </c>
      <c r="B1344" s="8">
        <v>45738</v>
      </c>
      <c r="C1344" t="s">
        <v>1125</v>
      </c>
      <c r="D1344" t="s">
        <v>1704</v>
      </c>
      <c r="E1344" t="s">
        <v>1873</v>
      </c>
      <c r="F1344">
        <v>3</v>
      </c>
      <c r="G1344" s="10">
        <v>721.94</v>
      </c>
      <c r="H1344" s="13">
        <v>0.26</v>
      </c>
      <c r="I1344" t="s">
        <v>1931</v>
      </c>
      <c r="J1344" s="16">
        <v>1602.7067999999999</v>
      </c>
      <c r="K1344" s="19">
        <f t="shared" si="100"/>
        <v>702696.07390000019</v>
      </c>
      <c r="L1344" s="22">
        <f t="shared" si="101"/>
        <v>1067.9271639817632</v>
      </c>
      <c r="M1344" s="22">
        <f t="shared" si="102"/>
        <v>213</v>
      </c>
      <c r="N1344" s="22" t="str">
        <f t="shared" si="103"/>
        <v>High Value</v>
      </c>
      <c r="O1344" s="22" t="str">
        <f t="shared" si="104"/>
        <v>Mar-2025</v>
      </c>
      <c r="P1344" s="22" t="s">
        <v>1705</v>
      </c>
      <c r="Q1344" s="22" t="s">
        <v>1569</v>
      </c>
      <c r="R1344" s="22" t="s">
        <v>1126</v>
      </c>
      <c r="S1344" s="22"/>
      <c r="T1344" s="22"/>
      <c r="V1344" s="26" t="s">
        <v>1933</v>
      </c>
      <c r="W1344" s="6">
        <v>4</v>
      </c>
    </row>
    <row r="1345" spans="1:23">
      <c r="A1345" t="s">
        <v>3282</v>
      </c>
      <c r="B1345" s="8">
        <v>45323</v>
      </c>
      <c r="C1345" t="s">
        <v>1256</v>
      </c>
      <c r="D1345" t="s">
        <v>1846</v>
      </c>
      <c r="E1345" t="s">
        <v>1864</v>
      </c>
      <c r="F1345">
        <v>3</v>
      </c>
      <c r="G1345" s="10">
        <v>760.38</v>
      </c>
      <c r="H1345" s="13">
        <v>0</v>
      </c>
      <c r="I1345" t="s">
        <v>1936</v>
      </c>
      <c r="J1345" s="16">
        <v>2281.14</v>
      </c>
      <c r="K1345" s="19">
        <f t="shared" si="100"/>
        <v>701093.36710000027</v>
      </c>
      <c r="L1345" s="22">
        <f t="shared" si="101"/>
        <v>1067.1131919330294</v>
      </c>
      <c r="M1345" s="22">
        <f t="shared" si="102"/>
        <v>213</v>
      </c>
      <c r="N1345" s="22" t="str">
        <f t="shared" si="103"/>
        <v>High Value</v>
      </c>
      <c r="O1345" s="22" t="str">
        <f t="shared" si="104"/>
        <v>Feb-2024</v>
      </c>
      <c r="P1345" s="22" t="s">
        <v>1847</v>
      </c>
      <c r="Q1345" s="22" t="s">
        <v>1569</v>
      </c>
      <c r="R1345" s="22" t="s">
        <v>1257</v>
      </c>
      <c r="S1345" s="22"/>
      <c r="T1345" s="22"/>
      <c r="V1345" s="25" t="s">
        <v>662</v>
      </c>
      <c r="W1345" s="6">
        <v>11</v>
      </c>
    </row>
    <row r="1346" spans="1:23">
      <c r="A1346" t="s">
        <v>3283</v>
      </c>
      <c r="B1346" s="8">
        <v>45362</v>
      </c>
      <c r="C1346" t="s">
        <v>940</v>
      </c>
      <c r="D1346" t="s">
        <v>1846</v>
      </c>
      <c r="E1346" t="s">
        <v>1883</v>
      </c>
      <c r="F1346">
        <v>3</v>
      </c>
      <c r="G1346" s="10">
        <v>612.53</v>
      </c>
      <c r="H1346" s="13">
        <v>0.21</v>
      </c>
      <c r="I1346" t="s">
        <v>1936</v>
      </c>
      <c r="J1346" s="16">
        <v>1451.6960999999999</v>
      </c>
      <c r="K1346" s="19">
        <f t="shared" ref="K1346:K1409" si="105">SUM(J1346:J3345)</f>
        <v>698812.22710000013</v>
      </c>
      <c r="L1346" s="22">
        <f t="shared" ref="L1346:L1409" si="106">AVERAGE(J1346:J3345)</f>
        <v>1065.2625413109758</v>
      </c>
      <c r="M1346" s="22">
        <f t="shared" ref="M1346:M1409" si="107">COUNTIF(I1346:I3345,"PayPal")</f>
        <v>213</v>
      </c>
      <c r="N1346" s="22" t="str">
        <f t="shared" ref="N1346:N1409" si="108">IF(J1346&gt;=1000,"High Value","Low Value")</f>
        <v>High Value</v>
      </c>
      <c r="O1346" s="22" t="str">
        <f t="shared" ref="O1346:O1409" si="109">TEXT(B1346,"mmm-yyyy")</f>
        <v>Mar-2024</v>
      </c>
      <c r="P1346" s="22" t="s">
        <v>1847</v>
      </c>
      <c r="Q1346" s="22" t="s">
        <v>1569</v>
      </c>
      <c r="R1346" s="22" t="s">
        <v>941</v>
      </c>
      <c r="S1346" s="22"/>
      <c r="T1346" s="22"/>
      <c r="V1346" s="26" t="s">
        <v>1936</v>
      </c>
      <c r="W1346" s="6">
        <v>9</v>
      </c>
    </row>
    <row r="1347" spans="1:23">
      <c r="A1347" t="s">
        <v>3284</v>
      </c>
      <c r="B1347" s="8">
        <v>45544</v>
      </c>
      <c r="C1347" t="s">
        <v>159</v>
      </c>
      <c r="D1347" t="s">
        <v>1743</v>
      </c>
      <c r="E1347" t="s">
        <v>1911</v>
      </c>
      <c r="F1347">
        <v>3</v>
      </c>
      <c r="G1347" s="10">
        <v>841.37</v>
      </c>
      <c r="H1347" s="13">
        <v>0.28999999999999998</v>
      </c>
      <c r="I1347" t="s">
        <v>1933</v>
      </c>
      <c r="J1347" s="16">
        <v>1792.1180999999999</v>
      </c>
      <c r="K1347" s="19">
        <f t="shared" si="105"/>
        <v>697360.53100000008</v>
      </c>
      <c r="L1347" s="22">
        <f t="shared" si="106"/>
        <v>1064.6725664122139</v>
      </c>
      <c r="M1347" s="22">
        <f t="shared" si="107"/>
        <v>213</v>
      </c>
      <c r="N1347" s="22" t="str">
        <f t="shared" si="108"/>
        <v>High Value</v>
      </c>
      <c r="O1347" s="22" t="str">
        <f t="shared" si="109"/>
        <v>Sep-2024</v>
      </c>
      <c r="P1347" s="22" t="s">
        <v>1744</v>
      </c>
      <c r="Q1347" s="22" t="s">
        <v>1555</v>
      </c>
      <c r="R1347" s="22" t="s">
        <v>160</v>
      </c>
      <c r="S1347" s="22"/>
      <c r="T1347" s="22"/>
      <c r="V1347" s="26" t="s">
        <v>1931</v>
      </c>
      <c r="W1347" s="6">
        <v>1</v>
      </c>
    </row>
    <row r="1348" spans="1:23">
      <c r="A1348" t="s">
        <v>3285</v>
      </c>
      <c r="B1348" s="8">
        <v>45249</v>
      </c>
      <c r="C1348" t="s">
        <v>833</v>
      </c>
      <c r="D1348" t="s">
        <v>1697</v>
      </c>
      <c r="E1348" t="s">
        <v>1893</v>
      </c>
      <c r="F1348">
        <v>2</v>
      </c>
      <c r="G1348" s="10">
        <v>636.51</v>
      </c>
      <c r="H1348" s="13">
        <v>0.25</v>
      </c>
      <c r="I1348" t="s">
        <v>1931</v>
      </c>
      <c r="J1348" s="16">
        <v>954.76499999999999</v>
      </c>
      <c r="K1348" s="19">
        <f t="shared" si="105"/>
        <v>695568.41290000011</v>
      </c>
      <c r="L1348" s="22">
        <f t="shared" si="106"/>
        <v>1063.5602643730888</v>
      </c>
      <c r="M1348" s="22">
        <f t="shared" si="107"/>
        <v>212</v>
      </c>
      <c r="N1348" s="22" t="str">
        <f t="shared" si="108"/>
        <v>Low Value</v>
      </c>
      <c r="O1348" s="22" t="str">
        <f t="shared" si="109"/>
        <v>Nov-2023</v>
      </c>
      <c r="P1348" s="22" t="s">
        <v>1698</v>
      </c>
      <c r="Q1348" s="22" t="s">
        <v>1531</v>
      </c>
      <c r="R1348" s="22" t="s">
        <v>834</v>
      </c>
      <c r="S1348" s="22"/>
      <c r="T1348" s="22"/>
      <c r="V1348" s="26" t="s">
        <v>1933</v>
      </c>
      <c r="W1348" s="6">
        <v>1</v>
      </c>
    </row>
    <row r="1349" spans="1:23">
      <c r="A1349" t="s">
        <v>3286</v>
      </c>
      <c r="B1349" s="8">
        <v>45659</v>
      </c>
      <c r="C1349" t="s">
        <v>324</v>
      </c>
      <c r="D1349" t="s">
        <v>1687</v>
      </c>
      <c r="E1349" t="s">
        <v>1889</v>
      </c>
      <c r="F1349">
        <v>2</v>
      </c>
      <c r="G1349" s="10">
        <v>732.37</v>
      </c>
      <c r="H1349" s="13">
        <v>0.22</v>
      </c>
      <c r="I1349" t="s">
        <v>1936</v>
      </c>
      <c r="J1349" s="16">
        <v>1142.4972</v>
      </c>
      <c r="K1349" s="19">
        <f t="shared" si="105"/>
        <v>694613.6479000001</v>
      </c>
      <c r="L1349" s="22">
        <f t="shared" si="106"/>
        <v>1063.7268727411947</v>
      </c>
      <c r="M1349" s="22">
        <f t="shared" si="107"/>
        <v>212</v>
      </c>
      <c r="N1349" s="22" t="str">
        <f t="shared" si="108"/>
        <v>High Value</v>
      </c>
      <c r="O1349" s="22" t="str">
        <f t="shared" si="109"/>
        <v>Jan-2025</v>
      </c>
      <c r="P1349" s="22" t="s">
        <v>1688</v>
      </c>
      <c r="Q1349" s="22" t="s">
        <v>1569</v>
      </c>
      <c r="R1349" s="22" t="s">
        <v>325</v>
      </c>
      <c r="S1349" s="22"/>
      <c r="T1349" s="22"/>
      <c r="V1349" s="25" t="s">
        <v>872</v>
      </c>
      <c r="W1349" s="6">
        <v>5</v>
      </c>
    </row>
    <row r="1350" spans="1:23">
      <c r="A1350" t="s">
        <v>3287</v>
      </c>
      <c r="B1350" s="8">
        <v>45927</v>
      </c>
      <c r="C1350" t="s">
        <v>545</v>
      </c>
      <c r="D1350" t="s">
        <v>1716</v>
      </c>
      <c r="E1350" t="s">
        <v>1911</v>
      </c>
      <c r="F1350">
        <v>3</v>
      </c>
      <c r="G1350" s="10">
        <v>183.44</v>
      </c>
      <c r="H1350" s="13">
        <v>0.28000000000000003</v>
      </c>
      <c r="I1350" t="s">
        <v>1936</v>
      </c>
      <c r="J1350" s="16">
        <v>396.23039999999992</v>
      </c>
      <c r="K1350" s="19">
        <f t="shared" si="105"/>
        <v>693471.1507</v>
      </c>
      <c r="L1350" s="22">
        <f t="shared" si="106"/>
        <v>1063.6060593558282</v>
      </c>
      <c r="M1350" s="22">
        <f t="shared" si="107"/>
        <v>212</v>
      </c>
      <c r="N1350" s="22" t="str">
        <f t="shared" si="108"/>
        <v>Low Value</v>
      </c>
      <c r="O1350" s="22" t="str">
        <f t="shared" si="109"/>
        <v>Sep-2025</v>
      </c>
      <c r="P1350" s="22" t="s">
        <v>1717</v>
      </c>
      <c r="Q1350" s="22" t="s">
        <v>1569</v>
      </c>
      <c r="R1350" s="22" t="s">
        <v>546</v>
      </c>
      <c r="S1350" s="22"/>
      <c r="T1350" s="22"/>
      <c r="V1350" s="26" t="s">
        <v>1936</v>
      </c>
      <c r="W1350" s="6">
        <v>1</v>
      </c>
    </row>
    <row r="1351" spans="1:23">
      <c r="A1351" t="s">
        <v>3288</v>
      </c>
      <c r="B1351" s="8">
        <v>45373</v>
      </c>
      <c r="C1351" t="s">
        <v>238</v>
      </c>
      <c r="D1351" t="s">
        <v>1576</v>
      </c>
      <c r="E1351" t="s">
        <v>1904</v>
      </c>
      <c r="F1351">
        <v>4</v>
      </c>
      <c r="G1351" s="10">
        <v>898.58</v>
      </c>
      <c r="H1351" s="13">
        <v>0.16</v>
      </c>
      <c r="I1351" t="s">
        <v>1933</v>
      </c>
      <c r="J1351" s="16">
        <v>3019.2287999999999</v>
      </c>
      <c r="K1351" s="19">
        <f t="shared" si="105"/>
        <v>693074.9203</v>
      </c>
      <c r="L1351" s="22">
        <f t="shared" si="106"/>
        <v>1064.6312139784945</v>
      </c>
      <c r="M1351" s="22">
        <f t="shared" si="107"/>
        <v>212</v>
      </c>
      <c r="N1351" s="22" t="str">
        <f t="shared" si="108"/>
        <v>High Value</v>
      </c>
      <c r="O1351" s="22" t="str">
        <f t="shared" si="109"/>
        <v>Mar-2024</v>
      </c>
      <c r="P1351" s="22" t="s">
        <v>1577</v>
      </c>
      <c r="Q1351" s="22" t="s">
        <v>1531</v>
      </c>
      <c r="R1351" s="22" t="s">
        <v>239</v>
      </c>
      <c r="S1351" s="22"/>
      <c r="T1351" s="22"/>
      <c r="V1351" s="26" t="s">
        <v>1931</v>
      </c>
      <c r="W1351" s="6">
        <v>4</v>
      </c>
    </row>
    <row r="1352" spans="1:23">
      <c r="A1352" t="s">
        <v>3289</v>
      </c>
      <c r="B1352" s="8">
        <v>45529</v>
      </c>
      <c r="C1352" t="s">
        <v>1211</v>
      </c>
      <c r="D1352" t="s">
        <v>1617</v>
      </c>
      <c r="E1352" t="s">
        <v>1868</v>
      </c>
      <c r="F1352">
        <v>3</v>
      </c>
      <c r="G1352" s="10">
        <v>152.41</v>
      </c>
      <c r="H1352" s="13">
        <v>0.25</v>
      </c>
      <c r="I1352" t="s">
        <v>1931</v>
      </c>
      <c r="J1352" s="16">
        <v>342.92250000000001</v>
      </c>
      <c r="K1352" s="19">
        <f t="shared" si="105"/>
        <v>690055.69149999996</v>
      </c>
      <c r="L1352" s="22">
        <f t="shared" si="106"/>
        <v>1061.6241407692307</v>
      </c>
      <c r="M1352" s="22">
        <f t="shared" si="107"/>
        <v>211</v>
      </c>
      <c r="N1352" s="22" t="str">
        <f t="shared" si="108"/>
        <v>Low Value</v>
      </c>
      <c r="O1352" s="22" t="str">
        <f t="shared" si="109"/>
        <v>Aug-2024</v>
      </c>
      <c r="P1352" s="22" t="s">
        <v>1618</v>
      </c>
      <c r="Q1352" s="22" t="s">
        <v>1536</v>
      </c>
      <c r="R1352" s="22" t="s">
        <v>1212</v>
      </c>
      <c r="S1352" s="22"/>
      <c r="T1352" s="22"/>
      <c r="V1352" s="25" t="s">
        <v>1515</v>
      </c>
      <c r="W1352" s="6">
        <v>15</v>
      </c>
    </row>
    <row r="1353" spans="1:23">
      <c r="A1353" t="s">
        <v>3290</v>
      </c>
      <c r="B1353" s="8">
        <v>45872</v>
      </c>
      <c r="C1353" t="s">
        <v>722</v>
      </c>
      <c r="D1353" t="s">
        <v>1831</v>
      </c>
      <c r="E1353" t="s">
        <v>1906</v>
      </c>
      <c r="F1353">
        <v>3</v>
      </c>
      <c r="G1353" s="10">
        <v>972.58</v>
      </c>
      <c r="H1353" s="13">
        <v>0.28000000000000003</v>
      </c>
      <c r="I1353" t="s">
        <v>1936</v>
      </c>
      <c r="J1353" s="16">
        <v>2100.7728000000002</v>
      </c>
      <c r="K1353" s="19">
        <f t="shared" si="105"/>
        <v>689712.76899999997</v>
      </c>
      <c r="L1353" s="22">
        <f t="shared" si="106"/>
        <v>1062.7315392912171</v>
      </c>
      <c r="M1353" s="22">
        <f t="shared" si="107"/>
        <v>211</v>
      </c>
      <c r="N1353" s="22" t="str">
        <f t="shared" si="108"/>
        <v>High Value</v>
      </c>
      <c r="O1353" s="22" t="str">
        <f t="shared" si="109"/>
        <v>Aug-2025</v>
      </c>
      <c r="P1353" s="22" t="s">
        <v>1832</v>
      </c>
      <c r="Q1353" s="22" t="s">
        <v>1560</v>
      </c>
      <c r="R1353" s="22" t="s">
        <v>723</v>
      </c>
      <c r="S1353" s="22"/>
      <c r="T1353" s="22"/>
      <c r="V1353" s="26" t="s">
        <v>1936</v>
      </c>
      <c r="W1353" s="6">
        <v>2</v>
      </c>
    </row>
    <row r="1354" spans="1:23">
      <c r="A1354" t="s">
        <v>3291</v>
      </c>
      <c r="B1354" s="8">
        <v>45267</v>
      </c>
      <c r="C1354" t="s">
        <v>1427</v>
      </c>
      <c r="D1354" t="s">
        <v>1762</v>
      </c>
      <c r="E1354" t="s">
        <v>1899</v>
      </c>
      <c r="F1354">
        <v>4</v>
      </c>
      <c r="G1354" s="10">
        <v>136.4</v>
      </c>
      <c r="H1354" s="13">
        <v>0.04</v>
      </c>
      <c r="I1354" t="s">
        <v>1936</v>
      </c>
      <c r="J1354" s="16">
        <v>523.77599999999995</v>
      </c>
      <c r="K1354" s="19">
        <f t="shared" si="105"/>
        <v>687611.99620000005</v>
      </c>
      <c r="L1354" s="22">
        <f t="shared" si="106"/>
        <v>1061.1296237654321</v>
      </c>
      <c r="M1354" s="22">
        <f t="shared" si="107"/>
        <v>211</v>
      </c>
      <c r="N1354" s="22" t="str">
        <f t="shared" si="108"/>
        <v>Low Value</v>
      </c>
      <c r="O1354" s="22" t="str">
        <f t="shared" si="109"/>
        <v>Dec-2023</v>
      </c>
      <c r="P1354" s="22" t="s">
        <v>1763</v>
      </c>
      <c r="Q1354" s="22" t="s">
        <v>1536</v>
      </c>
      <c r="R1354" s="22" t="s">
        <v>1428</v>
      </c>
      <c r="S1354" s="22"/>
      <c r="T1354" s="22"/>
      <c r="V1354" s="26" t="s">
        <v>1931</v>
      </c>
      <c r="W1354" s="6">
        <v>7</v>
      </c>
    </row>
    <row r="1355" spans="1:23">
      <c r="A1355" t="s">
        <v>3292</v>
      </c>
      <c r="B1355" s="8">
        <v>45894</v>
      </c>
      <c r="C1355" t="s">
        <v>1239</v>
      </c>
      <c r="D1355" t="s">
        <v>1837</v>
      </c>
      <c r="E1355" t="s">
        <v>1908</v>
      </c>
      <c r="F1355">
        <v>1</v>
      </c>
      <c r="G1355" s="10">
        <v>509.63</v>
      </c>
      <c r="H1355" s="13">
        <v>0.27</v>
      </c>
      <c r="I1355" t="s">
        <v>1936</v>
      </c>
      <c r="J1355" s="16">
        <v>372.0299</v>
      </c>
      <c r="K1355" s="19">
        <f t="shared" si="105"/>
        <v>687088.2202000001</v>
      </c>
      <c r="L1355" s="22">
        <f t="shared" si="106"/>
        <v>1061.9601548686246</v>
      </c>
      <c r="M1355" s="22">
        <f t="shared" si="107"/>
        <v>211</v>
      </c>
      <c r="N1355" s="22" t="str">
        <f t="shared" si="108"/>
        <v>Low Value</v>
      </c>
      <c r="O1355" s="22" t="str">
        <f t="shared" si="109"/>
        <v>Aug-2025</v>
      </c>
      <c r="P1355" s="22" t="s">
        <v>1838</v>
      </c>
      <c r="Q1355" s="22" t="s">
        <v>1555</v>
      </c>
      <c r="R1355" s="22" t="s">
        <v>1240</v>
      </c>
      <c r="S1355" s="22"/>
      <c r="T1355" s="22"/>
      <c r="V1355" s="26" t="s">
        <v>1933</v>
      </c>
      <c r="W1355" s="6">
        <v>6</v>
      </c>
    </row>
    <row r="1356" spans="1:23">
      <c r="A1356" t="s">
        <v>3293</v>
      </c>
      <c r="B1356" s="8">
        <v>45331</v>
      </c>
      <c r="C1356" t="s">
        <v>22</v>
      </c>
      <c r="D1356" t="s">
        <v>1846</v>
      </c>
      <c r="E1356" t="s">
        <v>1873</v>
      </c>
      <c r="F1356">
        <v>4</v>
      </c>
      <c r="G1356" s="10">
        <v>360.28</v>
      </c>
      <c r="H1356" s="13">
        <v>0.09</v>
      </c>
      <c r="I1356" t="s">
        <v>1936</v>
      </c>
      <c r="J1356" s="16">
        <v>1311.4192</v>
      </c>
      <c r="K1356" s="19">
        <f t="shared" si="105"/>
        <v>686716.19030000002</v>
      </c>
      <c r="L1356" s="22">
        <f t="shared" si="106"/>
        <v>1063.0281583591332</v>
      </c>
      <c r="M1356" s="22">
        <f t="shared" si="107"/>
        <v>211</v>
      </c>
      <c r="N1356" s="22" t="str">
        <f t="shared" si="108"/>
        <v>High Value</v>
      </c>
      <c r="O1356" s="22" t="str">
        <f t="shared" si="109"/>
        <v>Feb-2024</v>
      </c>
      <c r="P1356" s="22" t="s">
        <v>1847</v>
      </c>
      <c r="Q1356" s="22" t="s">
        <v>1569</v>
      </c>
      <c r="R1356" s="22" t="s">
        <v>3941</v>
      </c>
      <c r="S1356" s="22"/>
      <c r="T1356" s="22"/>
      <c r="V1356" s="25" t="s">
        <v>193</v>
      </c>
      <c r="W1356" s="6">
        <v>25</v>
      </c>
    </row>
    <row r="1357" spans="1:23">
      <c r="A1357" t="s">
        <v>3294</v>
      </c>
      <c r="B1357" s="8">
        <v>45910</v>
      </c>
      <c r="C1357" t="s">
        <v>289</v>
      </c>
      <c r="D1357" t="s">
        <v>1822</v>
      </c>
      <c r="E1357" t="s">
        <v>1908</v>
      </c>
      <c r="F1357">
        <v>3</v>
      </c>
      <c r="G1357" s="10">
        <v>882.05</v>
      </c>
      <c r="H1357" s="13">
        <v>0.06</v>
      </c>
      <c r="I1357" t="s">
        <v>1933</v>
      </c>
      <c r="J1357" s="16">
        <v>2487.3809999999989</v>
      </c>
      <c r="K1357" s="19">
        <f t="shared" si="105"/>
        <v>685404.77110000013</v>
      </c>
      <c r="L1357" s="22">
        <f t="shared" si="106"/>
        <v>1062.6430559689925</v>
      </c>
      <c r="M1357" s="22">
        <f t="shared" si="107"/>
        <v>211</v>
      </c>
      <c r="N1357" s="22" t="str">
        <f t="shared" si="108"/>
        <v>High Value</v>
      </c>
      <c r="O1357" s="22" t="str">
        <f t="shared" si="109"/>
        <v>Sep-2025</v>
      </c>
      <c r="P1357" s="22" t="s">
        <v>1823</v>
      </c>
      <c r="Q1357" s="22" t="s">
        <v>1555</v>
      </c>
      <c r="R1357" s="22" t="s">
        <v>290</v>
      </c>
      <c r="S1357" s="22"/>
      <c r="T1357" s="22"/>
      <c r="V1357" s="26" t="s">
        <v>1936</v>
      </c>
      <c r="W1357" s="6">
        <v>4</v>
      </c>
    </row>
    <row r="1358" spans="1:23">
      <c r="A1358" t="s">
        <v>3295</v>
      </c>
      <c r="B1358" s="8">
        <v>45564</v>
      </c>
      <c r="C1358" t="s">
        <v>638</v>
      </c>
      <c r="D1358" t="s">
        <v>1792</v>
      </c>
      <c r="E1358" t="s">
        <v>1889</v>
      </c>
      <c r="F1358">
        <v>3</v>
      </c>
      <c r="G1358" s="10">
        <v>141.54</v>
      </c>
      <c r="H1358" s="13">
        <v>0.12</v>
      </c>
      <c r="I1358" t="s">
        <v>1933</v>
      </c>
      <c r="J1358" s="16">
        <v>373.66559999999998</v>
      </c>
      <c r="K1358" s="19">
        <f t="shared" si="105"/>
        <v>682917.39010000008</v>
      </c>
      <c r="L1358" s="22">
        <f t="shared" si="106"/>
        <v>1060.4307299689442</v>
      </c>
      <c r="M1358" s="22">
        <f t="shared" si="107"/>
        <v>210</v>
      </c>
      <c r="N1358" s="22" t="str">
        <f t="shared" si="108"/>
        <v>Low Value</v>
      </c>
      <c r="O1358" s="22" t="str">
        <f t="shared" si="109"/>
        <v>Sep-2024</v>
      </c>
      <c r="P1358" s="22" t="s">
        <v>1793</v>
      </c>
      <c r="Q1358" s="22" t="s">
        <v>1560</v>
      </c>
      <c r="R1358" s="22" t="s">
        <v>639</v>
      </c>
      <c r="S1358" s="22"/>
      <c r="T1358" s="22"/>
      <c r="V1358" s="26" t="s">
        <v>1931</v>
      </c>
      <c r="W1358" s="6">
        <v>15</v>
      </c>
    </row>
    <row r="1359" spans="1:23">
      <c r="A1359" t="s">
        <v>3296</v>
      </c>
      <c r="B1359" s="8">
        <v>45461</v>
      </c>
      <c r="C1359" t="s">
        <v>167</v>
      </c>
      <c r="D1359" t="s">
        <v>1590</v>
      </c>
      <c r="E1359" t="s">
        <v>1876</v>
      </c>
      <c r="F1359">
        <v>3</v>
      </c>
      <c r="G1359" s="10">
        <v>83.5</v>
      </c>
      <c r="H1359" s="13">
        <v>0.23</v>
      </c>
      <c r="I1359" t="s">
        <v>1936</v>
      </c>
      <c r="J1359" s="16">
        <v>192.88499999999999</v>
      </c>
      <c r="K1359" s="19">
        <f t="shared" si="105"/>
        <v>682543.72450000013</v>
      </c>
      <c r="L1359" s="22">
        <f t="shared" si="106"/>
        <v>1061.4987939346813</v>
      </c>
      <c r="M1359" s="22">
        <f t="shared" si="107"/>
        <v>209</v>
      </c>
      <c r="N1359" s="22" t="str">
        <f t="shared" si="108"/>
        <v>Low Value</v>
      </c>
      <c r="O1359" s="22" t="str">
        <f t="shared" si="109"/>
        <v>Jun-2024</v>
      </c>
      <c r="P1359" s="22" t="s">
        <v>1591</v>
      </c>
      <c r="Q1359" s="22" t="s">
        <v>1531</v>
      </c>
      <c r="R1359" s="22" t="s">
        <v>168</v>
      </c>
      <c r="S1359" s="22"/>
      <c r="T1359" s="22"/>
      <c r="V1359" s="26" t="s">
        <v>1933</v>
      </c>
      <c r="W1359" s="6">
        <v>6</v>
      </c>
    </row>
    <row r="1360" spans="1:23">
      <c r="A1360" t="s">
        <v>3297</v>
      </c>
      <c r="B1360" s="8">
        <v>45258</v>
      </c>
      <c r="C1360" t="s">
        <v>421</v>
      </c>
      <c r="D1360" t="s">
        <v>1586</v>
      </c>
      <c r="E1360" t="s">
        <v>1883</v>
      </c>
      <c r="F1360">
        <v>2</v>
      </c>
      <c r="G1360" s="10">
        <v>629.73</v>
      </c>
      <c r="H1360" s="13">
        <v>7.0000000000000007E-2</v>
      </c>
      <c r="I1360" t="s">
        <v>1933</v>
      </c>
      <c r="J1360" s="16">
        <v>1171.2978000000001</v>
      </c>
      <c r="K1360" s="19">
        <f t="shared" si="105"/>
        <v>682350.83950000012</v>
      </c>
      <c r="L1360" s="22">
        <f t="shared" si="106"/>
        <v>1062.8517749221185</v>
      </c>
      <c r="M1360" s="22">
        <f t="shared" si="107"/>
        <v>209</v>
      </c>
      <c r="N1360" s="22" t="str">
        <f t="shared" si="108"/>
        <v>High Value</v>
      </c>
      <c r="O1360" s="22" t="str">
        <f t="shared" si="109"/>
        <v>Nov-2023</v>
      </c>
      <c r="P1360" s="22" t="s">
        <v>1587</v>
      </c>
      <c r="Q1360" s="22" t="s">
        <v>1560</v>
      </c>
      <c r="R1360" s="22" t="s">
        <v>422</v>
      </c>
      <c r="S1360" s="22"/>
      <c r="T1360" s="22"/>
      <c r="V1360" s="25" t="s">
        <v>359</v>
      </c>
      <c r="W1360" s="6">
        <v>3</v>
      </c>
    </row>
    <row r="1361" spans="1:23">
      <c r="A1361" t="s">
        <v>3298</v>
      </c>
      <c r="B1361" s="8">
        <v>45228</v>
      </c>
      <c r="C1361" t="s">
        <v>59</v>
      </c>
      <c r="D1361" t="s">
        <v>1649</v>
      </c>
      <c r="E1361" t="s">
        <v>1883</v>
      </c>
      <c r="F1361">
        <v>2</v>
      </c>
      <c r="G1361" s="10">
        <v>159.93</v>
      </c>
      <c r="H1361" s="13">
        <v>0.2</v>
      </c>
      <c r="I1361" t="s">
        <v>1936</v>
      </c>
      <c r="J1361" s="16">
        <v>255.88800000000001</v>
      </c>
      <c r="K1361" s="19">
        <f t="shared" si="105"/>
        <v>681179.54170000006</v>
      </c>
      <c r="L1361" s="22">
        <f t="shared" si="106"/>
        <v>1062.6825923556944</v>
      </c>
      <c r="M1361" s="22">
        <f t="shared" si="107"/>
        <v>208</v>
      </c>
      <c r="N1361" s="22" t="str">
        <f t="shared" si="108"/>
        <v>Low Value</v>
      </c>
      <c r="O1361" s="22" t="str">
        <f t="shared" si="109"/>
        <v>Oct-2023</v>
      </c>
      <c r="P1361" s="22" t="s">
        <v>1650</v>
      </c>
      <c r="Q1361" s="22" t="s">
        <v>1560</v>
      </c>
      <c r="R1361" s="22" t="s">
        <v>60</v>
      </c>
      <c r="S1361" s="22"/>
      <c r="T1361" s="22"/>
      <c r="V1361" s="26" t="s">
        <v>1936</v>
      </c>
      <c r="W1361" s="6">
        <v>3</v>
      </c>
    </row>
    <row r="1362" spans="1:23">
      <c r="A1362" t="s">
        <v>3299</v>
      </c>
      <c r="B1362" s="8">
        <v>45858</v>
      </c>
      <c r="C1362" t="s">
        <v>59</v>
      </c>
      <c r="D1362" t="s">
        <v>1687</v>
      </c>
      <c r="E1362" t="s">
        <v>1917</v>
      </c>
      <c r="F1362">
        <v>1</v>
      </c>
      <c r="G1362" s="10">
        <v>459.89</v>
      </c>
      <c r="H1362" s="13">
        <v>0.18</v>
      </c>
      <c r="I1362" t="s">
        <v>1936</v>
      </c>
      <c r="J1362" s="16">
        <v>377.10980000000001</v>
      </c>
      <c r="K1362" s="19">
        <f t="shared" si="105"/>
        <v>680923.65370000002</v>
      </c>
      <c r="L1362" s="22">
        <f t="shared" si="106"/>
        <v>1063.94320890625</v>
      </c>
      <c r="M1362" s="22">
        <f t="shared" si="107"/>
        <v>208</v>
      </c>
      <c r="N1362" s="22" t="str">
        <f t="shared" si="108"/>
        <v>Low Value</v>
      </c>
      <c r="O1362" s="22" t="str">
        <f t="shared" si="109"/>
        <v>Jul-2025</v>
      </c>
      <c r="P1362" s="22" t="s">
        <v>1688</v>
      </c>
      <c r="Q1362" s="22" t="s">
        <v>1569</v>
      </c>
      <c r="R1362" s="22" t="s">
        <v>60</v>
      </c>
      <c r="S1362" s="22"/>
      <c r="T1362" s="22"/>
      <c r="V1362" s="25" t="s">
        <v>1266</v>
      </c>
      <c r="W1362" s="6">
        <v>20</v>
      </c>
    </row>
    <row r="1363" spans="1:23">
      <c r="A1363" t="s">
        <v>3300</v>
      </c>
      <c r="B1363" s="8">
        <v>45532</v>
      </c>
      <c r="C1363" t="s">
        <v>617</v>
      </c>
      <c r="D1363" t="s">
        <v>1649</v>
      </c>
      <c r="E1363" t="s">
        <v>1920</v>
      </c>
      <c r="F1363">
        <v>4</v>
      </c>
      <c r="G1363" s="10">
        <v>885.57</v>
      </c>
      <c r="H1363" s="13">
        <v>0.27</v>
      </c>
      <c r="I1363" t="s">
        <v>1931</v>
      </c>
      <c r="J1363" s="16">
        <v>2585.8643999999999</v>
      </c>
      <c r="K1363" s="19">
        <f t="shared" si="105"/>
        <v>680546.54390000005</v>
      </c>
      <c r="L1363" s="22">
        <f t="shared" si="106"/>
        <v>1065.0180655712052</v>
      </c>
      <c r="M1363" s="22">
        <f t="shared" si="107"/>
        <v>208</v>
      </c>
      <c r="N1363" s="22" t="str">
        <f t="shared" si="108"/>
        <v>High Value</v>
      </c>
      <c r="O1363" s="22" t="str">
        <f t="shared" si="109"/>
        <v>Aug-2024</v>
      </c>
      <c r="P1363" s="22" t="s">
        <v>1650</v>
      </c>
      <c r="Q1363" s="22" t="s">
        <v>1560</v>
      </c>
      <c r="R1363" s="22" t="s">
        <v>618</v>
      </c>
      <c r="S1363" s="22"/>
      <c r="T1363" s="22"/>
      <c r="V1363" s="26" t="s">
        <v>1936</v>
      </c>
      <c r="W1363" s="6">
        <v>4</v>
      </c>
    </row>
    <row r="1364" spans="1:23">
      <c r="A1364" t="s">
        <v>3301</v>
      </c>
      <c r="B1364" s="8">
        <v>45454</v>
      </c>
      <c r="C1364" t="s">
        <v>1245</v>
      </c>
      <c r="D1364" t="s">
        <v>1716</v>
      </c>
      <c r="E1364" t="s">
        <v>1908</v>
      </c>
      <c r="F1364">
        <v>3</v>
      </c>
      <c r="G1364" s="10">
        <v>789.05</v>
      </c>
      <c r="H1364" s="13">
        <v>0</v>
      </c>
      <c r="I1364" t="s">
        <v>1933</v>
      </c>
      <c r="J1364" s="16">
        <v>2367.15</v>
      </c>
      <c r="K1364" s="19">
        <f t="shared" si="105"/>
        <v>677960.67950000009</v>
      </c>
      <c r="L1364" s="22">
        <f t="shared" si="106"/>
        <v>1062.6342938871476</v>
      </c>
      <c r="M1364" s="22">
        <f t="shared" si="107"/>
        <v>208</v>
      </c>
      <c r="N1364" s="22" t="str">
        <f t="shared" si="108"/>
        <v>High Value</v>
      </c>
      <c r="O1364" s="22" t="str">
        <f t="shared" si="109"/>
        <v>Jun-2024</v>
      </c>
      <c r="P1364" s="22" t="s">
        <v>1717</v>
      </c>
      <c r="Q1364" s="22" t="s">
        <v>1569</v>
      </c>
      <c r="R1364" s="22" t="s">
        <v>1246</v>
      </c>
      <c r="S1364" s="22"/>
      <c r="T1364" s="22"/>
      <c r="V1364" s="26" t="s">
        <v>1931</v>
      </c>
      <c r="W1364" s="6">
        <v>7</v>
      </c>
    </row>
    <row r="1365" spans="1:23">
      <c r="A1365" t="s">
        <v>3302</v>
      </c>
      <c r="B1365" s="8">
        <v>45244</v>
      </c>
      <c r="C1365" t="s">
        <v>515</v>
      </c>
      <c r="D1365" t="s">
        <v>1752</v>
      </c>
      <c r="E1365" t="s">
        <v>1859</v>
      </c>
      <c r="F1365">
        <v>1</v>
      </c>
      <c r="G1365" s="10">
        <v>570.52</v>
      </c>
      <c r="H1365" s="13">
        <v>0</v>
      </c>
      <c r="I1365" t="s">
        <v>1933</v>
      </c>
      <c r="J1365" s="16">
        <v>570.52</v>
      </c>
      <c r="K1365" s="19">
        <f t="shared" si="105"/>
        <v>675593.52950000006</v>
      </c>
      <c r="L1365" s="22">
        <f t="shared" si="106"/>
        <v>1060.5863885400315</v>
      </c>
      <c r="M1365" s="22">
        <f t="shared" si="107"/>
        <v>207</v>
      </c>
      <c r="N1365" s="22" t="str">
        <f t="shared" si="108"/>
        <v>Low Value</v>
      </c>
      <c r="O1365" s="22" t="str">
        <f t="shared" si="109"/>
        <v>Nov-2023</v>
      </c>
      <c r="P1365" s="22" t="s">
        <v>1753</v>
      </c>
      <c r="Q1365" s="22" t="s">
        <v>1555</v>
      </c>
      <c r="R1365" s="22" t="s">
        <v>516</v>
      </c>
      <c r="S1365" s="22"/>
      <c r="T1365" s="22"/>
      <c r="V1365" s="26" t="s">
        <v>1933</v>
      </c>
      <c r="W1365" s="6">
        <v>9</v>
      </c>
    </row>
    <row r="1366" spans="1:23">
      <c r="A1366" t="s">
        <v>3303</v>
      </c>
      <c r="B1366" s="8">
        <v>45322</v>
      </c>
      <c r="C1366" t="s">
        <v>590</v>
      </c>
      <c r="D1366" t="s">
        <v>1630</v>
      </c>
      <c r="E1366" t="s">
        <v>1911</v>
      </c>
      <c r="F1366">
        <v>4</v>
      </c>
      <c r="G1366" s="10">
        <v>310.79000000000002</v>
      </c>
      <c r="H1366" s="13">
        <v>0.22</v>
      </c>
      <c r="I1366" t="s">
        <v>1936</v>
      </c>
      <c r="J1366" s="16">
        <v>969.66480000000013</v>
      </c>
      <c r="K1366" s="19">
        <f t="shared" si="105"/>
        <v>675023.00950000016</v>
      </c>
      <c r="L1366" s="22">
        <f t="shared" si="106"/>
        <v>1061.3569331761009</v>
      </c>
      <c r="M1366" s="22">
        <f t="shared" si="107"/>
        <v>206</v>
      </c>
      <c r="N1366" s="22" t="str">
        <f t="shared" si="108"/>
        <v>Low Value</v>
      </c>
      <c r="O1366" s="22" t="str">
        <f t="shared" si="109"/>
        <v>Jan-2024</v>
      </c>
      <c r="P1366" s="22" t="s">
        <v>1631</v>
      </c>
      <c r="Q1366" s="22" t="s">
        <v>1560</v>
      </c>
      <c r="R1366" s="22" t="s">
        <v>591</v>
      </c>
      <c r="S1366" s="22"/>
      <c r="T1366" s="22"/>
      <c r="V1366" s="25" t="s">
        <v>825</v>
      </c>
      <c r="W1366" s="6">
        <v>6</v>
      </c>
    </row>
    <row r="1367" spans="1:23">
      <c r="A1367" t="s">
        <v>3304</v>
      </c>
      <c r="B1367" s="8">
        <v>45757</v>
      </c>
      <c r="C1367" t="s">
        <v>211</v>
      </c>
      <c r="D1367" t="s">
        <v>1758</v>
      </c>
      <c r="E1367" t="s">
        <v>1914</v>
      </c>
      <c r="F1367">
        <v>4</v>
      </c>
      <c r="G1367" s="10">
        <v>255.67</v>
      </c>
      <c r="H1367" s="13">
        <v>0.17</v>
      </c>
      <c r="I1367" t="s">
        <v>1931</v>
      </c>
      <c r="J1367" s="16">
        <v>848.82439999999997</v>
      </c>
      <c r="K1367" s="19">
        <f t="shared" si="105"/>
        <v>674053.34470000025</v>
      </c>
      <c r="L1367" s="22">
        <f t="shared" si="106"/>
        <v>1061.5013302362208</v>
      </c>
      <c r="M1367" s="22">
        <f t="shared" si="107"/>
        <v>206</v>
      </c>
      <c r="N1367" s="22" t="str">
        <f t="shared" si="108"/>
        <v>Low Value</v>
      </c>
      <c r="O1367" s="22" t="str">
        <f t="shared" si="109"/>
        <v>Apr-2025</v>
      </c>
      <c r="P1367" s="22" t="s">
        <v>1759</v>
      </c>
      <c r="Q1367" s="22" t="s">
        <v>1560</v>
      </c>
      <c r="R1367" s="22" t="s">
        <v>212</v>
      </c>
      <c r="S1367" s="22"/>
      <c r="T1367" s="22"/>
      <c r="V1367" s="26" t="s">
        <v>1936</v>
      </c>
      <c r="W1367" s="6">
        <v>4</v>
      </c>
    </row>
    <row r="1368" spans="1:23">
      <c r="A1368" t="s">
        <v>3305</v>
      </c>
      <c r="B1368" s="8">
        <v>45397</v>
      </c>
      <c r="C1368" t="s">
        <v>440</v>
      </c>
      <c r="D1368" t="s">
        <v>1630</v>
      </c>
      <c r="E1368" t="s">
        <v>1911</v>
      </c>
      <c r="F1368">
        <v>2</v>
      </c>
      <c r="G1368" s="10">
        <v>270.66000000000003</v>
      </c>
      <c r="H1368" s="13">
        <v>0.1</v>
      </c>
      <c r="I1368" t="s">
        <v>1936</v>
      </c>
      <c r="J1368" s="16">
        <v>487.18799999999999</v>
      </c>
      <c r="K1368" s="19">
        <f t="shared" si="105"/>
        <v>673204.52030000021</v>
      </c>
      <c r="L1368" s="22">
        <f t="shared" si="106"/>
        <v>1061.8367828075714</v>
      </c>
      <c r="M1368" s="22">
        <f t="shared" si="107"/>
        <v>206</v>
      </c>
      <c r="N1368" s="22" t="str">
        <f t="shared" si="108"/>
        <v>Low Value</v>
      </c>
      <c r="O1368" s="22" t="str">
        <f t="shared" si="109"/>
        <v>Apr-2024</v>
      </c>
      <c r="P1368" s="22" t="s">
        <v>1631</v>
      </c>
      <c r="Q1368" s="22" t="s">
        <v>1560</v>
      </c>
      <c r="R1368" s="22" t="s">
        <v>441</v>
      </c>
      <c r="S1368" s="22"/>
      <c r="T1368" s="22"/>
      <c r="V1368" s="26" t="s">
        <v>1933</v>
      </c>
      <c r="W1368" s="6">
        <v>2</v>
      </c>
    </row>
    <row r="1369" spans="1:23">
      <c r="A1369" t="s">
        <v>3306</v>
      </c>
      <c r="B1369" s="8">
        <v>45914</v>
      </c>
      <c r="C1369" t="s">
        <v>943</v>
      </c>
      <c r="D1369" t="s">
        <v>1617</v>
      </c>
      <c r="E1369" t="s">
        <v>1914</v>
      </c>
      <c r="F1369">
        <v>3</v>
      </c>
      <c r="G1369" s="10">
        <v>373.35</v>
      </c>
      <c r="H1369" s="13">
        <v>0.2</v>
      </c>
      <c r="I1369" t="s">
        <v>1936</v>
      </c>
      <c r="J1369" s="16">
        <v>896.04000000000019</v>
      </c>
      <c r="K1369" s="19">
        <f t="shared" si="105"/>
        <v>672717.33230000013</v>
      </c>
      <c r="L1369" s="22">
        <f t="shared" si="106"/>
        <v>1062.7446007898895</v>
      </c>
      <c r="M1369" s="22">
        <f t="shared" si="107"/>
        <v>206</v>
      </c>
      <c r="N1369" s="22" t="str">
        <f t="shared" si="108"/>
        <v>Low Value</v>
      </c>
      <c r="O1369" s="22" t="str">
        <f t="shared" si="109"/>
        <v>Sep-2025</v>
      </c>
      <c r="P1369" s="22" t="s">
        <v>1618</v>
      </c>
      <c r="Q1369" s="22" t="s">
        <v>1536</v>
      </c>
      <c r="R1369" s="22" t="s">
        <v>944</v>
      </c>
      <c r="S1369" s="22"/>
      <c r="T1369" s="22"/>
      <c r="V1369" s="25" t="s">
        <v>128</v>
      </c>
      <c r="W1369" s="6">
        <v>13</v>
      </c>
    </row>
    <row r="1370" spans="1:23">
      <c r="A1370" t="s">
        <v>3307</v>
      </c>
      <c r="B1370" s="8">
        <v>45432</v>
      </c>
      <c r="C1370" t="s">
        <v>143</v>
      </c>
      <c r="D1370" t="s">
        <v>1731</v>
      </c>
      <c r="E1370" t="s">
        <v>1899</v>
      </c>
      <c r="F1370">
        <v>2</v>
      </c>
      <c r="G1370" s="10">
        <v>23.58</v>
      </c>
      <c r="H1370" s="13">
        <v>0.02</v>
      </c>
      <c r="I1370" t="s">
        <v>1933</v>
      </c>
      <c r="J1370" s="16">
        <v>46.216799999999999</v>
      </c>
      <c r="K1370" s="19">
        <f t="shared" si="105"/>
        <v>671821.29230000009</v>
      </c>
      <c r="L1370" s="22">
        <f t="shared" si="106"/>
        <v>1063.0083738924052</v>
      </c>
      <c r="M1370" s="22">
        <f t="shared" si="107"/>
        <v>206</v>
      </c>
      <c r="N1370" s="22" t="str">
        <f t="shared" si="108"/>
        <v>Low Value</v>
      </c>
      <c r="O1370" s="22" t="str">
        <f t="shared" si="109"/>
        <v>May-2024</v>
      </c>
      <c r="P1370" s="22" t="s">
        <v>1732</v>
      </c>
      <c r="Q1370" s="22" t="s">
        <v>1555</v>
      </c>
      <c r="R1370" s="22" t="s">
        <v>144</v>
      </c>
      <c r="S1370" s="22"/>
      <c r="T1370" s="22"/>
      <c r="V1370" s="26" t="s">
        <v>1936</v>
      </c>
      <c r="W1370" s="6">
        <v>2</v>
      </c>
    </row>
    <row r="1371" spans="1:23">
      <c r="A1371" t="s">
        <v>3308</v>
      </c>
      <c r="B1371" s="8">
        <v>45798</v>
      </c>
      <c r="C1371" t="s">
        <v>31</v>
      </c>
      <c r="D1371" t="s">
        <v>1655</v>
      </c>
      <c r="E1371" t="s">
        <v>1886</v>
      </c>
      <c r="F1371">
        <v>4</v>
      </c>
      <c r="G1371" s="10">
        <v>185.67</v>
      </c>
      <c r="H1371" s="13">
        <v>0.21</v>
      </c>
      <c r="I1371" t="s">
        <v>1933</v>
      </c>
      <c r="J1371" s="16">
        <v>586.71719999999993</v>
      </c>
      <c r="K1371" s="19">
        <f t="shared" si="105"/>
        <v>671775.07550000015</v>
      </c>
      <c r="L1371" s="22">
        <f t="shared" si="106"/>
        <v>1064.6197709984156</v>
      </c>
      <c r="M1371" s="22">
        <f t="shared" si="107"/>
        <v>205</v>
      </c>
      <c r="N1371" s="22" t="str">
        <f t="shared" si="108"/>
        <v>Low Value</v>
      </c>
      <c r="O1371" s="22" t="str">
        <f t="shared" si="109"/>
        <v>May-2025</v>
      </c>
      <c r="P1371" s="22" t="s">
        <v>1656</v>
      </c>
      <c r="Q1371" s="22" t="s">
        <v>1560</v>
      </c>
      <c r="R1371" s="22" t="s">
        <v>32</v>
      </c>
      <c r="S1371" s="22"/>
      <c r="T1371" s="22"/>
      <c r="V1371" s="26" t="s">
        <v>1931</v>
      </c>
      <c r="W1371" s="6">
        <v>6</v>
      </c>
    </row>
    <row r="1372" spans="1:23">
      <c r="A1372" t="s">
        <v>3309</v>
      </c>
      <c r="B1372" s="8">
        <v>45396</v>
      </c>
      <c r="C1372" t="s">
        <v>412</v>
      </c>
      <c r="D1372" t="s">
        <v>1600</v>
      </c>
      <c r="E1372" t="s">
        <v>1904</v>
      </c>
      <c r="F1372">
        <v>3</v>
      </c>
      <c r="G1372" s="10">
        <v>928.74</v>
      </c>
      <c r="H1372" s="13">
        <v>0.27</v>
      </c>
      <c r="I1372" t="s">
        <v>1933</v>
      </c>
      <c r="J1372" s="16">
        <v>2033.9405999999999</v>
      </c>
      <c r="K1372" s="19">
        <f t="shared" si="105"/>
        <v>671188.35830000008</v>
      </c>
      <c r="L1372" s="22">
        <f t="shared" si="106"/>
        <v>1065.3783465079366</v>
      </c>
      <c r="M1372" s="22">
        <f t="shared" si="107"/>
        <v>204</v>
      </c>
      <c r="N1372" s="22" t="str">
        <f t="shared" si="108"/>
        <v>High Value</v>
      </c>
      <c r="O1372" s="22" t="str">
        <f t="shared" si="109"/>
        <v>Apr-2024</v>
      </c>
      <c r="P1372" s="22" t="s">
        <v>1601</v>
      </c>
      <c r="Q1372" s="22" t="s">
        <v>1536</v>
      </c>
      <c r="R1372" s="22" t="s">
        <v>413</v>
      </c>
      <c r="S1372" s="22"/>
      <c r="T1372" s="22"/>
      <c r="V1372" s="26" t="s">
        <v>1933</v>
      </c>
      <c r="W1372" s="6">
        <v>5</v>
      </c>
    </row>
    <row r="1373" spans="1:23">
      <c r="A1373" t="s">
        <v>3310</v>
      </c>
      <c r="B1373" s="8">
        <v>45235</v>
      </c>
      <c r="C1373" t="s">
        <v>121</v>
      </c>
      <c r="D1373" t="s">
        <v>1807</v>
      </c>
      <c r="E1373" t="s">
        <v>1880</v>
      </c>
      <c r="F1373">
        <v>3</v>
      </c>
      <c r="G1373" s="10">
        <v>923.38</v>
      </c>
      <c r="H1373" s="13">
        <v>7.0000000000000007E-2</v>
      </c>
      <c r="I1373" t="s">
        <v>1936</v>
      </c>
      <c r="J1373" s="16">
        <v>2576.2302</v>
      </c>
      <c r="K1373" s="19">
        <f t="shared" si="105"/>
        <v>669154.41769999999</v>
      </c>
      <c r="L1373" s="22">
        <f t="shared" si="106"/>
        <v>1063.83850190779</v>
      </c>
      <c r="M1373" s="22">
        <f t="shared" si="107"/>
        <v>203</v>
      </c>
      <c r="N1373" s="22" t="str">
        <f t="shared" si="108"/>
        <v>High Value</v>
      </c>
      <c r="O1373" s="22" t="str">
        <f t="shared" si="109"/>
        <v>Nov-2023</v>
      </c>
      <c r="P1373" s="22" t="s">
        <v>1808</v>
      </c>
      <c r="Q1373" s="22" t="s">
        <v>1560</v>
      </c>
      <c r="R1373" s="22" t="s">
        <v>122</v>
      </c>
      <c r="S1373" s="22"/>
      <c r="T1373" s="22"/>
      <c r="V1373" s="25" t="s">
        <v>1496</v>
      </c>
      <c r="W1373" s="6">
        <v>8</v>
      </c>
    </row>
    <row r="1374" spans="1:23">
      <c r="A1374" t="s">
        <v>3311</v>
      </c>
      <c r="B1374" s="8">
        <v>45499</v>
      </c>
      <c r="C1374" t="s">
        <v>1416</v>
      </c>
      <c r="D1374" t="s">
        <v>1545</v>
      </c>
      <c r="E1374" t="s">
        <v>1893</v>
      </c>
      <c r="F1374">
        <v>2</v>
      </c>
      <c r="G1374" s="10">
        <v>409.26</v>
      </c>
      <c r="H1374" s="13">
        <v>0.1</v>
      </c>
      <c r="I1374" t="s">
        <v>1933</v>
      </c>
      <c r="J1374" s="16">
        <v>736.66800000000001</v>
      </c>
      <c r="K1374" s="19">
        <f t="shared" si="105"/>
        <v>666578.1875</v>
      </c>
      <c r="L1374" s="22">
        <f t="shared" si="106"/>
        <v>1061.4302348726114</v>
      </c>
      <c r="M1374" s="22">
        <f t="shared" si="107"/>
        <v>203</v>
      </c>
      <c r="N1374" s="22" t="str">
        <f t="shared" si="108"/>
        <v>Low Value</v>
      </c>
      <c r="O1374" s="22" t="str">
        <f t="shared" si="109"/>
        <v>Jul-2024</v>
      </c>
      <c r="P1374" s="22" t="s">
        <v>1546</v>
      </c>
      <c r="Q1374" s="22" t="s">
        <v>1536</v>
      </c>
      <c r="R1374" s="22" t="s">
        <v>1417</v>
      </c>
      <c r="S1374" s="22"/>
      <c r="T1374" s="22"/>
      <c r="V1374" s="26" t="s">
        <v>1936</v>
      </c>
      <c r="W1374" s="6">
        <v>3</v>
      </c>
    </row>
    <row r="1375" spans="1:23">
      <c r="A1375" t="s">
        <v>3312</v>
      </c>
      <c r="B1375" s="8">
        <v>45272</v>
      </c>
      <c r="C1375" t="s">
        <v>812</v>
      </c>
      <c r="D1375" t="s">
        <v>1617</v>
      </c>
      <c r="E1375" t="s">
        <v>1886</v>
      </c>
      <c r="F1375">
        <v>2</v>
      </c>
      <c r="G1375" s="10">
        <v>608.46</v>
      </c>
      <c r="H1375" s="13">
        <v>0.16</v>
      </c>
      <c r="I1375" t="s">
        <v>1931</v>
      </c>
      <c r="J1375" s="16">
        <v>1022.2128</v>
      </c>
      <c r="K1375" s="19">
        <f t="shared" si="105"/>
        <v>665841.51950000005</v>
      </c>
      <c r="L1375" s="22">
        <f t="shared" si="106"/>
        <v>1061.9481969696972</v>
      </c>
      <c r="M1375" s="22">
        <f t="shared" si="107"/>
        <v>202</v>
      </c>
      <c r="N1375" s="22" t="str">
        <f t="shared" si="108"/>
        <v>High Value</v>
      </c>
      <c r="O1375" s="22" t="str">
        <f t="shared" si="109"/>
        <v>Dec-2023</v>
      </c>
      <c r="P1375" s="22" t="s">
        <v>1618</v>
      </c>
      <c r="Q1375" s="22" t="s">
        <v>1536</v>
      </c>
      <c r="R1375" s="22" t="s">
        <v>813</v>
      </c>
      <c r="S1375" s="22"/>
      <c r="T1375" s="22"/>
      <c r="V1375" s="26" t="s">
        <v>1931</v>
      </c>
      <c r="W1375" s="6">
        <v>5</v>
      </c>
    </row>
    <row r="1376" spans="1:23">
      <c r="A1376" t="s">
        <v>3313</v>
      </c>
      <c r="B1376" s="8">
        <v>45785</v>
      </c>
      <c r="C1376" t="s">
        <v>688</v>
      </c>
      <c r="D1376" t="s">
        <v>1678</v>
      </c>
      <c r="E1376" t="s">
        <v>1920</v>
      </c>
      <c r="F1376">
        <v>4</v>
      </c>
      <c r="G1376" s="10">
        <v>150.47999999999999</v>
      </c>
      <c r="H1376" s="13">
        <v>0.09</v>
      </c>
      <c r="I1376" t="s">
        <v>1931</v>
      </c>
      <c r="J1376" s="16">
        <v>547.74720000000002</v>
      </c>
      <c r="K1376" s="19">
        <f t="shared" si="105"/>
        <v>664819.30669999996</v>
      </c>
      <c r="L1376" s="22">
        <f t="shared" si="106"/>
        <v>1062.0116720447284</v>
      </c>
      <c r="M1376" s="22">
        <f t="shared" si="107"/>
        <v>202</v>
      </c>
      <c r="N1376" s="22" t="str">
        <f t="shared" si="108"/>
        <v>Low Value</v>
      </c>
      <c r="O1376" s="22" t="str">
        <f t="shared" si="109"/>
        <v>May-2025</v>
      </c>
      <c r="P1376" s="22" t="s">
        <v>1679</v>
      </c>
      <c r="Q1376" s="22" t="s">
        <v>1531</v>
      </c>
      <c r="R1376" s="22" t="s">
        <v>689</v>
      </c>
      <c r="S1376" s="22"/>
      <c r="T1376" s="22"/>
      <c r="V1376" s="25" t="s">
        <v>528</v>
      </c>
      <c r="W1376" s="6">
        <v>2</v>
      </c>
    </row>
    <row r="1377" spans="1:23">
      <c r="A1377" t="s">
        <v>3314</v>
      </c>
      <c r="B1377" s="8">
        <v>45534</v>
      </c>
      <c r="C1377" t="s">
        <v>786</v>
      </c>
      <c r="D1377" t="s">
        <v>1758</v>
      </c>
      <c r="E1377" t="s">
        <v>1906</v>
      </c>
      <c r="F1377">
        <v>4</v>
      </c>
      <c r="G1377" s="10">
        <v>207.41</v>
      </c>
      <c r="H1377" s="13">
        <v>0.02</v>
      </c>
      <c r="I1377" t="s">
        <v>1931</v>
      </c>
      <c r="J1377" s="16">
        <v>813.04719999999998</v>
      </c>
      <c r="K1377" s="19">
        <f t="shared" si="105"/>
        <v>664271.55949999997</v>
      </c>
      <c r="L1377" s="22">
        <f t="shared" si="106"/>
        <v>1062.8344952</v>
      </c>
      <c r="M1377" s="22">
        <f t="shared" si="107"/>
        <v>202</v>
      </c>
      <c r="N1377" s="22" t="str">
        <f t="shared" si="108"/>
        <v>Low Value</v>
      </c>
      <c r="O1377" s="22" t="str">
        <f t="shared" si="109"/>
        <v>Aug-2024</v>
      </c>
      <c r="P1377" s="22" t="s">
        <v>1759</v>
      </c>
      <c r="Q1377" s="22" t="s">
        <v>1560</v>
      </c>
      <c r="R1377" s="22" t="s">
        <v>787</v>
      </c>
      <c r="S1377" s="22"/>
      <c r="T1377" s="22"/>
      <c r="V1377" s="26" t="s">
        <v>1936</v>
      </c>
      <c r="W1377" s="6">
        <v>2</v>
      </c>
    </row>
    <row r="1378" spans="1:23">
      <c r="A1378" t="s">
        <v>3315</v>
      </c>
      <c r="B1378" s="8">
        <v>45803</v>
      </c>
      <c r="C1378" t="s">
        <v>568</v>
      </c>
      <c r="D1378" t="s">
        <v>1576</v>
      </c>
      <c r="E1378" t="s">
        <v>1883</v>
      </c>
      <c r="F1378">
        <v>1</v>
      </c>
      <c r="G1378" s="10">
        <v>56.59</v>
      </c>
      <c r="H1378" s="13">
        <v>0.15</v>
      </c>
      <c r="I1378" t="s">
        <v>1933</v>
      </c>
      <c r="J1378" s="16">
        <v>48.101500000000001</v>
      </c>
      <c r="K1378" s="19">
        <f t="shared" si="105"/>
        <v>663458.51230000006</v>
      </c>
      <c r="L1378" s="22">
        <f t="shared" si="106"/>
        <v>1063.2347953525641</v>
      </c>
      <c r="M1378" s="22">
        <f t="shared" si="107"/>
        <v>202</v>
      </c>
      <c r="N1378" s="22" t="str">
        <f t="shared" si="108"/>
        <v>Low Value</v>
      </c>
      <c r="O1378" s="22" t="str">
        <f t="shared" si="109"/>
        <v>May-2025</v>
      </c>
      <c r="P1378" s="22" t="s">
        <v>1577</v>
      </c>
      <c r="Q1378" s="22" t="s">
        <v>1531</v>
      </c>
      <c r="R1378" s="22" t="s">
        <v>569</v>
      </c>
      <c r="S1378" s="22"/>
      <c r="T1378" s="22"/>
      <c r="V1378" s="25" t="s">
        <v>469</v>
      </c>
      <c r="W1378" s="6">
        <v>10</v>
      </c>
    </row>
    <row r="1379" spans="1:23">
      <c r="A1379" t="s">
        <v>3316</v>
      </c>
      <c r="B1379" s="8">
        <v>45667</v>
      </c>
      <c r="C1379" t="s">
        <v>1253</v>
      </c>
      <c r="D1379" t="s">
        <v>1668</v>
      </c>
      <c r="E1379" t="s">
        <v>1876</v>
      </c>
      <c r="F1379">
        <v>4</v>
      </c>
      <c r="G1379" s="10">
        <v>995.4</v>
      </c>
      <c r="H1379" s="13">
        <v>0.27</v>
      </c>
      <c r="I1379" t="s">
        <v>1931</v>
      </c>
      <c r="J1379" s="16">
        <v>2906.5680000000002</v>
      </c>
      <c r="K1379" s="19">
        <f t="shared" si="105"/>
        <v>663410.41080000007</v>
      </c>
      <c r="L1379" s="22">
        <f t="shared" si="106"/>
        <v>1064.8642227929374</v>
      </c>
      <c r="M1379" s="22">
        <f t="shared" si="107"/>
        <v>201</v>
      </c>
      <c r="N1379" s="22" t="str">
        <f t="shared" si="108"/>
        <v>High Value</v>
      </c>
      <c r="O1379" s="22" t="str">
        <f t="shared" si="109"/>
        <v>Jan-2025</v>
      </c>
      <c r="P1379" s="22" t="s">
        <v>1669</v>
      </c>
      <c r="Q1379" s="22" t="s">
        <v>1531</v>
      </c>
      <c r="R1379" s="22" t="s">
        <v>1254</v>
      </c>
      <c r="S1379" s="22"/>
      <c r="T1379" s="22"/>
      <c r="V1379" s="26" t="s">
        <v>1936</v>
      </c>
      <c r="W1379" s="6">
        <v>7</v>
      </c>
    </row>
    <row r="1380" spans="1:23">
      <c r="A1380" t="s">
        <v>3317</v>
      </c>
      <c r="B1380" s="8">
        <v>45656</v>
      </c>
      <c r="C1380" t="s">
        <v>235</v>
      </c>
      <c r="D1380" t="s">
        <v>1693</v>
      </c>
      <c r="E1380" t="s">
        <v>1901</v>
      </c>
      <c r="F1380">
        <v>2</v>
      </c>
      <c r="G1380" s="10">
        <v>591.33000000000004</v>
      </c>
      <c r="H1380" s="13">
        <v>0.24</v>
      </c>
      <c r="I1380" t="s">
        <v>1931</v>
      </c>
      <c r="J1380" s="16">
        <v>898.8216000000001</v>
      </c>
      <c r="K1380" s="19">
        <f t="shared" si="105"/>
        <v>660503.84279999998</v>
      </c>
      <c r="L1380" s="22">
        <f t="shared" si="106"/>
        <v>1061.903284244373</v>
      </c>
      <c r="M1380" s="22">
        <f t="shared" si="107"/>
        <v>201</v>
      </c>
      <c r="N1380" s="22" t="str">
        <f t="shared" si="108"/>
        <v>Low Value</v>
      </c>
      <c r="O1380" s="22" t="str">
        <f t="shared" si="109"/>
        <v>Dec-2024</v>
      </c>
      <c r="P1380" s="22" t="s">
        <v>1694</v>
      </c>
      <c r="Q1380" s="22" t="s">
        <v>1555</v>
      </c>
      <c r="R1380" s="22" t="s">
        <v>236</v>
      </c>
      <c r="S1380" s="22"/>
      <c r="T1380" s="22"/>
      <c r="V1380" s="26" t="s">
        <v>1931</v>
      </c>
      <c r="W1380" s="6">
        <v>2</v>
      </c>
    </row>
    <row r="1381" spans="1:23">
      <c r="A1381" t="s">
        <v>3318</v>
      </c>
      <c r="B1381" s="8">
        <v>45869</v>
      </c>
      <c r="C1381" t="s">
        <v>1175</v>
      </c>
      <c r="D1381" t="s">
        <v>1697</v>
      </c>
      <c r="E1381" t="s">
        <v>1914</v>
      </c>
      <c r="F1381">
        <v>2</v>
      </c>
      <c r="G1381" s="10">
        <v>204.89</v>
      </c>
      <c r="H1381" s="13">
        <v>0.24</v>
      </c>
      <c r="I1381" t="s">
        <v>1931</v>
      </c>
      <c r="J1381" s="16">
        <v>311.43279999999999</v>
      </c>
      <c r="K1381" s="19">
        <f t="shared" si="105"/>
        <v>659605.02120000008</v>
      </c>
      <c r="L1381" s="22">
        <f t="shared" si="106"/>
        <v>1062.165895652174</v>
      </c>
      <c r="M1381" s="22">
        <f t="shared" si="107"/>
        <v>201</v>
      </c>
      <c r="N1381" s="22" t="str">
        <f t="shared" si="108"/>
        <v>Low Value</v>
      </c>
      <c r="O1381" s="22" t="str">
        <f t="shared" si="109"/>
        <v>Jul-2025</v>
      </c>
      <c r="P1381" s="22" t="s">
        <v>1698</v>
      </c>
      <c r="Q1381" s="22" t="s">
        <v>1531</v>
      </c>
      <c r="R1381" s="22" t="s">
        <v>1176</v>
      </c>
      <c r="S1381" s="22"/>
      <c r="T1381" s="22"/>
      <c r="V1381" s="26" t="s">
        <v>1933</v>
      </c>
      <c r="W1381" s="6">
        <v>1</v>
      </c>
    </row>
    <row r="1382" spans="1:23">
      <c r="A1382" t="s">
        <v>3319</v>
      </c>
      <c r="B1382" s="8">
        <v>45549</v>
      </c>
      <c r="C1382" t="s">
        <v>320</v>
      </c>
      <c r="D1382" t="s">
        <v>1749</v>
      </c>
      <c r="E1382" t="s">
        <v>1906</v>
      </c>
      <c r="F1382">
        <v>2</v>
      </c>
      <c r="G1382" s="10">
        <v>546.41</v>
      </c>
      <c r="H1382" s="13">
        <v>0.08</v>
      </c>
      <c r="I1382" t="s">
        <v>1936</v>
      </c>
      <c r="J1382" s="16">
        <v>1005.3944</v>
      </c>
      <c r="K1382" s="19">
        <f t="shared" si="105"/>
        <v>659293.58840000012</v>
      </c>
      <c r="L1382" s="22">
        <f t="shared" si="106"/>
        <v>1063.3767554838712</v>
      </c>
      <c r="M1382" s="22">
        <f t="shared" si="107"/>
        <v>201</v>
      </c>
      <c r="N1382" s="22" t="str">
        <f t="shared" si="108"/>
        <v>High Value</v>
      </c>
      <c r="O1382" s="22" t="str">
        <f t="shared" si="109"/>
        <v>Sep-2024</v>
      </c>
      <c r="P1382" s="22" t="s">
        <v>1750</v>
      </c>
      <c r="Q1382" s="22" t="s">
        <v>1569</v>
      </c>
      <c r="R1382" s="22" t="s">
        <v>321</v>
      </c>
      <c r="S1382" s="22"/>
      <c r="T1382" s="22"/>
      <c r="V1382" s="25" t="s">
        <v>1275</v>
      </c>
      <c r="W1382" s="6">
        <v>5</v>
      </c>
    </row>
    <row r="1383" spans="1:23">
      <c r="A1383" t="s">
        <v>3320</v>
      </c>
      <c r="B1383" s="8">
        <v>45409</v>
      </c>
      <c r="C1383" t="s">
        <v>208</v>
      </c>
      <c r="D1383" t="s">
        <v>1600</v>
      </c>
      <c r="E1383" t="s">
        <v>1901</v>
      </c>
      <c r="F1383">
        <v>4</v>
      </c>
      <c r="G1383" s="10">
        <v>455.49</v>
      </c>
      <c r="H1383" s="13">
        <v>0.17</v>
      </c>
      <c r="I1383" t="s">
        <v>1931</v>
      </c>
      <c r="J1383" s="16">
        <v>1512.2267999999999</v>
      </c>
      <c r="K1383" s="19">
        <f t="shared" si="105"/>
        <v>658288.19400000013</v>
      </c>
      <c r="L1383" s="22">
        <f t="shared" si="106"/>
        <v>1063.4704264943459</v>
      </c>
      <c r="M1383" s="22">
        <f t="shared" si="107"/>
        <v>201</v>
      </c>
      <c r="N1383" s="22" t="str">
        <f t="shared" si="108"/>
        <v>High Value</v>
      </c>
      <c r="O1383" s="22" t="str">
        <f t="shared" si="109"/>
        <v>Apr-2024</v>
      </c>
      <c r="P1383" s="22" t="s">
        <v>1601</v>
      </c>
      <c r="Q1383" s="22" t="s">
        <v>1536</v>
      </c>
      <c r="R1383" s="22" t="s">
        <v>209</v>
      </c>
      <c r="S1383" s="22"/>
      <c r="T1383" s="22"/>
      <c r="V1383" s="26" t="s">
        <v>1936</v>
      </c>
      <c r="W1383" s="6">
        <v>5</v>
      </c>
    </row>
    <row r="1384" spans="1:23">
      <c r="A1384" t="s">
        <v>3321</v>
      </c>
      <c r="B1384" s="8">
        <v>45374</v>
      </c>
      <c r="C1384" t="s">
        <v>1302</v>
      </c>
      <c r="D1384" t="s">
        <v>1572</v>
      </c>
      <c r="E1384" t="s">
        <v>1911</v>
      </c>
      <c r="F1384">
        <v>2</v>
      </c>
      <c r="G1384" s="10">
        <v>700.27</v>
      </c>
      <c r="H1384" s="13">
        <v>0.16</v>
      </c>
      <c r="I1384" t="s">
        <v>1931</v>
      </c>
      <c r="J1384" s="16">
        <v>1176.4536000000001</v>
      </c>
      <c r="K1384" s="19">
        <f t="shared" si="105"/>
        <v>656775.96720000019</v>
      </c>
      <c r="L1384" s="22">
        <f t="shared" si="106"/>
        <v>1062.744283495146</v>
      </c>
      <c r="M1384" s="22">
        <f t="shared" si="107"/>
        <v>201</v>
      </c>
      <c r="N1384" s="22" t="str">
        <f t="shared" si="108"/>
        <v>High Value</v>
      </c>
      <c r="O1384" s="22" t="str">
        <f t="shared" si="109"/>
        <v>Mar-2024</v>
      </c>
      <c r="P1384" s="22" t="s">
        <v>1573</v>
      </c>
      <c r="Q1384" s="22" t="s">
        <v>1560</v>
      </c>
      <c r="R1384" s="22" t="s">
        <v>3959</v>
      </c>
      <c r="S1384" s="22"/>
      <c r="T1384" s="22"/>
      <c r="V1384" s="25" t="s">
        <v>1384</v>
      </c>
      <c r="W1384" s="6">
        <v>5</v>
      </c>
    </row>
    <row r="1385" spans="1:23">
      <c r="A1385" t="s">
        <v>3322</v>
      </c>
      <c r="B1385" s="8">
        <v>45282</v>
      </c>
      <c r="C1385" t="s">
        <v>1079</v>
      </c>
      <c r="D1385" t="s">
        <v>1801</v>
      </c>
      <c r="E1385" t="s">
        <v>1914</v>
      </c>
      <c r="F1385">
        <v>2</v>
      </c>
      <c r="G1385" s="10">
        <v>160.21</v>
      </c>
      <c r="H1385" s="13">
        <v>0.09</v>
      </c>
      <c r="I1385" t="s">
        <v>1931</v>
      </c>
      <c r="J1385" s="16">
        <v>291.5822</v>
      </c>
      <c r="K1385" s="19">
        <f t="shared" si="105"/>
        <v>655599.51360000018</v>
      </c>
      <c r="L1385" s="22">
        <f t="shared" si="106"/>
        <v>1062.5599896272288</v>
      </c>
      <c r="M1385" s="22">
        <f t="shared" si="107"/>
        <v>201</v>
      </c>
      <c r="N1385" s="22" t="str">
        <f t="shared" si="108"/>
        <v>Low Value</v>
      </c>
      <c r="O1385" s="22" t="str">
        <f t="shared" si="109"/>
        <v>Dec-2023</v>
      </c>
      <c r="P1385" s="22" t="s">
        <v>1802</v>
      </c>
      <c r="Q1385" s="22" t="s">
        <v>1569</v>
      </c>
      <c r="R1385" s="22" t="s">
        <v>1080</v>
      </c>
      <c r="S1385" s="22"/>
      <c r="T1385" s="22"/>
      <c r="V1385" s="26" t="s">
        <v>1936</v>
      </c>
      <c r="W1385" s="6">
        <v>1</v>
      </c>
    </row>
    <row r="1386" spans="1:23">
      <c r="A1386" t="s">
        <v>3323</v>
      </c>
      <c r="B1386" s="8">
        <v>45742</v>
      </c>
      <c r="C1386" t="s">
        <v>127</v>
      </c>
      <c r="D1386" t="s">
        <v>1693</v>
      </c>
      <c r="E1386" t="s">
        <v>1899</v>
      </c>
      <c r="F1386">
        <v>1</v>
      </c>
      <c r="G1386" s="10">
        <v>713.63</v>
      </c>
      <c r="H1386" s="13">
        <v>0.28000000000000003</v>
      </c>
      <c r="I1386" t="s">
        <v>1936</v>
      </c>
      <c r="J1386" s="16">
        <v>513.81359999999995</v>
      </c>
      <c r="K1386" s="19">
        <f t="shared" si="105"/>
        <v>655307.93140000012</v>
      </c>
      <c r="L1386" s="22">
        <f t="shared" si="106"/>
        <v>1063.8115769480521</v>
      </c>
      <c r="M1386" s="22">
        <f t="shared" si="107"/>
        <v>201</v>
      </c>
      <c r="N1386" s="22" t="str">
        <f t="shared" si="108"/>
        <v>Low Value</v>
      </c>
      <c r="O1386" s="22" t="str">
        <f t="shared" si="109"/>
        <v>Mar-2025</v>
      </c>
      <c r="P1386" s="22" t="s">
        <v>1694</v>
      </c>
      <c r="Q1386" s="22" t="s">
        <v>1555</v>
      </c>
      <c r="R1386" s="22" t="s">
        <v>128</v>
      </c>
      <c r="S1386" s="22"/>
      <c r="T1386" s="22"/>
      <c r="V1386" s="26" t="s">
        <v>1931</v>
      </c>
      <c r="W1386" s="6">
        <v>4</v>
      </c>
    </row>
    <row r="1387" spans="1:23">
      <c r="A1387" t="s">
        <v>3324</v>
      </c>
      <c r="B1387" s="8">
        <v>45447</v>
      </c>
      <c r="C1387" t="s">
        <v>733</v>
      </c>
      <c r="D1387" t="s">
        <v>1834</v>
      </c>
      <c r="E1387" t="s">
        <v>1886</v>
      </c>
      <c r="F1387">
        <v>2</v>
      </c>
      <c r="G1387" s="10">
        <v>224.69</v>
      </c>
      <c r="H1387" s="13">
        <v>0.2</v>
      </c>
      <c r="I1387" t="s">
        <v>1936</v>
      </c>
      <c r="J1387" s="16">
        <v>359.50400000000002</v>
      </c>
      <c r="K1387" s="19">
        <f t="shared" si="105"/>
        <v>654794.11780000012</v>
      </c>
      <c r="L1387" s="22">
        <f t="shared" si="106"/>
        <v>1064.7058826016262</v>
      </c>
      <c r="M1387" s="22">
        <f t="shared" si="107"/>
        <v>201</v>
      </c>
      <c r="N1387" s="22" t="str">
        <f t="shared" si="108"/>
        <v>Low Value</v>
      </c>
      <c r="O1387" s="22" t="str">
        <f t="shared" si="109"/>
        <v>Jun-2024</v>
      </c>
      <c r="P1387" s="22" t="s">
        <v>1835</v>
      </c>
      <c r="Q1387" s="22" t="s">
        <v>1531</v>
      </c>
      <c r="R1387" s="22" t="s">
        <v>734</v>
      </c>
      <c r="S1387" s="22"/>
      <c r="T1387" s="22"/>
      <c r="V1387" s="25" t="s">
        <v>875</v>
      </c>
      <c r="W1387" s="6">
        <v>13</v>
      </c>
    </row>
    <row r="1388" spans="1:23">
      <c r="A1388" t="s">
        <v>3325</v>
      </c>
      <c r="B1388" s="8">
        <v>45733</v>
      </c>
      <c r="C1388" t="s">
        <v>1391</v>
      </c>
      <c r="D1388" t="s">
        <v>1607</v>
      </c>
      <c r="E1388" t="s">
        <v>1906</v>
      </c>
      <c r="F1388">
        <v>2</v>
      </c>
      <c r="G1388" s="10">
        <v>740.57</v>
      </c>
      <c r="H1388" s="13">
        <v>0.06</v>
      </c>
      <c r="I1388" t="s">
        <v>1931</v>
      </c>
      <c r="J1388" s="16">
        <v>1392.2716</v>
      </c>
      <c r="K1388" s="19">
        <f t="shared" si="105"/>
        <v>654434.61380000017</v>
      </c>
      <c r="L1388" s="22">
        <f t="shared" si="106"/>
        <v>1065.854419869707</v>
      </c>
      <c r="M1388" s="22">
        <f t="shared" si="107"/>
        <v>201</v>
      </c>
      <c r="N1388" s="22" t="str">
        <f t="shared" si="108"/>
        <v>High Value</v>
      </c>
      <c r="O1388" s="22" t="str">
        <f t="shared" si="109"/>
        <v>Mar-2025</v>
      </c>
      <c r="P1388" s="22" t="s">
        <v>1608</v>
      </c>
      <c r="Q1388" s="22" t="s">
        <v>1569</v>
      </c>
      <c r="R1388" s="22" t="s">
        <v>1392</v>
      </c>
      <c r="S1388" s="22"/>
      <c r="T1388" s="22"/>
      <c r="V1388" s="26" t="s">
        <v>1936</v>
      </c>
      <c r="W1388" s="6">
        <v>6</v>
      </c>
    </row>
    <row r="1389" spans="1:23">
      <c r="A1389" t="s">
        <v>3326</v>
      </c>
      <c r="B1389" s="8">
        <v>45373</v>
      </c>
      <c r="C1389" t="s">
        <v>479</v>
      </c>
      <c r="D1389" t="s">
        <v>1576</v>
      </c>
      <c r="E1389" t="s">
        <v>1873</v>
      </c>
      <c r="F1389">
        <v>3</v>
      </c>
      <c r="G1389" s="10">
        <v>250.14</v>
      </c>
      <c r="H1389" s="13">
        <v>0.23</v>
      </c>
      <c r="I1389" t="s">
        <v>1933</v>
      </c>
      <c r="J1389" s="16">
        <v>577.82339999999999</v>
      </c>
      <c r="K1389" s="19">
        <f t="shared" si="105"/>
        <v>653042.34220000007</v>
      </c>
      <c r="L1389" s="22">
        <f t="shared" si="106"/>
        <v>1065.3219285481241</v>
      </c>
      <c r="M1389" s="22">
        <f t="shared" si="107"/>
        <v>201</v>
      </c>
      <c r="N1389" s="22" t="str">
        <f t="shared" si="108"/>
        <v>Low Value</v>
      </c>
      <c r="O1389" s="22" t="str">
        <f t="shared" si="109"/>
        <v>Mar-2024</v>
      </c>
      <c r="P1389" s="22" t="s">
        <v>1577</v>
      </c>
      <c r="Q1389" s="22" t="s">
        <v>1531</v>
      </c>
      <c r="R1389" s="22" t="s">
        <v>480</v>
      </c>
      <c r="S1389" s="22"/>
      <c r="T1389" s="22"/>
      <c r="V1389" s="26" t="s">
        <v>1931</v>
      </c>
      <c r="W1389" s="6">
        <v>6</v>
      </c>
    </row>
    <row r="1390" spans="1:23">
      <c r="A1390" t="s">
        <v>3327</v>
      </c>
      <c r="B1390" s="8">
        <v>45655</v>
      </c>
      <c r="C1390" t="s">
        <v>89</v>
      </c>
      <c r="D1390" t="s">
        <v>1849</v>
      </c>
      <c r="E1390" t="s">
        <v>1920</v>
      </c>
      <c r="F1390">
        <v>3</v>
      </c>
      <c r="G1390" s="10">
        <v>34.97</v>
      </c>
      <c r="H1390" s="13">
        <v>0.01</v>
      </c>
      <c r="I1390" t="s">
        <v>1931</v>
      </c>
      <c r="J1390" s="16">
        <v>103.8609</v>
      </c>
      <c r="K1390" s="19">
        <f t="shared" si="105"/>
        <v>652464.51880000008</v>
      </c>
      <c r="L1390" s="22">
        <f t="shared" si="106"/>
        <v>1066.118494771242</v>
      </c>
      <c r="M1390" s="22">
        <f t="shared" si="107"/>
        <v>200</v>
      </c>
      <c r="N1390" s="22" t="str">
        <f t="shared" si="108"/>
        <v>Low Value</v>
      </c>
      <c r="O1390" s="22" t="str">
        <f t="shared" si="109"/>
        <v>Dec-2024</v>
      </c>
      <c r="P1390" s="22" t="s">
        <v>1850</v>
      </c>
      <c r="Q1390" s="22" t="s">
        <v>1531</v>
      </c>
      <c r="R1390" s="22" t="s">
        <v>90</v>
      </c>
      <c r="S1390" s="22"/>
      <c r="T1390" s="22"/>
      <c r="V1390" s="26" t="s">
        <v>1933</v>
      </c>
      <c r="W1390" s="6">
        <v>1</v>
      </c>
    </row>
    <row r="1391" spans="1:23">
      <c r="A1391" t="s">
        <v>3328</v>
      </c>
      <c r="B1391" s="8">
        <v>45868</v>
      </c>
      <c r="C1391" t="s">
        <v>958</v>
      </c>
      <c r="D1391" t="s">
        <v>1678</v>
      </c>
      <c r="E1391" t="s">
        <v>1911</v>
      </c>
      <c r="F1391">
        <v>1</v>
      </c>
      <c r="G1391" s="10">
        <v>653.91</v>
      </c>
      <c r="H1391" s="13">
        <v>0.3</v>
      </c>
      <c r="I1391" t="s">
        <v>1933</v>
      </c>
      <c r="J1391" s="16">
        <v>457.73700000000002</v>
      </c>
      <c r="K1391" s="19">
        <f t="shared" si="105"/>
        <v>652360.65790000011</v>
      </c>
      <c r="L1391" s="22">
        <f t="shared" si="106"/>
        <v>1067.6933844517187</v>
      </c>
      <c r="M1391" s="22">
        <f t="shared" si="107"/>
        <v>200</v>
      </c>
      <c r="N1391" s="22" t="str">
        <f t="shared" si="108"/>
        <v>Low Value</v>
      </c>
      <c r="O1391" s="22" t="str">
        <f t="shared" si="109"/>
        <v>Jul-2025</v>
      </c>
      <c r="P1391" s="22" t="s">
        <v>1679</v>
      </c>
      <c r="Q1391" s="22" t="s">
        <v>1531</v>
      </c>
      <c r="R1391" s="22" t="s">
        <v>3952</v>
      </c>
      <c r="S1391" s="22"/>
      <c r="T1391" s="22"/>
      <c r="V1391" s="25" t="s">
        <v>1372</v>
      </c>
      <c r="W1391" s="6">
        <v>5</v>
      </c>
    </row>
    <row r="1392" spans="1:23">
      <c r="A1392" t="s">
        <v>3329</v>
      </c>
      <c r="B1392" s="8">
        <v>45338</v>
      </c>
      <c r="C1392" t="s">
        <v>1130</v>
      </c>
      <c r="D1392" t="s">
        <v>1752</v>
      </c>
      <c r="E1392" t="s">
        <v>1873</v>
      </c>
      <c r="F1392">
        <v>1</v>
      </c>
      <c r="G1392" s="10">
        <v>997.87</v>
      </c>
      <c r="H1392" s="13">
        <v>0.24</v>
      </c>
      <c r="I1392" t="s">
        <v>1931</v>
      </c>
      <c r="J1392" s="16">
        <v>758.38120000000004</v>
      </c>
      <c r="K1392" s="19">
        <f t="shared" si="105"/>
        <v>651902.92090000003</v>
      </c>
      <c r="L1392" s="22">
        <f t="shared" si="106"/>
        <v>1068.6933129508197</v>
      </c>
      <c r="M1392" s="22">
        <f t="shared" si="107"/>
        <v>199</v>
      </c>
      <c r="N1392" s="22" t="str">
        <f t="shared" si="108"/>
        <v>Low Value</v>
      </c>
      <c r="O1392" s="22" t="str">
        <f t="shared" si="109"/>
        <v>Feb-2024</v>
      </c>
      <c r="P1392" s="22" t="s">
        <v>1753</v>
      </c>
      <c r="Q1392" s="22" t="s">
        <v>1555</v>
      </c>
      <c r="R1392" s="22" t="s">
        <v>1131</v>
      </c>
      <c r="S1392" s="22"/>
      <c r="T1392" s="22"/>
      <c r="V1392" s="26" t="s">
        <v>1933</v>
      </c>
      <c r="W1392" s="6">
        <v>5</v>
      </c>
    </row>
    <row r="1393" spans="1:23">
      <c r="A1393" t="s">
        <v>3330</v>
      </c>
      <c r="B1393" s="8">
        <v>45349</v>
      </c>
      <c r="C1393" t="s">
        <v>676</v>
      </c>
      <c r="D1393" t="s">
        <v>1822</v>
      </c>
      <c r="E1393" t="s">
        <v>1906</v>
      </c>
      <c r="F1393">
        <v>1</v>
      </c>
      <c r="G1393" s="10">
        <v>174.27</v>
      </c>
      <c r="H1393" s="13">
        <v>0.27</v>
      </c>
      <c r="I1393" t="s">
        <v>1936</v>
      </c>
      <c r="J1393" s="16">
        <v>127.2171</v>
      </c>
      <c r="K1393" s="19">
        <f t="shared" si="105"/>
        <v>651144.53970000008</v>
      </c>
      <c r="L1393" s="22">
        <f t="shared" si="106"/>
        <v>1069.2028566502465</v>
      </c>
      <c r="M1393" s="22">
        <f t="shared" si="107"/>
        <v>199</v>
      </c>
      <c r="N1393" s="22" t="str">
        <f t="shared" si="108"/>
        <v>Low Value</v>
      </c>
      <c r="O1393" s="22" t="str">
        <f t="shared" si="109"/>
        <v>Feb-2024</v>
      </c>
      <c r="P1393" s="22" t="s">
        <v>1823</v>
      </c>
      <c r="Q1393" s="22" t="s">
        <v>1555</v>
      </c>
      <c r="R1393" s="22" t="s">
        <v>677</v>
      </c>
      <c r="S1393" s="22"/>
      <c r="T1393" s="22"/>
      <c r="V1393" s="25" t="s">
        <v>200</v>
      </c>
      <c r="W1393" s="6">
        <v>16</v>
      </c>
    </row>
    <row r="1394" spans="1:23">
      <c r="A1394" t="s">
        <v>3331</v>
      </c>
      <c r="B1394" s="8">
        <v>45368</v>
      </c>
      <c r="C1394" t="s">
        <v>397</v>
      </c>
      <c r="D1394" t="s">
        <v>1700</v>
      </c>
      <c r="E1394" t="s">
        <v>1886</v>
      </c>
      <c r="F1394">
        <v>3</v>
      </c>
      <c r="G1394" s="10">
        <v>847.44</v>
      </c>
      <c r="H1394" s="13">
        <v>0.17</v>
      </c>
      <c r="I1394" t="s">
        <v>1931</v>
      </c>
      <c r="J1394" s="16">
        <v>2110.1255999999998</v>
      </c>
      <c r="K1394" s="19">
        <f t="shared" si="105"/>
        <v>651017.32260000007</v>
      </c>
      <c r="L1394" s="22">
        <f t="shared" si="106"/>
        <v>1070.7521753289475</v>
      </c>
      <c r="M1394" s="22">
        <f t="shared" si="107"/>
        <v>199</v>
      </c>
      <c r="N1394" s="22" t="str">
        <f t="shared" si="108"/>
        <v>High Value</v>
      </c>
      <c r="O1394" s="22" t="str">
        <f t="shared" si="109"/>
        <v>Mar-2024</v>
      </c>
      <c r="P1394" s="22" t="s">
        <v>1701</v>
      </c>
      <c r="Q1394" s="22" t="s">
        <v>1555</v>
      </c>
      <c r="R1394" s="22" t="s">
        <v>398</v>
      </c>
      <c r="S1394" s="22"/>
      <c r="T1394" s="22"/>
      <c r="V1394" s="26" t="s">
        <v>1936</v>
      </c>
      <c r="W1394" s="6">
        <v>8</v>
      </c>
    </row>
    <row r="1395" spans="1:23">
      <c r="A1395" t="s">
        <v>3332</v>
      </c>
      <c r="B1395" s="8">
        <v>45243</v>
      </c>
      <c r="C1395" t="s">
        <v>1319</v>
      </c>
      <c r="D1395" t="s">
        <v>1539</v>
      </c>
      <c r="E1395" t="s">
        <v>1868</v>
      </c>
      <c r="F1395">
        <v>1</v>
      </c>
      <c r="G1395" s="10">
        <v>493.45</v>
      </c>
      <c r="H1395" s="13">
        <v>0.09</v>
      </c>
      <c r="I1395" t="s">
        <v>1931</v>
      </c>
      <c r="J1395" s="16">
        <v>449.03949999999998</v>
      </c>
      <c r="K1395" s="19">
        <f t="shared" si="105"/>
        <v>648907.19700000028</v>
      </c>
      <c r="L1395" s="22">
        <f t="shared" si="106"/>
        <v>1069.0398632619444</v>
      </c>
      <c r="M1395" s="22">
        <f t="shared" si="107"/>
        <v>199</v>
      </c>
      <c r="N1395" s="22" t="str">
        <f t="shared" si="108"/>
        <v>Low Value</v>
      </c>
      <c r="O1395" s="22" t="str">
        <f t="shared" si="109"/>
        <v>Nov-2023</v>
      </c>
      <c r="P1395" s="22" t="s">
        <v>1540</v>
      </c>
      <c r="Q1395" s="22" t="s">
        <v>1536</v>
      </c>
      <c r="R1395" s="22" t="s">
        <v>1320</v>
      </c>
      <c r="S1395" s="22"/>
      <c r="T1395" s="22"/>
      <c r="V1395" s="26" t="s">
        <v>1931</v>
      </c>
      <c r="W1395" s="6">
        <v>6</v>
      </c>
    </row>
    <row r="1396" spans="1:23">
      <c r="A1396" t="s">
        <v>3333</v>
      </c>
      <c r="B1396" s="8">
        <v>45577</v>
      </c>
      <c r="C1396" t="s">
        <v>747</v>
      </c>
      <c r="D1396" t="s">
        <v>1740</v>
      </c>
      <c r="E1396" t="s">
        <v>1868</v>
      </c>
      <c r="F1396">
        <v>4</v>
      </c>
      <c r="G1396" s="10">
        <v>111.66</v>
      </c>
      <c r="H1396" s="13">
        <v>0.14000000000000001</v>
      </c>
      <c r="I1396" t="s">
        <v>1931</v>
      </c>
      <c r="J1396" s="16">
        <v>384.11040000000003</v>
      </c>
      <c r="K1396" s="19">
        <f t="shared" si="105"/>
        <v>648458.1575000002</v>
      </c>
      <c r="L1396" s="22">
        <f t="shared" si="106"/>
        <v>1070.0629661716175</v>
      </c>
      <c r="M1396" s="22">
        <f t="shared" si="107"/>
        <v>199</v>
      </c>
      <c r="N1396" s="22" t="str">
        <f t="shared" si="108"/>
        <v>Low Value</v>
      </c>
      <c r="O1396" s="22" t="str">
        <f t="shared" si="109"/>
        <v>Oct-2024</v>
      </c>
      <c r="P1396" s="22" t="s">
        <v>1741</v>
      </c>
      <c r="Q1396" s="22" t="s">
        <v>1531</v>
      </c>
      <c r="R1396" s="22" t="s">
        <v>748</v>
      </c>
      <c r="S1396" s="22"/>
      <c r="T1396" s="22"/>
      <c r="V1396" s="26" t="s">
        <v>1933</v>
      </c>
      <c r="W1396" s="6">
        <v>2</v>
      </c>
    </row>
    <row r="1397" spans="1:23">
      <c r="A1397" t="s">
        <v>3334</v>
      </c>
      <c r="B1397" s="8">
        <v>45343</v>
      </c>
      <c r="C1397" t="s">
        <v>883</v>
      </c>
      <c r="D1397" t="s">
        <v>1825</v>
      </c>
      <c r="E1397" t="s">
        <v>1899</v>
      </c>
      <c r="F1397">
        <v>1</v>
      </c>
      <c r="G1397" s="10">
        <v>413.65</v>
      </c>
      <c r="H1397" s="13">
        <v>0.1</v>
      </c>
      <c r="I1397" t="s">
        <v>1936</v>
      </c>
      <c r="J1397" s="16">
        <v>372.28500000000003</v>
      </c>
      <c r="K1397" s="19">
        <f t="shared" si="105"/>
        <v>648074.0471000002</v>
      </c>
      <c r="L1397" s="22">
        <f t="shared" si="106"/>
        <v>1071.196772066116</v>
      </c>
      <c r="M1397" s="22">
        <f t="shared" si="107"/>
        <v>199</v>
      </c>
      <c r="N1397" s="22" t="str">
        <f t="shared" si="108"/>
        <v>Low Value</v>
      </c>
      <c r="O1397" s="22" t="str">
        <f t="shared" si="109"/>
        <v>Feb-2024</v>
      </c>
      <c r="P1397" s="22" t="s">
        <v>1826</v>
      </c>
      <c r="Q1397" s="22" t="s">
        <v>1531</v>
      </c>
      <c r="R1397" s="22" t="s">
        <v>884</v>
      </c>
      <c r="S1397" s="22"/>
      <c r="T1397" s="22"/>
      <c r="V1397" s="25" t="s">
        <v>1344</v>
      </c>
      <c r="W1397" s="6">
        <v>13</v>
      </c>
    </row>
    <row r="1398" spans="1:23">
      <c r="A1398" t="s">
        <v>3335</v>
      </c>
      <c r="B1398" s="8">
        <v>45744</v>
      </c>
      <c r="C1398" t="s">
        <v>1454</v>
      </c>
      <c r="D1398" t="s">
        <v>1822</v>
      </c>
      <c r="E1398" t="s">
        <v>1893</v>
      </c>
      <c r="F1398">
        <v>1</v>
      </c>
      <c r="G1398" s="10">
        <v>317.14999999999998</v>
      </c>
      <c r="H1398" s="13">
        <v>0.24</v>
      </c>
      <c r="I1398" t="s">
        <v>1936</v>
      </c>
      <c r="J1398" s="16">
        <v>241.03399999999999</v>
      </c>
      <c r="K1398" s="19">
        <f t="shared" si="105"/>
        <v>647701.76210000028</v>
      </c>
      <c r="L1398" s="22">
        <f t="shared" si="106"/>
        <v>1072.35391076159</v>
      </c>
      <c r="M1398" s="22">
        <f t="shared" si="107"/>
        <v>199</v>
      </c>
      <c r="N1398" s="22" t="str">
        <f t="shared" si="108"/>
        <v>Low Value</v>
      </c>
      <c r="O1398" s="22" t="str">
        <f t="shared" si="109"/>
        <v>Mar-2025</v>
      </c>
      <c r="P1398" s="22" t="s">
        <v>1823</v>
      </c>
      <c r="Q1398" s="22" t="s">
        <v>1555</v>
      </c>
      <c r="R1398" s="22" t="s">
        <v>1455</v>
      </c>
      <c r="S1398" s="22"/>
      <c r="T1398" s="22"/>
      <c r="V1398" s="26" t="s">
        <v>1931</v>
      </c>
      <c r="W1398" s="6">
        <v>13</v>
      </c>
    </row>
    <row r="1399" spans="1:23">
      <c r="A1399" t="s">
        <v>3336</v>
      </c>
      <c r="B1399" s="8">
        <v>45873</v>
      </c>
      <c r="C1399" t="s">
        <v>1119</v>
      </c>
      <c r="D1399" t="s">
        <v>1819</v>
      </c>
      <c r="E1399" t="s">
        <v>1864</v>
      </c>
      <c r="F1399">
        <v>3</v>
      </c>
      <c r="G1399" s="10">
        <v>642.94000000000005</v>
      </c>
      <c r="H1399" s="13">
        <v>0.05</v>
      </c>
      <c r="I1399" t="s">
        <v>1936</v>
      </c>
      <c r="J1399" s="16">
        <v>1832.3789999999999</v>
      </c>
      <c r="K1399" s="19">
        <f t="shared" si="105"/>
        <v>647460.72810000018</v>
      </c>
      <c r="L1399" s="22">
        <f t="shared" si="106"/>
        <v>1073.732550746269</v>
      </c>
      <c r="M1399" s="22">
        <f t="shared" si="107"/>
        <v>199</v>
      </c>
      <c r="N1399" s="22" t="str">
        <f t="shared" si="108"/>
        <v>High Value</v>
      </c>
      <c r="O1399" s="22" t="str">
        <f t="shared" si="109"/>
        <v>Aug-2025</v>
      </c>
      <c r="P1399" s="22" t="s">
        <v>1820</v>
      </c>
      <c r="Q1399" s="22" t="s">
        <v>1569</v>
      </c>
      <c r="R1399" s="22" t="s">
        <v>1120</v>
      </c>
      <c r="S1399" s="22"/>
      <c r="T1399" s="22"/>
      <c r="V1399" s="25" t="s">
        <v>3939</v>
      </c>
      <c r="W1399" s="6">
        <v>6</v>
      </c>
    </row>
    <row r="1400" spans="1:23">
      <c r="A1400" t="s">
        <v>3337</v>
      </c>
      <c r="B1400" s="8">
        <v>45601</v>
      </c>
      <c r="C1400" t="s">
        <v>453</v>
      </c>
      <c r="D1400" t="s">
        <v>1725</v>
      </c>
      <c r="E1400" t="s">
        <v>1896</v>
      </c>
      <c r="F1400">
        <v>4</v>
      </c>
      <c r="G1400" s="10">
        <v>559.59</v>
      </c>
      <c r="H1400" s="13">
        <v>0.19</v>
      </c>
      <c r="I1400" t="s">
        <v>1936</v>
      </c>
      <c r="J1400" s="16">
        <v>1813.0716</v>
      </c>
      <c r="K1400" s="19">
        <f t="shared" si="105"/>
        <v>645628.34910000011</v>
      </c>
      <c r="L1400" s="22">
        <f t="shared" si="106"/>
        <v>1072.4723406976746</v>
      </c>
      <c r="M1400" s="22">
        <f t="shared" si="107"/>
        <v>199</v>
      </c>
      <c r="N1400" s="22" t="str">
        <f t="shared" si="108"/>
        <v>High Value</v>
      </c>
      <c r="O1400" s="22" t="str">
        <f t="shared" si="109"/>
        <v>Nov-2024</v>
      </c>
      <c r="P1400" s="22" t="s">
        <v>1726</v>
      </c>
      <c r="Q1400" s="22" t="s">
        <v>1569</v>
      </c>
      <c r="R1400" s="22" t="s">
        <v>454</v>
      </c>
      <c r="S1400" s="22"/>
      <c r="T1400" s="22"/>
      <c r="V1400" s="26" t="s">
        <v>1931</v>
      </c>
      <c r="W1400" s="6">
        <v>5</v>
      </c>
    </row>
    <row r="1401" spans="1:23">
      <c r="A1401" t="s">
        <v>3338</v>
      </c>
      <c r="B1401" s="8">
        <v>45458</v>
      </c>
      <c r="C1401" t="s">
        <v>394</v>
      </c>
      <c r="D1401" t="s">
        <v>1636</v>
      </c>
      <c r="E1401" t="s">
        <v>1917</v>
      </c>
      <c r="F1401">
        <v>1</v>
      </c>
      <c r="G1401" s="10">
        <v>758.54</v>
      </c>
      <c r="H1401" s="13">
        <v>0.28999999999999998</v>
      </c>
      <c r="I1401" t="s">
        <v>1933</v>
      </c>
      <c r="J1401" s="16">
        <v>538.5634</v>
      </c>
      <c r="K1401" s="19">
        <f t="shared" si="105"/>
        <v>643815.27750000008</v>
      </c>
      <c r="L1401" s="22">
        <f t="shared" si="106"/>
        <v>1071.2400623960068</v>
      </c>
      <c r="M1401" s="22">
        <f t="shared" si="107"/>
        <v>199</v>
      </c>
      <c r="N1401" s="22" t="str">
        <f t="shared" si="108"/>
        <v>Low Value</v>
      </c>
      <c r="O1401" s="22" t="str">
        <f t="shared" si="109"/>
        <v>Jun-2024</v>
      </c>
      <c r="P1401" s="22" t="s">
        <v>1637</v>
      </c>
      <c r="Q1401" s="22" t="s">
        <v>1560</v>
      </c>
      <c r="R1401" s="22" t="s">
        <v>395</v>
      </c>
      <c r="S1401" s="22"/>
      <c r="T1401" s="22"/>
      <c r="V1401" s="26" t="s">
        <v>1933</v>
      </c>
      <c r="W1401" s="6">
        <v>1</v>
      </c>
    </row>
    <row r="1402" spans="1:23">
      <c r="A1402" t="s">
        <v>3339</v>
      </c>
      <c r="B1402" s="8">
        <v>45649</v>
      </c>
      <c r="C1402" t="s">
        <v>1416</v>
      </c>
      <c r="D1402" t="s">
        <v>1795</v>
      </c>
      <c r="E1402" t="s">
        <v>1908</v>
      </c>
      <c r="F1402">
        <v>4</v>
      </c>
      <c r="G1402" s="10">
        <v>643.96</v>
      </c>
      <c r="H1402" s="13">
        <v>0.16</v>
      </c>
      <c r="I1402" t="s">
        <v>1933</v>
      </c>
      <c r="J1402" s="16">
        <v>2163.7055999999998</v>
      </c>
      <c r="K1402" s="19">
        <f t="shared" si="105"/>
        <v>643276.71410000022</v>
      </c>
      <c r="L1402" s="22">
        <f t="shared" si="106"/>
        <v>1072.1278568333337</v>
      </c>
      <c r="M1402" s="22">
        <f t="shared" si="107"/>
        <v>198</v>
      </c>
      <c r="N1402" s="22" t="str">
        <f t="shared" si="108"/>
        <v>High Value</v>
      </c>
      <c r="O1402" s="22" t="str">
        <f t="shared" si="109"/>
        <v>Dec-2024</v>
      </c>
      <c r="P1402" s="22" t="s">
        <v>1796</v>
      </c>
      <c r="Q1402" s="22" t="s">
        <v>1560</v>
      </c>
      <c r="R1402" s="22" t="s">
        <v>1417</v>
      </c>
      <c r="S1402" s="22"/>
      <c r="T1402" s="22"/>
      <c r="V1402" s="25" t="s">
        <v>349</v>
      </c>
      <c r="W1402" s="6">
        <v>17</v>
      </c>
    </row>
    <row r="1403" spans="1:23">
      <c r="A1403" t="s">
        <v>3340</v>
      </c>
      <c r="B1403" s="8">
        <v>45653</v>
      </c>
      <c r="C1403" t="s">
        <v>780</v>
      </c>
      <c r="D1403" t="s">
        <v>1620</v>
      </c>
      <c r="E1403" t="s">
        <v>1893</v>
      </c>
      <c r="F1403">
        <v>1</v>
      </c>
      <c r="G1403" s="10">
        <v>882.73</v>
      </c>
      <c r="H1403" s="13">
        <v>0.1</v>
      </c>
      <c r="I1403" t="s">
        <v>1931</v>
      </c>
      <c r="J1403" s="16">
        <v>794.45699999999999</v>
      </c>
      <c r="K1403" s="19">
        <f t="shared" si="105"/>
        <v>641113.00850000011</v>
      </c>
      <c r="L1403" s="22">
        <f t="shared" si="106"/>
        <v>1070.3055233722873</v>
      </c>
      <c r="M1403" s="22">
        <f t="shared" si="107"/>
        <v>197</v>
      </c>
      <c r="N1403" s="22" t="str">
        <f t="shared" si="108"/>
        <v>Low Value</v>
      </c>
      <c r="O1403" s="22" t="str">
        <f t="shared" si="109"/>
        <v>Dec-2024</v>
      </c>
      <c r="P1403" s="22" t="s">
        <v>1621</v>
      </c>
      <c r="Q1403" s="22" t="s">
        <v>1569</v>
      </c>
      <c r="R1403" s="22" t="s">
        <v>781</v>
      </c>
      <c r="S1403" s="22"/>
      <c r="T1403" s="22"/>
      <c r="V1403" s="26" t="s">
        <v>1936</v>
      </c>
      <c r="W1403" s="6">
        <v>7</v>
      </c>
    </row>
    <row r="1404" spans="1:23">
      <c r="A1404" t="s">
        <v>3341</v>
      </c>
      <c r="B1404" s="8">
        <v>45378</v>
      </c>
      <c r="C1404" t="s">
        <v>1019</v>
      </c>
      <c r="D1404" t="s">
        <v>1828</v>
      </c>
      <c r="E1404" t="s">
        <v>1920</v>
      </c>
      <c r="F1404">
        <v>2</v>
      </c>
      <c r="G1404" s="10">
        <v>600.03</v>
      </c>
      <c r="H1404" s="13">
        <v>0.26</v>
      </c>
      <c r="I1404" t="s">
        <v>1933</v>
      </c>
      <c r="J1404" s="16">
        <v>888.0444</v>
      </c>
      <c r="K1404" s="19">
        <f t="shared" si="105"/>
        <v>640318.55150000006</v>
      </c>
      <c r="L1404" s="22">
        <f t="shared" si="106"/>
        <v>1070.7668085284281</v>
      </c>
      <c r="M1404" s="22">
        <f t="shared" si="107"/>
        <v>197</v>
      </c>
      <c r="N1404" s="22" t="str">
        <f t="shared" si="108"/>
        <v>Low Value</v>
      </c>
      <c r="O1404" s="22" t="str">
        <f t="shared" si="109"/>
        <v>Mar-2024</v>
      </c>
      <c r="P1404" s="22" t="s">
        <v>1829</v>
      </c>
      <c r="Q1404" s="22" t="s">
        <v>1536</v>
      </c>
      <c r="R1404" s="22" t="s">
        <v>1020</v>
      </c>
      <c r="S1404" s="22"/>
      <c r="T1404" s="22"/>
      <c r="V1404" s="26" t="s">
        <v>1931</v>
      </c>
      <c r="W1404" s="6">
        <v>5</v>
      </c>
    </row>
    <row r="1405" spans="1:23">
      <c r="A1405" t="s">
        <v>3342</v>
      </c>
      <c r="B1405" s="8">
        <v>45638</v>
      </c>
      <c r="C1405" t="s">
        <v>524</v>
      </c>
      <c r="D1405" t="s">
        <v>1716</v>
      </c>
      <c r="E1405" t="s">
        <v>1880</v>
      </c>
      <c r="F1405">
        <v>2</v>
      </c>
      <c r="G1405" s="10">
        <v>628.83000000000004</v>
      </c>
      <c r="H1405" s="13">
        <v>7.0000000000000007E-2</v>
      </c>
      <c r="I1405" t="s">
        <v>1933</v>
      </c>
      <c r="J1405" s="16">
        <v>1169.6238000000001</v>
      </c>
      <c r="K1405" s="19">
        <f t="shared" si="105"/>
        <v>639430.50710000005</v>
      </c>
      <c r="L1405" s="22">
        <f t="shared" si="106"/>
        <v>1071.0728762144054</v>
      </c>
      <c r="M1405" s="22">
        <f t="shared" si="107"/>
        <v>196</v>
      </c>
      <c r="N1405" s="22" t="str">
        <f t="shared" si="108"/>
        <v>High Value</v>
      </c>
      <c r="O1405" s="22" t="str">
        <f t="shared" si="109"/>
        <v>Dec-2024</v>
      </c>
      <c r="P1405" s="22" t="s">
        <v>1717</v>
      </c>
      <c r="Q1405" s="22" t="s">
        <v>1569</v>
      </c>
      <c r="R1405" s="22" t="s">
        <v>525</v>
      </c>
      <c r="S1405" s="22"/>
      <c r="T1405" s="22"/>
      <c r="V1405" s="26" t="s">
        <v>1933</v>
      </c>
      <c r="W1405" s="6">
        <v>5</v>
      </c>
    </row>
    <row r="1406" spans="1:23">
      <c r="A1406" t="s">
        <v>3343</v>
      </c>
      <c r="B1406" s="8">
        <v>45277</v>
      </c>
      <c r="C1406" t="s">
        <v>577</v>
      </c>
      <c r="D1406" t="s">
        <v>1798</v>
      </c>
      <c r="E1406" t="s">
        <v>1893</v>
      </c>
      <c r="F1406">
        <v>3</v>
      </c>
      <c r="G1406" s="10">
        <v>113.87</v>
      </c>
      <c r="H1406" s="13">
        <v>0.21</v>
      </c>
      <c r="I1406" t="s">
        <v>1936</v>
      </c>
      <c r="J1406" s="16">
        <v>269.87189999999998</v>
      </c>
      <c r="K1406" s="19">
        <f t="shared" si="105"/>
        <v>638260.8833000001</v>
      </c>
      <c r="L1406" s="22">
        <f t="shared" si="106"/>
        <v>1070.9075223154364</v>
      </c>
      <c r="M1406" s="22">
        <f t="shared" si="107"/>
        <v>195</v>
      </c>
      <c r="N1406" s="22" t="str">
        <f t="shared" si="108"/>
        <v>Low Value</v>
      </c>
      <c r="O1406" s="22" t="str">
        <f t="shared" si="109"/>
        <v>Dec-2023</v>
      </c>
      <c r="P1406" s="22" t="s">
        <v>1799</v>
      </c>
      <c r="Q1406" s="22" t="s">
        <v>1569</v>
      </c>
      <c r="R1406" s="22" t="s">
        <v>578</v>
      </c>
      <c r="S1406" s="22"/>
      <c r="T1406" s="22"/>
      <c r="V1406" s="25" t="s">
        <v>1182</v>
      </c>
      <c r="W1406" s="6">
        <v>17</v>
      </c>
    </row>
    <row r="1407" spans="1:23">
      <c r="A1407" t="s">
        <v>3344</v>
      </c>
      <c r="B1407" s="8">
        <v>45351</v>
      </c>
      <c r="C1407" t="s">
        <v>1291</v>
      </c>
      <c r="D1407" t="s">
        <v>1771</v>
      </c>
      <c r="E1407" t="s">
        <v>1886</v>
      </c>
      <c r="F1407">
        <v>4</v>
      </c>
      <c r="G1407" s="10">
        <v>282.07</v>
      </c>
      <c r="H1407" s="13">
        <v>0.18</v>
      </c>
      <c r="I1407" t="s">
        <v>1933</v>
      </c>
      <c r="J1407" s="16">
        <v>925.18960000000004</v>
      </c>
      <c r="K1407" s="19">
        <f t="shared" si="105"/>
        <v>637991.01140000008</v>
      </c>
      <c r="L1407" s="22">
        <f t="shared" si="106"/>
        <v>1072.2538006722691</v>
      </c>
      <c r="M1407" s="22">
        <f t="shared" si="107"/>
        <v>195</v>
      </c>
      <c r="N1407" s="22" t="str">
        <f t="shared" si="108"/>
        <v>Low Value</v>
      </c>
      <c r="O1407" s="22" t="str">
        <f t="shared" si="109"/>
        <v>Feb-2024</v>
      </c>
      <c r="P1407" s="22" t="s">
        <v>1772</v>
      </c>
      <c r="Q1407" s="22" t="s">
        <v>1569</v>
      </c>
      <c r="R1407" s="22" t="s">
        <v>1292</v>
      </c>
      <c r="S1407" s="22"/>
      <c r="T1407" s="22"/>
      <c r="V1407" s="26" t="s">
        <v>1936</v>
      </c>
      <c r="W1407" s="6">
        <v>7</v>
      </c>
    </row>
    <row r="1408" spans="1:23">
      <c r="A1408" t="s">
        <v>3345</v>
      </c>
      <c r="B1408" s="8">
        <v>45290</v>
      </c>
      <c r="C1408" t="s">
        <v>521</v>
      </c>
      <c r="D1408" t="s">
        <v>1716</v>
      </c>
      <c r="E1408" t="s">
        <v>1883</v>
      </c>
      <c r="F1408">
        <v>3</v>
      </c>
      <c r="G1408" s="10">
        <v>676.77</v>
      </c>
      <c r="H1408" s="13">
        <v>0.17</v>
      </c>
      <c r="I1408" t="s">
        <v>1933</v>
      </c>
      <c r="J1408" s="16">
        <v>1685.1573000000001</v>
      </c>
      <c r="K1408" s="19">
        <f t="shared" si="105"/>
        <v>637065.82179999992</v>
      </c>
      <c r="L1408" s="22">
        <f t="shared" si="106"/>
        <v>1072.5013835016834</v>
      </c>
      <c r="M1408" s="22">
        <f t="shared" si="107"/>
        <v>194</v>
      </c>
      <c r="N1408" s="22" t="str">
        <f t="shared" si="108"/>
        <v>High Value</v>
      </c>
      <c r="O1408" s="22" t="str">
        <f t="shared" si="109"/>
        <v>Dec-2023</v>
      </c>
      <c r="P1408" s="22" t="s">
        <v>1717</v>
      </c>
      <c r="Q1408" s="22" t="s">
        <v>1569</v>
      </c>
      <c r="R1408" s="22" t="s">
        <v>522</v>
      </c>
      <c r="S1408" s="22"/>
      <c r="T1408" s="22"/>
      <c r="V1408" s="26" t="s">
        <v>1931</v>
      </c>
      <c r="W1408" s="6">
        <v>8</v>
      </c>
    </row>
    <row r="1409" spans="1:23">
      <c r="A1409" t="s">
        <v>3346</v>
      </c>
      <c r="B1409" s="8">
        <v>45638</v>
      </c>
      <c r="C1409" t="s">
        <v>712</v>
      </c>
      <c r="D1409" t="s">
        <v>1558</v>
      </c>
      <c r="E1409" t="s">
        <v>1911</v>
      </c>
      <c r="F1409">
        <v>2</v>
      </c>
      <c r="G1409" s="10">
        <v>362.7</v>
      </c>
      <c r="H1409" s="13">
        <v>0.09</v>
      </c>
      <c r="I1409" t="s">
        <v>1931</v>
      </c>
      <c r="J1409" s="16">
        <v>660.11400000000003</v>
      </c>
      <c r="K1409" s="19">
        <f t="shared" si="105"/>
        <v>635380.66449999996</v>
      </c>
      <c r="L1409" s="22">
        <f t="shared" si="106"/>
        <v>1071.46823693086</v>
      </c>
      <c r="M1409" s="22">
        <f t="shared" si="107"/>
        <v>193</v>
      </c>
      <c r="N1409" s="22" t="str">
        <f t="shared" si="108"/>
        <v>Low Value</v>
      </c>
      <c r="O1409" s="22" t="str">
        <f t="shared" si="109"/>
        <v>Dec-2024</v>
      </c>
      <c r="P1409" s="22" t="s">
        <v>1559</v>
      </c>
      <c r="Q1409" s="22" t="s">
        <v>1560</v>
      </c>
      <c r="R1409" s="22" t="s">
        <v>713</v>
      </c>
      <c r="S1409" s="22"/>
      <c r="T1409" s="22"/>
      <c r="V1409" s="26" t="s">
        <v>1933</v>
      </c>
      <c r="W1409" s="6">
        <v>2</v>
      </c>
    </row>
    <row r="1410" spans="1:23">
      <c r="A1410" t="s">
        <v>3347</v>
      </c>
      <c r="B1410" s="8">
        <v>45679</v>
      </c>
      <c r="C1410" t="s">
        <v>459</v>
      </c>
      <c r="D1410" t="s">
        <v>1583</v>
      </c>
      <c r="E1410" t="s">
        <v>1868</v>
      </c>
      <c r="F1410">
        <v>1</v>
      </c>
      <c r="G1410" s="10">
        <v>908.5</v>
      </c>
      <c r="H1410" s="13">
        <v>0.2</v>
      </c>
      <c r="I1410" t="s">
        <v>1936</v>
      </c>
      <c r="J1410" s="16">
        <v>726.80000000000007</v>
      </c>
      <c r="K1410" s="19">
        <f t="shared" ref="K1410:K1473" si="110">SUM(J1410:J3409)</f>
        <v>634720.5504999999</v>
      </c>
      <c r="L1410" s="22">
        <f t="shared" ref="L1410:L1473" si="111">AVERAGE(J1410:J3409)</f>
        <v>1072.1630920608106</v>
      </c>
      <c r="M1410" s="22">
        <f t="shared" ref="M1410:M1473" si="112">COUNTIF(I1410:I3409,"PayPal")</f>
        <v>193</v>
      </c>
      <c r="N1410" s="22" t="str">
        <f t="shared" ref="N1410:N1473" si="113">IF(J1410&gt;=1000,"High Value","Low Value")</f>
        <v>Low Value</v>
      </c>
      <c r="O1410" s="22" t="str">
        <f t="shared" ref="O1410:O1473" si="114">TEXT(B1410,"mmm-yyyy")</f>
        <v>Jan-2025</v>
      </c>
      <c r="P1410" s="22" t="s">
        <v>1584</v>
      </c>
      <c r="Q1410" s="22" t="s">
        <v>1531</v>
      </c>
      <c r="R1410" s="22" t="s">
        <v>460</v>
      </c>
      <c r="S1410" s="22"/>
      <c r="T1410" s="22"/>
      <c r="V1410" s="25" t="s">
        <v>1474</v>
      </c>
      <c r="W1410" s="6">
        <v>8</v>
      </c>
    </row>
    <row r="1411" spans="1:23">
      <c r="A1411" t="s">
        <v>3348</v>
      </c>
      <c r="B1411" s="8">
        <v>45296</v>
      </c>
      <c r="C1411" t="s">
        <v>244</v>
      </c>
      <c r="D1411" t="s">
        <v>1624</v>
      </c>
      <c r="E1411" t="s">
        <v>1908</v>
      </c>
      <c r="F1411">
        <v>2</v>
      </c>
      <c r="G1411" s="10">
        <v>795.37</v>
      </c>
      <c r="H1411" s="13">
        <v>0.2</v>
      </c>
      <c r="I1411" t="s">
        <v>1936</v>
      </c>
      <c r="J1411" s="16">
        <v>1272.5920000000001</v>
      </c>
      <c r="K1411" s="19">
        <f t="shared" si="110"/>
        <v>633993.75049999985</v>
      </c>
      <c r="L1411" s="22">
        <f t="shared" si="111"/>
        <v>1072.7474627749575</v>
      </c>
      <c r="M1411" s="22">
        <f t="shared" si="112"/>
        <v>193</v>
      </c>
      <c r="N1411" s="22" t="str">
        <f t="shared" si="113"/>
        <v>High Value</v>
      </c>
      <c r="O1411" s="22" t="str">
        <f t="shared" si="114"/>
        <v>Jan-2024</v>
      </c>
      <c r="P1411" s="22" t="s">
        <v>1625</v>
      </c>
      <c r="Q1411" s="22" t="s">
        <v>1536</v>
      </c>
      <c r="R1411" s="22" t="s">
        <v>245</v>
      </c>
      <c r="S1411" s="22"/>
      <c r="T1411" s="22"/>
      <c r="V1411" s="26" t="s">
        <v>1936</v>
      </c>
      <c r="W1411" s="6">
        <v>4</v>
      </c>
    </row>
    <row r="1412" spans="1:23">
      <c r="A1412" t="s">
        <v>3349</v>
      </c>
      <c r="B1412" s="8">
        <v>45760</v>
      </c>
      <c r="C1412" t="s">
        <v>485</v>
      </c>
      <c r="D1412" t="s">
        <v>1655</v>
      </c>
      <c r="E1412" t="s">
        <v>1876</v>
      </c>
      <c r="F1412">
        <v>2</v>
      </c>
      <c r="G1412" s="10">
        <v>326.85000000000002</v>
      </c>
      <c r="H1412" s="13">
        <v>0.17</v>
      </c>
      <c r="I1412" t="s">
        <v>1936</v>
      </c>
      <c r="J1412" s="16">
        <v>542.57100000000003</v>
      </c>
      <c r="K1412" s="19">
        <f t="shared" si="110"/>
        <v>632721.1584999999</v>
      </c>
      <c r="L1412" s="22">
        <f t="shared" si="111"/>
        <v>1072.4087432203389</v>
      </c>
      <c r="M1412" s="22">
        <f t="shared" si="112"/>
        <v>193</v>
      </c>
      <c r="N1412" s="22" t="str">
        <f t="shared" si="113"/>
        <v>Low Value</v>
      </c>
      <c r="O1412" s="22" t="str">
        <f t="shared" si="114"/>
        <v>Apr-2025</v>
      </c>
      <c r="P1412" s="22" t="s">
        <v>1656</v>
      </c>
      <c r="Q1412" s="22" t="s">
        <v>1560</v>
      </c>
      <c r="R1412" s="22" t="s">
        <v>486</v>
      </c>
      <c r="S1412" s="22"/>
      <c r="T1412" s="22"/>
      <c r="V1412" s="26" t="s">
        <v>1931</v>
      </c>
      <c r="W1412" s="6">
        <v>1</v>
      </c>
    </row>
    <row r="1413" spans="1:23">
      <c r="A1413" t="s">
        <v>3350</v>
      </c>
      <c r="B1413" s="8">
        <v>45603</v>
      </c>
      <c r="C1413" t="s">
        <v>1093</v>
      </c>
      <c r="D1413" t="s">
        <v>1722</v>
      </c>
      <c r="E1413" t="s">
        <v>1906</v>
      </c>
      <c r="F1413">
        <v>3</v>
      </c>
      <c r="G1413" s="10">
        <v>169.43</v>
      </c>
      <c r="H1413" s="13">
        <v>0.19</v>
      </c>
      <c r="I1413" t="s">
        <v>1931</v>
      </c>
      <c r="J1413" s="16">
        <v>411.71490000000011</v>
      </c>
      <c r="K1413" s="19">
        <f t="shared" si="110"/>
        <v>632178.58749999991</v>
      </c>
      <c r="L1413" s="22">
        <f t="shared" si="111"/>
        <v>1073.3082979626483</v>
      </c>
      <c r="M1413" s="22">
        <f t="shared" si="112"/>
        <v>193</v>
      </c>
      <c r="N1413" s="22" t="str">
        <f t="shared" si="113"/>
        <v>Low Value</v>
      </c>
      <c r="O1413" s="22" t="str">
        <f t="shared" si="114"/>
        <v>Nov-2024</v>
      </c>
      <c r="P1413" s="22" t="s">
        <v>1723</v>
      </c>
      <c r="Q1413" s="22" t="s">
        <v>1560</v>
      </c>
      <c r="R1413" s="22" t="s">
        <v>1094</v>
      </c>
      <c r="S1413" s="22"/>
      <c r="T1413" s="22"/>
      <c r="V1413" s="26" t="s">
        <v>1933</v>
      </c>
      <c r="W1413" s="6">
        <v>3</v>
      </c>
    </row>
    <row r="1414" spans="1:23">
      <c r="A1414" t="s">
        <v>3351</v>
      </c>
      <c r="B1414" s="8">
        <v>45413</v>
      </c>
      <c r="C1414" t="s">
        <v>542</v>
      </c>
      <c r="D1414" t="s">
        <v>1804</v>
      </c>
      <c r="E1414" t="s">
        <v>1883</v>
      </c>
      <c r="F1414">
        <v>1</v>
      </c>
      <c r="G1414" s="10">
        <v>254.47</v>
      </c>
      <c r="H1414" s="13">
        <v>0.1</v>
      </c>
      <c r="I1414" t="s">
        <v>1931</v>
      </c>
      <c r="J1414" s="16">
        <v>229.023</v>
      </c>
      <c r="K1414" s="19">
        <f t="shared" si="110"/>
        <v>631766.87259999989</v>
      </c>
      <c r="L1414" s="22">
        <f t="shared" si="111"/>
        <v>1074.4334568027209</v>
      </c>
      <c r="M1414" s="22">
        <f t="shared" si="112"/>
        <v>193</v>
      </c>
      <c r="N1414" s="22" t="str">
        <f t="shared" si="113"/>
        <v>Low Value</v>
      </c>
      <c r="O1414" s="22" t="str">
        <f t="shared" si="114"/>
        <v>May-2024</v>
      </c>
      <c r="P1414" s="22" t="s">
        <v>1805</v>
      </c>
      <c r="Q1414" s="22" t="s">
        <v>1555</v>
      </c>
      <c r="R1414" s="22" t="s">
        <v>543</v>
      </c>
      <c r="S1414" s="22"/>
      <c r="T1414" s="22"/>
      <c r="V1414" s="25" t="s">
        <v>1088</v>
      </c>
      <c r="W1414" s="6">
        <v>22</v>
      </c>
    </row>
    <row r="1415" spans="1:23">
      <c r="A1415" t="s">
        <v>3352</v>
      </c>
      <c r="B1415" s="8">
        <v>45506</v>
      </c>
      <c r="C1415" t="s">
        <v>1291</v>
      </c>
      <c r="D1415" t="s">
        <v>1624</v>
      </c>
      <c r="E1415" t="s">
        <v>1911</v>
      </c>
      <c r="F1415">
        <v>4</v>
      </c>
      <c r="G1415" s="10">
        <v>627.73</v>
      </c>
      <c r="H1415" s="13">
        <v>0.11</v>
      </c>
      <c r="I1415" t="s">
        <v>1936</v>
      </c>
      <c r="J1415" s="16">
        <v>2234.7188000000001</v>
      </c>
      <c r="K1415" s="19">
        <f t="shared" si="110"/>
        <v>631537.84959999996</v>
      </c>
      <c r="L1415" s="22">
        <f t="shared" si="111"/>
        <v>1075.8736790459966</v>
      </c>
      <c r="M1415" s="22">
        <f t="shared" si="112"/>
        <v>193</v>
      </c>
      <c r="N1415" s="22" t="str">
        <f t="shared" si="113"/>
        <v>High Value</v>
      </c>
      <c r="O1415" s="22" t="str">
        <f t="shared" si="114"/>
        <v>Aug-2024</v>
      </c>
      <c r="P1415" s="22" t="s">
        <v>1625</v>
      </c>
      <c r="Q1415" s="22" t="s">
        <v>1536</v>
      </c>
      <c r="R1415" s="22" t="s">
        <v>1292</v>
      </c>
      <c r="S1415" s="22"/>
      <c r="T1415" s="22"/>
      <c r="V1415" s="26" t="s">
        <v>1936</v>
      </c>
      <c r="W1415" s="6">
        <v>4</v>
      </c>
    </row>
    <row r="1416" spans="1:23">
      <c r="A1416" t="s">
        <v>3353</v>
      </c>
      <c r="B1416" s="8">
        <v>45394</v>
      </c>
      <c r="C1416" t="s">
        <v>1154</v>
      </c>
      <c r="D1416" t="s">
        <v>1642</v>
      </c>
      <c r="E1416" t="s">
        <v>1920</v>
      </c>
      <c r="F1416">
        <v>4</v>
      </c>
      <c r="G1416" s="10">
        <v>327.25</v>
      </c>
      <c r="H1416" s="13">
        <v>0.13</v>
      </c>
      <c r="I1416" t="s">
        <v>1936</v>
      </c>
      <c r="J1416" s="16">
        <v>1138.83</v>
      </c>
      <c r="K1416" s="19">
        <f t="shared" si="110"/>
        <v>629303.13080000004</v>
      </c>
      <c r="L1416" s="22">
        <f t="shared" si="111"/>
        <v>1073.8961276450514</v>
      </c>
      <c r="M1416" s="22">
        <f t="shared" si="112"/>
        <v>193</v>
      </c>
      <c r="N1416" s="22" t="str">
        <f t="shared" si="113"/>
        <v>High Value</v>
      </c>
      <c r="O1416" s="22" t="str">
        <f t="shared" si="114"/>
        <v>Apr-2024</v>
      </c>
      <c r="P1416" s="22" t="s">
        <v>1643</v>
      </c>
      <c r="Q1416" s="22" t="s">
        <v>1569</v>
      </c>
      <c r="R1416" s="22" t="s">
        <v>1155</v>
      </c>
      <c r="S1416" s="22"/>
      <c r="T1416" s="22"/>
      <c r="V1416" s="26" t="s">
        <v>1931</v>
      </c>
      <c r="W1416" s="6">
        <v>14</v>
      </c>
    </row>
    <row r="1417" spans="1:23">
      <c r="A1417" t="s">
        <v>3354</v>
      </c>
      <c r="B1417" s="8">
        <v>45755</v>
      </c>
      <c r="C1417" t="s">
        <v>488</v>
      </c>
      <c r="D1417" t="s">
        <v>1731</v>
      </c>
      <c r="E1417" t="s">
        <v>1899</v>
      </c>
      <c r="F1417">
        <v>4</v>
      </c>
      <c r="G1417" s="10">
        <v>511.43</v>
      </c>
      <c r="H1417" s="13">
        <v>0.18</v>
      </c>
      <c r="I1417" t="s">
        <v>1936</v>
      </c>
      <c r="J1417" s="16">
        <v>1677.4903999999999</v>
      </c>
      <c r="K1417" s="19">
        <f t="shared" si="110"/>
        <v>628164.30079999997</v>
      </c>
      <c r="L1417" s="22">
        <f t="shared" si="111"/>
        <v>1073.7851295726496</v>
      </c>
      <c r="M1417" s="22">
        <f t="shared" si="112"/>
        <v>193</v>
      </c>
      <c r="N1417" s="22" t="str">
        <f t="shared" si="113"/>
        <v>High Value</v>
      </c>
      <c r="O1417" s="22" t="str">
        <f t="shared" si="114"/>
        <v>Apr-2025</v>
      </c>
      <c r="P1417" s="22" t="s">
        <v>1732</v>
      </c>
      <c r="Q1417" s="22" t="s">
        <v>1555</v>
      </c>
      <c r="R1417" s="22" t="s">
        <v>489</v>
      </c>
      <c r="S1417" s="22"/>
      <c r="T1417" s="22"/>
      <c r="V1417" s="26" t="s">
        <v>1933</v>
      </c>
      <c r="W1417" s="6">
        <v>4</v>
      </c>
    </row>
    <row r="1418" spans="1:23">
      <c r="A1418" t="s">
        <v>3355</v>
      </c>
      <c r="B1418" s="8">
        <v>45473</v>
      </c>
      <c r="C1418" t="s">
        <v>548</v>
      </c>
      <c r="D1418" t="s">
        <v>1743</v>
      </c>
      <c r="E1418" t="s">
        <v>1914</v>
      </c>
      <c r="F1418">
        <v>4</v>
      </c>
      <c r="G1418" s="10">
        <v>194.67</v>
      </c>
      <c r="H1418" s="13">
        <v>0.23</v>
      </c>
      <c r="I1418" t="s">
        <v>1933</v>
      </c>
      <c r="J1418" s="16">
        <v>599.58359999999993</v>
      </c>
      <c r="K1418" s="19">
        <f t="shared" si="110"/>
        <v>626486.81039999996</v>
      </c>
      <c r="L1418" s="22">
        <f t="shared" si="111"/>
        <v>1072.7513876712328</v>
      </c>
      <c r="M1418" s="22">
        <f t="shared" si="112"/>
        <v>193</v>
      </c>
      <c r="N1418" s="22" t="str">
        <f t="shared" si="113"/>
        <v>Low Value</v>
      </c>
      <c r="O1418" s="22" t="str">
        <f t="shared" si="114"/>
        <v>Jun-2024</v>
      </c>
      <c r="P1418" s="22" t="s">
        <v>1744</v>
      </c>
      <c r="Q1418" s="22" t="s">
        <v>1555</v>
      </c>
      <c r="R1418" s="22" t="s">
        <v>549</v>
      </c>
      <c r="S1418" s="22"/>
      <c r="T1418" s="22"/>
      <c r="V1418" s="25" t="s">
        <v>973</v>
      </c>
      <c r="W1418" s="6">
        <v>12</v>
      </c>
    </row>
    <row r="1419" spans="1:23">
      <c r="A1419" t="s">
        <v>3356</v>
      </c>
      <c r="B1419" s="8">
        <v>45304</v>
      </c>
      <c r="C1419" t="s">
        <v>218</v>
      </c>
      <c r="D1419" t="s">
        <v>1617</v>
      </c>
      <c r="E1419" t="s">
        <v>1864</v>
      </c>
      <c r="F1419">
        <v>2</v>
      </c>
      <c r="G1419" s="10">
        <v>54.51</v>
      </c>
      <c r="H1419" s="13">
        <v>7.0000000000000007E-2</v>
      </c>
      <c r="I1419" t="s">
        <v>1931</v>
      </c>
      <c r="J1419" s="16">
        <v>101.3886</v>
      </c>
      <c r="K1419" s="19">
        <f t="shared" si="110"/>
        <v>625887.22680000006</v>
      </c>
      <c r="L1419" s="22">
        <f t="shared" si="111"/>
        <v>1073.5629962264152</v>
      </c>
      <c r="M1419" s="22">
        <f t="shared" si="112"/>
        <v>192</v>
      </c>
      <c r="N1419" s="22" t="str">
        <f t="shared" si="113"/>
        <v>Low Value</v>
      </c>
      <c r="O1419" s="22" t="str">
        <f t="shared" si="114"/>
        <v>Jan-2024</v>
      </c>
      <c r="P1419" s="22" t="s">
        <v>1618</v>
      </c>
      <c r="Q1419" s="22" t="s">
        <v>1536</v>
      </c>
      <c r="R1419" s="22" t="s">
        <v>219</v>
      </c>
      <c r="S1419" s="22"/>
      <c r="T1419" s="22"/>
      <c r="V1419" s="26" t="s">
        <v>1936</v>
      </c>
      <c r="W1419" s="6">
        <v>2</v>
      </c>
    </row>
    <row r="1420" spans="1:23">
      <c r="A1420" t="s">
        <v>3357</v>
      </c>
      <c r="B1420" s="8">
        <v>45557</v>
      </c>
      <c r="C1420" t="s">
        <v>275</v>
      </c>
      <c r="D1420" t="s">
        <v>1740</v>
      </c>
      <c r="E1420" t="s">
        <v>1899</v>
      </c>
      <c r="F1420">
        <v>4</v>
      </c>
      <c r="G1420" s="10">
        <v>964</v>
      </c>
      <c r="H1420" s="13">
        <v>0.14000000000000001</v>
      </c>
      <c r="I1420" t="s">
        <v>1933</v>
      </c>
      <c r="J1420" s="16">
        <v>3316.16</v>
      </c>
      <c r="K1420" s="19">
        <f t="shared" si="110"/>
        <v>625785.8382</v>
      </c>
      <c r="L1420" s="22">
        <f t="shared" si="111"/>
        <v>1075.2333989690721</v>
      </c>
      <c r="M1420" s="22">
        <f t="shared" si="112"/>
        <v>192</v>
      </c>
      <c r="N1420" s="22" t="str">
        <f t="shared" si="113"/>
        <v>High Value</v>
      </c>
      <c r="O1420" s="22" t="str">
        <f t="shared" si="114"/>
        <v>Sep-2024</v>
      </c>
      <c r="P1420" s="22" t="s">
        <v>1741</v>
      </c>
      <c r="Q1420" s="22" t="s">
        <v>1531</v>
      </c>
      <c r="R1420" s="22" t="s">
        <v>276</v>
      </c>
      <c r="S1420" s="22"/>
      <c r="T1420" s="22"/>
      <c r="V1420" s="26" t="s">
        <v>1931</v>
      </c>
      <c r="W1420" s="6">
        <v>4</v>
      </c>
    </row>
    <row r="1421" spans="1:23">
      <c r="A1421" t="s">
        <v>3358</v>
      </c>
      <c r="B1421" s="8">
        <v>45527</v>
      </c>
      <c r="C1421" t="s">
        <v>156</v>
      </c>
      <c r="D1421" t="s">
        <v>1822</v>
      </c>
      <c r="E1421" t="s">
        <v>1876</v>
      </c>
      <c r="F1421">
        <v>1</v>
      </c>
      <c r="G1421" s="10">
        <v>170.12</v>
      </c>
      <c r="H1421" s="13">
        <v>0.26</v>
      </c>
      <c r="I1421" t="s">
        <v>1933</v>
      </c>
      <c r="J1421" s="16">
        <v>125.8888</v>
      </c>
      <c r="K1421" s="19">
        <f t="shared" si="110"/>
        <v>622469.6782000002</v>
      </c>
      <c r="L1421" s="22">
        <f t="shared" si="111"/>
        <v>1071.3763824440623</v>
      </c>
      <c r="M1421" s="22">
        <f t="shared" si="112"/>
        <v>191</v>
      </c>
      <c r="N1421" s="22" t="str">
        <f t="shared" si="113"/>
        <v>Low Value</v>
      </c>
      <c r="O1421" s="22" t="str">
        <f t="shared" si="114"/>
        <v>Aug-2024</v>
      </c>
      <c r="P1421" s="22" t="s">
        <v>1823</v>
      </c>
      <c r="Q1421" s="22" t="s">
        <v>1555</v>
      </c>
      <c r="R1421" s="22" t="s">
        <v>157</v>
      </c>
      <c r="S1421" s="22"/>
      <c r="T1421" s="22"/>
      <c r="V1421" s="26" t="s">
        <v>1933</v>
      </c>
      <c r="W1421" s="6">
        <v>6</v>
      </c>
    </row>
    <row r="1422" spans="1:23">
      <c r="A1422" t="s">
        <v>3359</v>
      </c>
      <c r="B1422" s="8">
        <v>45875</v>
      </c>
      <c r="C1422" t="s">
        <v>509</v>
      </c>
      <c r="D1422" t="s">
        <v>1713</v>
      </c>
      <c r="E1422" t="s">
        <v>1920</v>
      </c>
      <c r="F1422">
        <v>2</v>
      </c>
      <c r="G1422" s="10">
        <v>664.5</v>
      </c>
      <c r="H1422" s="13">
        <v>0.23</v>
      </c>
      <c r="I1422" t="s">
        <v>1931</v>
      </c>
      <c r="J1422" s="16">
        <v>1023.33</v>
      </c>
      <c r="K1422" s="19">
        <f t="shared" si="110"/>
        <v>622343.78940000024</v>
      </c>
      <c r="L1422" s="22">
        <f t="shared" si="111"/>
        <v>1073.0065334482763</v>
      </c>
      <c r="M1422" s="22">
        <f t="shared" si="112"/>
        <v>190</v>
      </c>
      <c r="N1422" s="22" t="str">
        <f t="shared" si="113"/>
        <v>High Value</v>
      </c>
      <c r="O1422" s="22" t="str">
        <f t="shared" si="114"/>
        <v>Aug-2025</v>
      </c>
      <c r="P1422" s="22" t="s">
        <v>1714</v>
      </c>
      <c r="Q1422" s="22" t="s">
        <v>1536</v>
      </c>
      <c r="R1422" s="22" t="s">
        <v>510</v>
      </c>
      <c r="S1422" s="22"/>
      <c r="T1422" s="22"/>
      <c r="V1422" s="25" t="s">
        <v>504</v>
      </c>
      <c r="W1422" s="6">
        <v>3</v>
      </c>
    </row>
    <row r="1423" spans="1:23">
      <c r="A1423" t="s">
        <v>3360</v>
      </c>
      <c r="B1423" s="8">
        <v>45936</v>
      </c>
      <c r="C1423" t="s">
        <v>1154</v>
      </c>
      <c r="D1423" t="s">
        <v>1687</v>
      </c>
      <c r="E1423" t="s">
        <v>1896</v>
      </c>
      <c r="F1423">
        <v>4</v>
      </c>
      <c r="G1423" s="10">
        <v>557.51</v>
      </c>
      <c r="H1423" s="13">
        <v>0.11</v>
      </c>
      <c r="I1423" t="s">
        <v>1931</v>
      </c>
      <c r="J1423" s="16">
        <v>1984.7356</v>
      </c>
      <c r="K1423" s="19">
        <f t="shared" si="110"/>
        <v>621320.45940000017</v>
      </c>
      <c r="L1423" s="22">
        <f t="shared" si="111"/>
        <v>1073.0923305699484</v>
      </c>
      <c r="M1423" s="22">
        <f t="shared" si="112"/>
        <v>190</v>
      </c>
      <c r="N1423" s="22" t="str">
        <f t="shared" si="113"/>
        <v>High Value</v>
      </c>
      <c r="O1423" s="22" t="str">
        <f t="shared" si="114"/>
        <v>Oct-2025</v>
      </c>
      <c r="P1423" s="22" t="s">
        <v>1688</v>
      </c>
      <c r="Q1423" s="22" t="s">
        <v>1569</v>
      </c>
      <c r="R1423" s="22" t="s">
        <v>1155</v>
      </c>
      <c r="S1423" s="22"/>
      <c r="T1423" s="22"/>
      <c r="V1423" s="26" t="s">
        <v>1933</v>
      </c>
      <c r="W1423" s="6">
        <v>3</v>
      </c>
    </row>
    <row r="1424" spans="1:23">
      <c r="A1424" t="s">
        <v>3361</v>
      </c>
      <c r="B1424" s="8">
        <v>45807</v>
      </c>
      <c r="C1424" t="s">
        <v>1232</v>
      </c>
      <c r="D1424" t="s">
        <v>1825</v>
      </c>
      <c r="E1424" t="s">
        <v>1864</v>
      </c>
      <c r="F1424">
        <v>2</v>
      </c>
      <c r="G1424" s="10">
        <v>410</v>
      </c>
      <c r="H1424" s="13">
        <v>0.13</v>
      </c>
      <c r="I1424" t="s">
        <v>1936</v>
      </c>
      <c r="J1424" s="16">
        <v>713.4</v>
      </c>
      <c r="K1424" s="19">
        <f t="shared" si="110"/>
        <v>619335.72380000015</v>
      </c>
      <c r="L1424" s="22">
        <f t="shared" si="111"/>
        <v>1071.5150930795851</v>
      </c>
      <c r="M1424" s="22">
        <f t="shared" si="112"/>
        <v>190</v>
      </c>
      <c r="N1424" s="22" t="str">
        <f t="shared" si="113"/>
        <v>Low Value</v>
      </c>
      <c r="O1424" s="22" t="str">
        <f t="shared" si="114"/>
        <v>May-2025</v>
      </c>
      <c r="P1424" s="22" t="s">
        <v>1826</v>
      </c>
      <c r="Q1424" s="22" t="s">
        <v>1531</v>
      </c>
      <c r="R1424" s="22" t="s">
        <v>3957</v>
      </c>
      <c r="S1424" s="22"/>
      <c r="T1424" s="22"/>
      <c r="V1424" s="25" t="s">
        <v>944</v>
      </c>
      <c r="W1424" s="6">
        <v>9</v>
      </c>
    </row>
    <row r="1425" spans="1:23">
      <c r="A1425" t="s">
        <v>3362</v>
      </c>
      <c r="B1425" s="8">
        <v>45473</v>
      </c>
      <c r="C1425" t="s">
        <v>963</v>
      </c>
      <c r="D1425" t="s">
        <v>1804</v>
      </c>
      <c r="E1425" t="s">
        <v>1880</v>
      </c>
      <c r="F1425">
        <v>2</v>
      </c>
      <c r="G1425" s="10">
        <v>879.93</v>
      </c>
      <c r="H1425" s="13">
        <v>0.28999999999999998</v>
      </c>
      <c r="I1425" t="s">
        <v>1936</v>
      </c>
      <c r="J1425" s="16">
        <v>1249.5006000000001</v>
      </c>
      <c r="K1425" s="19">
        <f t="shared" si="110"/>
        <v>618622.32380000013</v>
      </c>
      <c r="L1425" s="22">
        <f t="shared" si="111"/>
        <v>1072.1357431542463</v>
      </c>
      <c r="M1425" s="22">
        <f t="shared" si="112"/>
        <v>190</v>
      </c>
      <c r="N1425" s="22" t="str">
        <f t="shared" si="113"/>
        <v>High Value</v>
      </c>
      <c r="O1425" s="22" t="str">
        <f t="shared" si="114"/>
        <v>Jun-2024</v>
      </c>
      <c r="P1425" s="22" t="s">
        <v>1805</v>
      </c>
      <c r="Q1425" s="22" t="s">
        <v>1555</v>
      </c>
      <c r="R1425" s="22" t="s">
        <v>964</v>
      </c>
      <c r="S1425" s="22"/>
      <c r="T1425" s="22"/>
      <c r="V1425" s="26" t="s">
        <v>1936</v>
      </c>
      <c r="W1425" s="6">
        <v>3</v>
      </c>
    </row>
    <row r="1426" spans="1:23">
      <c r="A1426" t="s">
        <v>3363</v>
      </c>
      <c r="B1426" s="8">
        <v>45664</v>
      </c>
      <c r="C1426" t="s">
        <v>39</v>
      </c>
      <c r="D1426" t="s">
        <v>1583</v>
      </c>
      <c r="E1426" t="s">
        <v>1917</v>
      </c>
      <c r="F1426">
        <v>1</v>
      </c>
      <c r="G1426" s="10">
        <v>350.58</v>
      </c>
      <c r="H1426" s="13">
        <v>0.03</v>
      </c>
      <c r="I1426" t="s">
        <v>1936</v>
      </c>
      <c r="J1426" s="16">
        <v>340.06259999999997</v>
      </c>
      <c r="K1426" s="19">
        <f t="shared" si="110"/>
        <v>617372.82320000022</v>
      </c>
      <c r="L1426" s="22">
        <f t="shared" si="111"/>
        <v>1071.827818055556</v>
      </c>
      <c r="M1426" s="22">
        <f t="shared" si="112"/>
        <v>190</v>
      </c>
      <c r="N1426" s="22" t="str">
        <f t="shared" si="113"/>
        <v>Low Value</v>
      </c>
      <c r="O1426" s="22" t="str">
        <f t="shared" si="114"/>
        <v>Jan-2025</v>
      </c>
      <c r="P1426" s="22" t="s">
        <v>1584</v>
      </c>
      <c r="Q1426" s="22" t="s">
        <v>1531</v>
      </c>
      <c r="R1426" s="22" t="s">
        <v>40</v>
      </c>
      <c r="S1426" s="22"/>
      <c r="T1426" s="22"/>
      <c r="V1426" s="26" t="s">
        <v>1931</v>
      </c>
      <c r="W1426" s="6">
        <v>2</v>
      </c>
    </row>
    <row r="1427" spans="1:23">
      <c r="A1427" t="s">
        <v>3364</v>
      </c>
      <c r="B1427" s="8">
        <v>45633</v>
      </c>
      <c r="C1427" t="s">
        <v>1093</v>
      </c>
      <c r="D1427" t="s">
        <v>1728</v>
      </c>
      <c r="E1427" t="s">
        <v>1873</v>
      </c>
      <c r="F1427">
        <v>4</v>
      </c>
      <c r="G1427" s="10">
        <v>348.58</v>
      </c>
      <c r="H1427" s="13">
        <v>0.16</v>
      </c>
      <c r="I1427" t="s">
        <v>1931</v>
      </c>
      <c r="J1427" s="16">
        <v>1171.2288000000001</v>
      </c>
      <c r="K1427" s="19">
        <f t="shared" si="110"/>
        <v>617032.76060000027</v>
      </c>
      <c r="L1427" s="22">
        <f t="shared" si="111"/>
        <v>1073.1004532173918</v>
      </c>
      <c r="M1427" s="22">
        <f t="shared" si="112"/>
        <v>190</v>
      </c>
      <c r="N1427" s="22" t="str">
        <f t="shared" si="113"/>
        <v>High Value</v>
      </c>
      <c r="O1427" s="22" t="str">
        <f t="shared" si="114"/>
        <v>Dec-2024</v>
      </c>
      <c r="P1427" s="22" t="s">
        <v>1729</v>
      </c>
      <c r="Q1427" s="22" t="s">
        <v>1536</v>
      </c>
      <c r="R1427" s="22" t="s">
        <v>1094</v>
      </c>
      <c r="S1427" s="22"/>
      <c r="T1427" s="22"/>
      <c r="V1427" s="26" t="s">
        <v>1933</v>
      </c>
      <c r="W1427" s="6">
        <v>4</v>
      </c>
    </row>
    <row r="1428" spans="1:23">
      <c r="A1428" t="s">
        <v>3365</v>
      </c>
      <c r="B1428" s="8">
        <v>45548</v>
      </c>
      <c r="C1428" t="s">
        <v>1408</v>
      </c>
      <c r="D1428" t="s">
        <v>1624</v>
      </c>
      <c r="E1428" t="s">
        <v>1873</v>
      </c>
      <c r="F1428">
        <v>3</v>
      </c>
      <c r="G1428" s="10">
        <v>247.66</v>
      </c>
      <c r="H1428" s="13">
        <v>0.02</v>
      </c>
      <c r="I1428" t="s">
        <v>1936</v>
      </c>
      <c r="J1428" s="16">
        <v>728.12040000000002</v>
      </c>
      <c r="K1428" s="19">
        <f t="shared" si="110"/>
        <v>615861.53180000035</v>
      </c>
      <c r="L1428" s="22">
        <f t="shared" si="111"/>
        <v>1072.9294979094082</v>
      </c>
      <c r="M1428" s="22">
        <f t="shared" si="112"/>
        <v>190</v>
      </c>
      <c r="N1428" s="22" t="str">
        <f t="shared" si="113"/>
        <v>Low Value</v>
      </c>
      <c r="O1428" s="22" t="str">
        <f t="shared" si="114"/>
        <v>Sep-2024</v>
      </c>
      <c r="P1428" s="22" t="s">
        <v>1625</v>
      </c>
      <c r="Q1428" s="22" t="s">
        <v>1536</v>
      </c>
      <c r="R1428" s="22" t="s">
        <v>677</v>
      </c>
      <c r="S1428" s="22"/>
      <c r="T1428" s="22"/>
      <c r="V1428" s="25" t="s">
        <v>884</v>
      </c>
      <c r="W1428" s="6">
        <v>10</v>
      </c>
    </row>
    <row r="1429" spans="1:23">
      <c r="A1429" t="s">
        <v>3366</v>
      </c>
      <c r="B1429" s="8">
        <v>45244</v>
      </c>
      <c r="C1429" t="s">
        <v>1205</v>
      </c>
      <c r="D1429" t="s">
        <v>1668</v>
      </c>
      <c r="E1429" t="s">
        <v>1908</v>
      </c>
      <c r="F1429">
        <v>3</v>
      </c>
      <c r="G1429" s="10">
        <v>836.27</v>
      </c>
      <c r="H1429" s="13">
        <v>0.16</v>
      </c>
      <c r="I1429" t="s">
        <v>1931</v>
      </c>
      <c r="J1429" s="16">
        <v>2107.4004</v>
      </c>
      <c r="K1429" s="19">
        <f t="shared" si="110"/>
        <v>615133.41140000033</v>
      </c>
      <c r="L1429" s="22">
        <f t="shared" si="111"/>
        <v>1073.5312589877842</v>
      </c>
      <c r="M1429" s="22">
        <f t="shared" si="112"/>
        <v>190</v>
      </c>
      <c r="N1429" s="22" t="str">
        <f t="shared" si="113"/>
        <v>High Value</v>
      </c>
      <c r="O1429" s="22" t="str">
        <f t="shared" si="114"/>
        <v>Nov-2023</v>
      </c>
      <c r="P1429" s="22" t="s">
        <v>1669</v>
      </c>
      <c r="Q1429" s="22" t="s">
        <v>1531</v>
      </c>
      <c r="R1429" s="22" t="s">
        <v>1206</v>
      </c>
      <c r="S1429" s="22"/>
      <c r="T1429" s="22"/>
      <c r="V1429" s="26" t="s">
        <v>1936</v>
      </c>
      <c r="W1429" s="6">
        <v>5</v>
      </c>
    </row>
    <row r="1430" spans="1:23">
      <c r="A1430" t="s">
        <v>3367</v>
      </c>
      <c r="B1430" s="8">
        <v>45753</v>
      </c>
      <c r="C1430" t="s">
        <v>638</v>
      </c>
      <c r="D1430" t="s">
        <v>1586</v>
      </c>
      <c r="E1430" t="s">
        <v>1896</v>
      </c>
      <c r="F1430">
        <v>3</v>
      </c>
      <c r="G1430" s="10">
        <v>696.74</v>
      </c>
      <c r="H1430" s="13">
        <v>0.13</v>
      </c>
      <c r="I1430" t="s">
        <v>1936</v>
      </c>
      <c r="J1430" s="16">
        <v>1818.4914000000001</v>
      </c>
      <c r="K1430" s="19">
        <f t="shared" si="110"/>
        <v>613026.01100000029</v>
      </c>
      <c r="L1430" s="22">
        <f t="shared" si="111"/>
        <v>1071.723795454546</v>
      </c>
      <c r="M1430" s="22">
        <f t="shared" si="112"/>
        <v>190</v>
      </c>
      <c r="N1430" s="22" t="str">
        <f t="shared" si="113"/>
        <v>High Value</v>
      </c>
      <c r="O1430" s="22" t="str">
        <f t="shared" si="114"/>
        <v>Apr-2025</v>
      </c>
      <c r="P1430" s="22" t="s">
        <v>1587</v>
      </c>
      <c r="Q1430" s="22" t="s">
        <v>1560</v>
      </c>
      <c r="R1430" s="22" t="s">
        <v>639</v>
      </c>
      <c r="S1430" s="22"/>
      <c r="T1430" s="22"/>
      <c r="V1430" s="26" t="s">
        <v>1933</v>
      </c>
      <c r="W1430" s="6">
        <v>5</v>
      </c>
    </row>
    <row r="1431" spans="1:23">
      <c r="A1431" t="s">
        <v>3368</v>
      </c>
      <c r="B1431" s="8">
        <v>45804</v>
      </c>
      <c r="C1431" t="s">
        <v>786</v>
      </c>
      <c r="D1431" t="s">
        <v>1837</v>
      </c>
      <c r="E1431" t="s">
        <v>1904</v>
      </c>
      <c r="F1431">
        <v>2</v>
      </c>
      <c r="G1431" s="10">
        <v>822.59</v>
      </c>
      <c r="H1431" s="13">
        <v>0.22</v>
      </c>
      <c r="I1431" t="s">
        <v>1933</v>
      </c>
      <c r="J1431" s="16">
        <v>1283.2403999999999</v>
      </c>
      <c r="K1431" s="19">
        <f t="shared" si="110"/>
        <v>611207.51960000035</v>
      </c>
      <c r="L1431" s="22">
        <f t="shared" si="111"/>
        <v>1070.4159712784594</v>
      </c>
      <c r="M1431" s="22">
        <f t="shared" si="112"/>
        <v>190</v>
      </c>
      <c r="N1431" s="22" t="str">
        <f t="shared" si="113"/>
        <v>High Value</v>
      </c>
      <c r="O1431" s="22" t="str">
        <f t="shared" si="114"/>
        <v>May-2025</v>
      </c>
      <c r="P1431" s="22" t="s">
        <v>1838</v>
      </c>
      <c r="Q1431" s="22" t="s">
        <v>1555</v>
      </c>
      <c r="R1431" s="22" t="s">
        <v>787</v>
      </c>
      <c r="S1431" s="22"/>
      <c r="T1431" s="22"/>
      <c r="V1431" s="25" t="s">
        <v>1111</v>
      </c>
      <c r="W1431" s="6">
        <v>3</v>
      </c>
    </row>
    <row r="1432" spans="1:23">
      <c r="A1432" t="s">
        <v>3369</v>
      </c>
      <c r="B1432" s="8">
        <v>45263</v>
      </c>
      <c r="C1432" t="s">
        <v>719</v>
      </c>
      <c r="D1432" t="s">
        <v>1792</v>
      </c>
      <c r="E1432" t="s">
        <v>1868</v>
      </c>
      <c r="F1432">
        <v>1</v>
      </c>
      <c r="G1432" s="10">
        <v>462.23</v>
      </c>
      <c r="H1432" s="13">
        <v>0.3</v>
      </c>
      <c r="I1432" t="s">
        <v>1933</v>
      </c>
      <c r="J1432" s="16">
        <v>323.56099999999998</v>
      </c>
      <c r="K1432" s="19">
        <f t="shared" si="110"/>
        <v>609924.27920000034</v>
      </c>
      <c r="L1432" s="22">
        <f t="shared" si="111"/>
        <v>1070.04259508772</v>
      </c>
      <c r="M1432" s="22">
        <f t="shared" si="112"/>
        <v>189</v>
      </c>
      <c r="N1432" s="22" t="str">
        <f t="shared" si="113"/>
        <v>Low Value</v>
      </c>
      <c r="O1432" s="22" t="str">
        <f t="shared" si="114"/>
        <v>Dec-2023</v>
      </c>
      <c r="P1432" s="22" t="s">
        <v>1793</v>
      </c>
      <c r="Q1432" s="22" t="s">
        <v>1560</v>
      </c>
      <c r="R1432" s="22" t="s">
        <v>720</v>
      </c>
      <c r="S1432" s="22"/>
      <c r="T1432" s="22"/>
      <c r="V1432" s="26" t="s">
        <v>1931</v>
      </c>
      <c r="W1432" s="6">
        <v>3</v>
      </c>
    </row>
    <row r="1433" spans="1:23">
      <c r="A1433" t="s">
        <v>3370</v>
      </c>
      <c r="B1433" s="8">
        <v>45906</v>
      </c>
      <c r="C1433" t="s">
        <v>1374</v>
      </c>
      <c r="D1433" t="s">
        <v>1678</v>
      </c>
      <c r="E1433" t="s">
        <v>1914</v>
      </c>
      <c r="F1433">
        <v>1</v>
      </c>
      <c r="G1433" s="10">
        <v>361.09</v>
      </c>
      <c r="H1433" s="13">
        <v>0.06</v>
      </c>
      <c r="I1433" t="s">
        <v>1933</v>
      </c>
      <c r="J1433" s="16">
        <v>339.42459999999988</v>
      </c>
      <c r="K1433" s="19">
        <f t="shared" si="110"/>
        <v>609600.71820000035</v>
      </c>
      <c r="L1433" s="22">
        <f t="shared" si="111"/>
        <v>1071.3545135325137</v>
      </c>
      <c r="M1433" s="22">
        <f t="shared" si="112"/>
        <v>188</v>
      </c>
      <c r="N1433" s="22" t="str">
        <f t="shared" si="113"/>
        <v>Low Value</v>
      </c>
      <c r="O1433" s="22" t="str">
        <f t="shared" si="114"/>
        <v>Sep-2025</v>
      </c>
      <c r="P1433" s="22" t="s">
        <v>1679</v>
      </c>
      <c r="Q1433" s="22" t="s">
        <v>1531</v>
      </c>
      <c r="R1433" s="22" t="s">
        <v>1375</v>
      </c>
      <c r="S1433" s="22"/>
      <c r="T1433" s="22"/>
      <c r="V1433" s="25" t="s">
        <v>561</v>
      </c>
      <c r="W1433" s="6">
        <v>7</v>
      </c>
    </row>
    <row r="1434" spans="1:23">
      <c r="A1434" t="s">
        <v>3371</v>
      </c>
      <c r="B1434" s="8">
        <v>45243</v>
      </c>
      <c r="C1434" t="s">
        <v>1190</v>
      </c>
      <c r="D1434" t="s">
        <v>1774</v>
      </c>
      <c r="E1434" t="s">
        <v>1920</v>
      </c>
      <c r="F1434">
        <v>3</v>
      </c>
      <c r="G1434" s="10">
        <v>59.37</v>
      </c>
      <c r="H1434" s="13">
        <v>0.03</v>
      </c>
      <c r="I1434" t="s">
        <v>1933</v>
      </c>
      <c r="J1434" s="16">
        <v>172.76669999999999</v>
      </c>
      <c r="K1434" s="19">
        <f t="shared" si="110"/>
        <v>609261.29360000032</v>
      </c>
      <c r="L1434" s="22">
        <f t="shared" si="111"/>
        <v>1072.6431225352119</v>
      </c>
      <c r="M1434" s="22">
        <f t="shared" si="112"/>
        <v>187</v>
      </c>
      <c r="N1434" s="22" t="str">
        <f t="shared" si="113"/>
        <v>Low Value</v>
      </c>
      <c r="O1434" s="22" t="str">
        <f t="shared" si="114"/>
        <v>Nov-2023</v>
      </c>
      <c r="P1434" s="22" t="s">
        <v>1775</v>
      </c>
      <c r="Q1434" s="22" t="s">
        <v>1569</v>
      </c>
      <c r="R1434" s="22" t="s">
        <v>1191</v>
      </c>
      <c r="S1434" s="22"/>
      <c r="T1434" s="22"/>
      <c r="V1434" s="26" t="s">
        <v>1936</v>
      </c>
      <c r="W1434" s="6">
        <v>3</v>
      </c>
    </row>
    <row r="1435" spans="1:23">
      <c r="A1435" t="s">
        <v>3372</v>
      </c>
      <c r="B1435" s="8">
        <v>45686</v>
      </c>
      <c r="C1435" t="s">
        <v>143</v>
      </c>
      <c r="D1435" t="s">
        <v>1672</v>
      </c>
      <c r="E1435" t="s">
        <v>1864</v>
      </c>
      <c r="F1435">
        <v>3</v>
      </c>
      <c r="G1435" s="10">
        <v>765.21</v>
      </c>
      <c r="H1435" s="13">
        <v>0.14000000000000001</v>
      </c>
      <c r="I1435" t="s">
        <v>1936</v>
      </c>
      <c r="J1435" s="16">
        <v>1974.2418</v>
      </c>
      <c r="K1435" s="19">
        <f t="shared" si="110"/>
        <v>609088.52690000029</v>
      </c>
      <c r="L1435" s="22">
        <f t="shared" si="111"/>
        <v>1074.2302061728401</v>
      </c>
      <c r="M1435" s="22">
        <f t="shared" si="112"/>
        <v>186</v>
      </c>
      <c r="N1435" s="22" t="str">
        <f t="shared" si="113"/>
        <v>High Value</v>
      </c>
      <c r="O1435" s="22" t="str">
        <f t="shared" si="114"/>
        <v>Jan-2025</v>
      </c>
      <c r="P1435" s="22" t="s">
        <v>1673</v>
      </c>
      <c r="Q1435" s="22" t="s">
        <v>1531</v>
      </c>
      <c r="R1435" s="22" t="s">
        <v>144</v>
      </c>
      <c r="S1435" s="22"/>
      <c r="T1435" s="22"/>
      <c r="V1435" s="26" t="s">
        <v>1931</v>
      </c>
      <c r="W1435" s="6">
        <v>4</v>
      </c>
    </row>
    <row r="1436" spans="1:23">
      <c r="A1436" t="s">
        <v>3373</v>
      </c>
      <c r="B1436" s="8">
        <v>45472</v>
      </c>
      <c r="C1436" t="s">
        <v>780</v>
      </c>
      <c r="D1436" t="s">
        <v>1646</v>
      </c>
      <c r="E1436" t="s">
        <v>1901</v>
      </c>
      <c r="F1436">
        <v>4</v>
      </c>
      <c r="G1436" s="10">
        <v>303.56</v>
      </c>
      <c r="H1436" s="13">
        <v>0.2</v>
      </c>
      <c r="I1436" t="s">
        <v>1936</v>
      </c>
      <c r="J1436" s="16">
        <v>971.39200000000005</v>
      </c>
      <c r="K1436" s="19">
        <f t="shared" si="110"/>
        <v>607114.28510000033</v>
      </c>
      <c r="L1436" s="22">
        <f t="shared" si="111"/>
        <v>1072.6400796819794</v>
      </c>
      <c r="M1436" s="22">
        <f t="shared" si="112"/>
        <v>186</v>
      </c>
      <c r="N1436" s="22" t="str">
        <f t="shared" si="113"/>
        <v>Low Value</v>
      </c>
      <c r="O1436" s="22" t="str">
        <f t="shared" si="114"/>
        <v>Jun-2024</v>
      </c>
      <c r="P1436" s="22" t="s">
        <v>1647</v>
      </c>
      <c r="Q1436" s="22" t="s">
        <v>1555</v>
      </c>
      <c r="R1436" s="22" t="s">
        <v>781</v>
      </c>
      <c r="S1436" s="22"/>
      <c r="T1436" s="22"/>
      <c r="V1436" s="25" t="s">
        <v>698</v>
      </c>
      <c r="W1436" s="6">
        <v>7</v>
      </c>
    </row>
    <row r="1437" spans="1:23">
      <c r="A1437" t="s">
        <v>3374</v>
      </c>
      <c r="B1437" s="8">
        <v>45779</v>
      </c>
      <c r="C1437" t="s">
        <v>1362</v>
      </c>
      <c r="D1437" t="s">
        <v>1630</v>
      </c>
      <c r="E1437" t="s">
        <v>1859</v>
      </c>
      <c r="F1437">
        <v>1</v>
      </c>
      <c r="G1437" s="10">
        <v>640.92999999999995</v>
      </c>
      <c r="H1437" s="13">
        <v>0.19</v>
      </c>
      <c r="I1437" t="s">
        <v>1933</v>
      </c>
      <c r="J1437" s="16">
        <v>519.15329999999994</v>
      </c>
      <c r="K1437" s="19">
        <f t="shared" si="110"/>
        <v>606142.89310000022</v>
      </c>
      <c r="L1437" s="22">
        <f t="shared" si="111"/>
        <v>1072.8192798230093</v>
      </c>
      <c r="M1437" s="22">
        <f t="shared" si="112"/>
        <v>186</v>
      </c>
      <c r="N1437" s="22" t="str">
        <f t="shared" si="113"/>
        <v>Low Value</v>
      </c>
      <c r="O1437" s="22" t="str">
        <f t="shared" si="114"/>
        <v>May-2025</v>
      </c>
      <c r="P1437" s="22" t="s">
        <v>1631</v>
      </c>
      <c r="Q1437" s="22" t="s">
        <v>1560</v>
      </c>
      <c r="R1437" s="22" t="s">
        <v>1363</v>
      </c>
      <c r="S1437" s="22"/>
      <c r="T1437" s="22"/>
      <c r="V1437" s="26" t="s">
        <v>1936</v>
      </c>
      <c r="W1437" s="6">
        <v>4</v>
      </c>
    </row>
    <row r="1438" spans="1:23">
      <c r="A1438" t="s">
        <v>3375</v>
      </c>
      <c r="B1438" s="8">
        <v>45830</v>
      </c>
      <c r="C1438" t="s">
        <v>574</v>
      </c>
      <c r="D1438" t="s">
        <v>1813</v>
      </c>
      <c r="E1438" t="s">
        <v>1896</v>
      </c>
      <c r="F1438">
        <v>2</v>
      </c>
      <c r="G1438" s="10">
        <v>611.25</v>
      </c>
      <c r="H1438" s="13">
        <v>0.22</v>
      </c>
      <c r="I1438" t="s">
        <v>1931</v>
      </c>
      <c r="J1438" s="16">
        <v>953.55000000000007</v>
      </c>
      <c r="K1438" s="19">
        <f t="shared" si="110"/>
        <v>605623.73980000021</v>
      </c>
      <c r="L1438" s="22">
        <f t="shared" si="111"/>
        <v>1073.800957092199</v>
      </c>
      <c r="M1438" s="22">
        <f t="shared" si="112"/>
        <v>185</v>
      </c>
      <c r="N1438" s="22" t="str">
        <f t="shared" si="113"/>
        <v>Low Value</v>
      </c>
      <c r="O1438" s="22" t="str">
        <f t="shared" si="114"/>
        <v>Jun-2025</v>
      </c>
      <c r="P1438" s="22" t="s">
        <v>1814</v>
      </c>
      <c r="Q1438" s="22" t="s">
        <v>1560</v>
      </c>
      <c r="R1438" s="22" t="s">
        <v>575</v>
      </c>
      <c r="S1438" s="22"/>
      <c r="T1438" s="22"/>
      <c r="V1438" s="26" t="s">
        <v>1931</v>
      </c>
      <c r="W1438" s="6">
        <v>3</v>
      </c>
    </row>
    <row r="1439" spans="1:23">
      <c r="A1439" t="s">
        <v>3376</v>
      </c>
      <c r="B1439" s="8">
        <v>45756</v>
      </c>
      <c r="C1439" t="s">
        <v>1413</v>
      </c>
      <c r="D1439" t="s">
        <v>1752</v>
      </c>
      <c r="E1439" t="s">
        <v>1864</v>
      </c>
      <c r="F1439">
        <v>1</v>
      </c>
      <c r="G1439" s="10">
        <v>209.93</v>
      </c>
      <c r="H1439" s="13">
        <v>0.21</v>
      </c>
      <c r="I1439" t="s">
        <v>1931</v>
      </c>
      <c r="J1439" s="16">
        <v>165.84469999999999</v>
      </c>
      <c r="K1439" s="19">
        <f t="shared" si="110"/>
        <v>604670.18980000028</v>
      </c>
      <c r="L1439" s="22">
        <f t="shared" si="111"/>
        <v>1074.0145467140326</v>
      </c>
      <c r="M1439" s="22">
        <f t="shared" si="112"/>
        <v>185</v>
      </c>
      <c r="N1439" s="22" t="str">
        <f t="shared" si="113"/>
        <v>Low Value</v>
      </c>
      <c r="O1439" s="22" t="str">
        <f t="shared" si="114"/>
        <v>Apr-2025</v>
      </c>
      <c r="P1439" s="22" t="s">
        <v>1753</v>
      </c>
      <c r="Q1439" s="22" t="s">
        <v>1555</v>
      </c>
      <c r="R1439" s="22" t="s">
        <v>1414</v>
      </c>
      <c r="S1439" s="22"/>
      <c r="T1439" s="22"/>
      <c r="V1439" s="25" t="s">
        <v>766</v>
      </c>
      <c r="W1439" s="6">
        <v>4</v>
      </c>
    </row>
    <row r="1440" spans="1:23">
      <c r="A1440" t="s">
        <v>3377</v>
      </c>
      <c r="B1440" s="8">
        <v>45847</v>
      </c>
      <c r="C1440" t="s">
        <v>382</v>
      </c>
      <c r="D1440" t="s">
        <v>1852</v>
      </c>
      <c r="E1440" t="s">
        <v>1896</v>
      </c>
      <c r="F1440">
        <v>3</v>
      </c>
      <c r="G1440" s="10">
        <v>130.38999999999999</v>
      </c>
      <c r="H1440" s="13">
        <v>0.24</v>
      </c>
      <c r="I1440" t="s">
        <v>1933</v>
      </c>
      <c r="J1440" s="16">
        <v>297.28919999999999</v>
      </c>
      <c r="K1440" s="19">
        <f t="shared" si="110"/>
        <v>604504.34510000027</v>
      </c>
      <c r="L1440" s="22">
        <f t="shared" si="111"/>
        <v>1075.6305072953742</v>
      </c>
      <c r="M1440" s="22">
        <f t="shared" si="112"/>
        <v>185</v>
      </c>
      <c r="N1440" s="22" t="str">
        <f t="shared" si="113"/>
        <v>Low Value</v>
      </c>
      <c r="O1440" s="22" t="str">
        <f t="shared" si="114"/>
        <v>Jul-2025</v>
      </c>
      <c r="P1440" s="22" t="s">
        <v>1853</v>
      </c>
      <c r="Q1440" s="22" t="s">
        <v>1560</v>
      </c>
      <c r="R1440" s="22" t="s">
        <v>383</v>
      </c>
      <c r="S1440" s="22"/>
      <c r="T1440" s="22"/>
      <c r="V1440" s="26" t="s">
        <v>1931</v>
      </c>
      <c r="W1440" s="6">
        <v>4</v>
      </c>
    </row>
    <row r="1441" spans="1:23">
      <c r="A1441" t="s">
        <v>3378</v>
      </c>
      <c r="B1441" s="8">
        <v>45322</v>
      </c>
      <c r="C1441" t="s">
        <v>921</v>
      </c>
      <c r="D1441" t="s">
        <v>1834</v>
      </c>
      <c r="E1441" t="s">
        <v>1886</v>
      </c>
      <c r="F1441">
        <v>2</v>
      </c>
      <c r="G1441" s="10">
        <v>846.18</v>
      </c>
      <c r="H1441" s="13">
        <v>0.1</v>
      </c>
      <c r="I1441" t="s">
        <v>1936</v>
      </c>
      <c r="J1441" s="16">
        <v>1523.124</v>
      </c>
      <c r="K1441" s="19">
        <f t="shared" si="110"/>
        <v>604207.05590000027</v>
      </c>
      <c r="L1441" s="22">
        <f t="shared" si="111"/>
        <v>1077.0179249554371</v>
      </c>
      <c r="M1441" s="22">
        <f t="shared" si="112"/>
        <v>184</v>
      </c>
      <c r="N1441" s="22" t="str">
        <f t="shared" si="113"/>
        <v>High Value</v>
      </c>
      <c r="O1441" s="22" t="str">
        <f t="shared" si="114"/>
        <v>Jan-2024</v>
      </c>
      <c r="P1441" s="22" t="s">
        <v>1835</v>
      </c>
      <c r="Q1441" s="22" t="s">
        <v>1531</v>
      </c>
      <c r="R1441" s="22" t="s">
        <v>922</v>
      </c>
      <c r="S1441" s="22"/>
      <c r="T1441" s="22"/>
      <c r="V1441" s="25" t="s">
        <v>362</v>
      </c>
      <c r="W1441" s="6">
        <v>14</v>
      </c>
    </row>
    <row r="1442" spans="1:23">
      <c r="A1442" t="s">
        <v>3379</v>
      </c>
      <c r="B1442" s="8">
        <v>45829</v>
      </c>
      <c r="C1442" t="s">
        <v>1104</v>
      </c>
      <c r="D1442" t="s">
        <v>1765</v>
      </c>
      <c r="E1442" t="s">
        <v>1906</v>
      </c>
      <c r="F1442">
        <v>2</v>
      </c>
      <c r="G1442" s="10">
        <v>424.53</v>
      </c>
      <c r="H1442" s="13">
        <v>0.14000000000000001</v>
      </c>
      <c r="I1442" t="s">
        <v>1936</v>
      </c>
      <c r="J1442" s="16">
        <v>730.19159999999999</v>
      </c>
      <c r="K1442" s="19">
        <f t="shared" si="110"/>
        <v>602683.93190000032</v>
      </c>
      <c r="L1442" s="22">
        <f t="shared" si="111"/>
        <v>1076.2213069642862</v>
      </c>
      <c r="M1442" s="22">
        <f t="shared" si="112"/>
        <v>184</v>
      </c>
      <c r="N1442" s="22" t="str">
        <f t="shared" si="113"/>
        <v>Low Value</v>
      </c>
      <c r="O1442" s="22" t="str">
        <f t="shared" si="114"/>
        <v>Jun-2025</v>
      </c>
      <c r="P1442" s="22" t="s">
        <v>1766</v>
      </c>
      <c r="Q1442" s="22" t="s">
        <v>1560</v>
      </c>
      <c r="R1442" s="22" t="s">
        <v>1105</v>
      </c>
      <c r="S1442" s="22"/>
      <c r="T1442" s="22"/>
      <c r="V1442" s="26" t="s">
        <v>1931</v>
      </c>
      <c r="W1442" s="6">
        <v>4</v>
      </c>
    </row>
    <row r="1443" spans="1:23">
      <c r="A1443" t="s">
        <v>3380</v>
      </c>
      <c r="B1443" s="8">
        <v>45539</v>
      </c>
      <c r="C1443" t="s">
        <v>824</v>
      </c>
      <c r="D1443" t="s">
        <v>1819</v>
      </c>
      <c r="E1443" t="s">
        <v>1906</v>
      </c>
      <c r="F1443">
        <v>4</v>
      </c>
      <c r="G1443" s="10">
        <v>450.42</v>
      </c>
      <c r="H1443" s="13">
        <v>0.08</v>
      </c>
      <c r="I1443" t="s">
        <v>1936</v>
      </c>
      <c r="J1443" s="16">
        <v>1657.5455999999999</v>
      </c>
      <c r="K1443" s="19">
        <f t="shared" si="110"/>
        <v>601953.7403000003</v>
      </c>
      <c r="L1443" s="22">
        <f t="shared" si="111"/>
        <v>1076.840322540251</v>
      </c>
      <c r="M1443" s="22">
        <f t="shared" si="112"/>
        <v>184</v>
      </c>
      <c r="N1443" s="22" t="str">
        <f t="shared" si="113"/>
        <v>High Value</v>
      </c>
      <c r="O1443" s="22" t="str">
        <f t="shared" si="114"/>
        <v>Sep-2024</v>
      </c>
      <c r="P1443" s="22" t="s">
        <v>1820</v>
      </c>
      <c r="Q1443" s="22" t="s">
        <v>1569</v>
      </c>
      <c r="R1443" s="22" t="s">
        <v>825</v>
      </c>
      <c r="S1443" s="22"/>
      <c r="T1443" s="22"/>
      <c r="V1443" s="26" t="s">
        <v>1933</v>
      </c>
      <c r="W1443" s="6">
        <v>10</v>
      </c>
    </row>
    <row r="1444" spans="1:23">
      <c r="A1444" t="s">
        <v>3381</v>
      </c>
      <c r="B1444" s="8">
        <v>45893</v>
      </c>
      <c r="C1444" t="s">
        <v>521</v>
      </c>
      <c r="D1444" t="s">
        <v>1627</v>
      </c>
      <c r="E1444" t="s">
        <v>1893</v>
      </c>
      <c r="F1444">
        <v>4</v>
      </c>
      <c r="G1444" s="10">
        <v>896.91</v>
      </c>
      <c r="H1444" s="13">
        <v>0.1</v>
      </c>
      <c r="I1444" t="s">
        <v>1931</v>
      </c>
      <c r="J1444" s="16">
        <v>3228.8760000000002</v>
      </c>
      <c r="K1444" s="19">
        <f t="shared" si="110"/>
        <v>600296.19470000023</v>
      </c>
      <c r="L1444" s="22">
        <f t="shared" si="111"/>
        <v>1075.7996320788534</v>
      </c>
      <c r="M1444" s="22">
        <f t="shared" si="112"/>
        <v>184</v>
      </c>
      <c r="N1444" s="22" t="str">
        <f t="shared" si="113"/>
        <v>High Value</v>
      </c>
      <c r="O1444" s="22" t="str">
        <f t="shared" si="114"/>
        <v>Aug-2025</v>
      </c>
      <c r="P1444" s="22" t="s">
        <v>1628</v>
      </c>
      <c r="Q1444" s="22" t="s">
        <v>1531</v>
      </c>
      <c r="R1444" s="22" t="s">
        <v>522</v>
      </c>
      <c r="S1444" s="22"/>
      <c r="T1444" s="22"/>
      <c r="V1444" s="25" t="s">
        <v>692</v>
      </c>
      <c r="W1444" s="6">
        <v>16</v>
      </c>
    </row>
    <row r="1445" spans="1:23">
      <c r="A1445" t="s">
        <v>3382</v>
      </c>
      <c r="B1445" s="8">
        <v>45814</v>
      </c>
      <c r="C1445" t="s">
        <v>1481</v>
      </c>
      <c r="D1445" t="s">
        <v>1846</v>
      </c>
      <c r="E1445" t="s">
        <v>1896</v>
      </c>
      <c r="F1445">
        <v>3</v>
      </c>
      <c r="G1445" s="10">
        <v>679.38</v>
      </c>
      <c r="H1445" s="13">
        <v>0.3</v>
      </c>
      <c r="I1445" t="s">
        <v>1936</v>
      </c>
      <c r="J1445" s="16">
        <v>1426.6980000000001</v>
      </c>
      <c r="K1445" s="19">
        <f t="shared" si="110"/>
        <v>597067.31870000029</v>
      </c>
      <c r="L1445" s="22">
        <f t="shared" si="111"/>
        <v>1071.934144883304</v>
      </c>
      <c r="M1445" s="22">
        <f t="shared" si="112"/>
        <v>184</v>
      </c>
      <c r="N1445" s="22" t="str">
        <f t="shared" si="113"/>
        <v>High Value</v>
      </c>
      <c r="O1445" s="22" t="str">
        <f t="shared" si="114"/>
        <v>Jun-2025</v>
      </c>
      <c r="P1445" s="22" t="s">
        <v>1847</v>
      </c>
      <c r="Q1445" s="22" t="s">
        <v>1569</v>
      </c>
      <c r="R1445" s="22" t="s">
        <v>1482</v>
      </c>
      <c r="S1445" s="22"/>
      <c r="T1445" s="22"/>
      <c r="V1445" s="26" t="s">
        <v>1936</v>
      </c>
      <c r="W1445" s="6">
        <v>1</v>
      </c>
    </row>
    <row r="1446" spans="1:23">
      <c r="A1446" t="s">
        <v>3383</v>
      </c>
      <c r="B1446" s="8">
        <v>45571</v>
      </c>
      <c r="C1446" t="s">
        <v>75</v>
      </c>
      <c r="D1446" t="s">
        <v>1795</v>
      </c>
      <c r="E1446" t="s">
        <v>1911</v>
      </c>
      <c r="F1446">
        <v>3</v>
      </c>
      <c r="G1446" s="10">
        <v>483.63</v>
      </c>
      <c r="H1446" s="13">
        <v>0</v>
      </c>
      <c r="I1446" t="s">
        <v>1931</v>
      </c>
      <c r="J1446" s="16">
        <v>1450.89</v>
      </c>
      <c r="K1446" s="19">
        <f t="shared" si="110"/>
        <v>595640.6207000002</v>
      </c>
      <c r="L1446" s="22">
        <f t="shared" si="111"/>
        <v>1071.2960803956839</v>
      </c>
      <c r="M1446" s="22">
        <f t="shared" si="112"/>
        <v>184</v>
      </c>
      <c r="N1446" s="22" t="str">
        <f t="shared" si="113"/>
        <v>High Value</v>
      </c>
      <c r="O1446" s="22" t="str">
        <f t="shared" si="114"/>
        <v>Oct-2024</v>
      </c>
      <c r="P1446" s="22" t="s">
        <v>1796</v>
      </c>
      <c r="Q1446" s="22" t="s">
        <v>1560</v>
      </c>
      <c r="R1446" s="22" t="s">
        <v>76</v>
      </c>
      <c r="S1446" s="22"/>
      <c r="T1446" s="22"/>
      <c r="V1446" s="26" t="s">
        <v>1931</v>
      </c>
      <c r="W1446" s="6">
        <v>11</v>
      </c>
    </row>
    <row r="1447" spans="1:23">
      <c r="A1447" t="s">
        <v>3384</v>
      </c>
      <c r="B1447" s="8">
        <v>45542</v>
      </c>
      <c r="C1447" t="s">
        <v>124</v>
      </c>
      <c r="D1447" t="s">
        <v>1668</v>
      </c>
      <c r="E1447" t="s">
        <v>1859</v>
      </c>
      <c r="F1447">
        <v>3</v>
      </c>
      <c r="G1447" s="10">
        <v>158.27000000000001</v>
      </c>
      <c r="H1447" s="13">
        <v>0.24</v>
      </c>
      <c r="I1447" t="s">
        <v>1936</v>
      </c>
      <c r="J1447" s="16">
        <v>360.85559999999998</v>
      </c>
      <c r="K1447" s="19">
        <f t="shared" si="110"/>
        <v>594189.73070000019</v>
      </c>
      <c r="L1447" s="22">
        <f t="shared" si="111"/>
        <v>1070.6121273873878</v>
      </c>
      <c r="M1447" s="22">
        <f t="shared" si="112"/>
        <v>184</v>
      </c>
      <c r="N1447" s="22" t="str">
        <f t="shared" si="113"/>
        <v>Low Value</v>
      </c>
      <c r="O1447" s="22" t="str">
        <f t="shared" si="114"/>
        <v>Sep-2024</v>
      </c>
      <c r="P1447" s="22" t="s">
        <v>1669</v>
      </c>
      <c r="Q1447" s="22" t="s">
        <v>1531</v>
      </c>
      <c r="R1447" s="22" t="s">
        <v>125</v>
      </c>
      <c r="S1447" s="22"/>
      <c r="T1447" s="22"/>
      <c r="V1447" s="26" t="s">
        <v>1933</v>
      </c>
      <c r="W1447" s="6">
        <v>4</v>
      </c>
    </row>
    <row r="1448" spans="1:23">
      <c r="A1448" t="s">
        <v>3385</v>
      </c>
      <c r="B1448" s="8">
        <v>45758</v>
      </c>
      <c r="C1448" t="s">
        <v>397</v>
      </c>
      <c r="D1448" t="s">
        <v>1539</v>
      </c>
      <c r="E1448" t="s">
        <v>1908</v>
      </c>
      <c r="F1448">
        <v>4</v>
      </c>
      <c r="G1448" s="10">
        <v>601.5</v>
      </c>
      <c r="H1448" s="13">
        <v>0.18</v>
      </c>
      <c r="I1448" t="s">
        <v>1931</v>
      </c>
      <c r="J1448" s="16">
        <v>1972.92</v>
      </c>
      <c r="K1448" s="19">
        <f t="shared" si="110"/>
        <v>593828.87510000018</v>
      </c>
      <c r="L1448" s="22">
        <f t="shared" si="111"/>
        <v>1071.893276353791</v>
      </c>
      <c r="M1448" s="22">
        <f t="shared" si="112"/>
        <v>184</v>
      </c>
      <c r="N1448" s="22" t="str">
        <f t="shared" si="113"/>
        <v>High Value</v>
      </c>
      <c r="O1448" s="22" t="str">
        <f t="shared" si="114"/>
        <v>Apr-2025</v>
      </c>
      <c r="P1448" s="22" t="s">
        <v>1540</v>
      </c>
      <c r="Q1448" s="22" t="s">
        <v>1536</v>
      </c>
      <c r="R1448" s="22" t="s">
        <v>398</v>
      </c>
      <c r="S1448" s="22"/>
      <c r="T1448" s="22"/>
      <c r="V1448" s="25" t="s">
        <v>1332</v>
      </c>
      <c r="W1448" s="6">
        <v>10</v>
      </c>
    </row>
    <row r="1449" spans="1:23">
      <c r="A1449" t="s">
        <v>3386</v>
      </c>
      <c r="B1449" s="8">
        <v>45709</v>
      </c>
      <c r="C1449" t="s">
        <v>252</v>
      </c>
      <c r="D1449" t="s">
        <v>1642</v>
      </c>
      <c r="E1449" t="s">
        <v>1917</v>
      </c>
      <c r="F1449">
        <v>2</v>
      </c>
      <c r="G1449" s="10">
        <v>46.39</v>
      </c>
      <c r="H1449" s="13">
        <v>7.0000000000000007E-2</v>
      </c>
      <c r="I1449" t="s">
        <v>1931</v>
      </c>
      <c r="J1449" s="16">
        <v>86.285399999999996</v>
      </c>
      <c r="K1449" s="19">
        <f t="shared" si="110"/>
        <v>591855.95510000014</v>
      </c>
      <c r="L1449" s="22">
        <f t="shared" si="111"/>
        <v>1070.2639332730564</v>
      </c>
      <c r="M1449" s="22">
        <f t="shared" si="112"/>
        <v>184</v>
      </c>
      <c r="N1449" s="22" t="str">
        <f t="shared" si="113"/>
        <v>Low Value</v>
      </c>
      <c r="O1449" s="22" t="str">
        <f t="shared" si="114"/>
        <v>Feb-2025</v>
      </c>
      <c r="P1449" s="22" t="s">
        <v>1643</v>
      </c>
      <c r="Q1449" s="22" t="s">
        <v>1569</v>
      </c>
      <c r="R1449" s="22" t="s">
        <v>253</v>
      </c>
      <c r="S1449" s="22"/>
      <c r="T1449" s="22"/>
      <c r="V1449" s="26" t="s">
        <v>1936</v>
      </c>
      <c r="W1449" s="6">
        <v>8</v>
      </c>
    </row>
    <row r="1450" spans="1:23">
      <c r="A1450" t="s">
        <v>3387</v>
      </c>
      <c r="B1450" s="8">
        <v>45587</v>
      </c>
      <c r="C1450" t="s">
        <v>409</v>
      </c>
      <c r="D1450" t="s">
        <v>1801</v>
      </c>
      <c r="E1450" t="s">
        <v>1889</v>
      </c>
      <c r="F1450">
        <v>4</v>
      </c>
      <c r="G1450" s="10">
        <v>892.28</v>
      </c>
      <c r="H1450" s="13">
        <v>0.23</v>
      </c>
      <c r="I1450" t="s">
        <v>1931</v>
      </c>
      <c r="J1450" s="16">
        <v>2748.2224000000001</v>
      </c>
      <c r="K1450" s="19">
        <f t="shared" si="110"/>
        <v>591769.66970000009</v>
      </c>
      <c r="L1450" s="22">
        <f t="shared" si="111"/>
        <v>1072.0465030797102</v>
      </c>
      <c r="M1450" s="22">
        <f t="shared" si="112"/>
        <v>184</v>
      </c>
      <c r="N1450" s="22" t="str">
        <f t="shared" si="113"/>
        <v>High Value</v>
      </c>
      <c r="O1450" s="22" t="str">
        <f t="shared" si="114"/>
        <v>Oct-2024</v>
      </c>
      <c r="P1450" s="22" t="s">
        <v>1802</v>
      </c>
      <c r="Q1450" s="22" t="s">
        <v>1569</v>
      </c>
      <c r="R1450" s="22" t="s">
        <v>410</v>
      </c>
      <c r="S1450" s="22"/>
      <c r="T1450" s="22"/>
      <c r="V1450" s="26" t="s">
        <v>1931</v>
      </c>
      <c r="W1450" s="6">
        <v>1</v>
      </c>
    </row>
    <row r="1451" spans="1:23">
      <c r="A1451" t="s">
        <v>3388</v>
      </c>
      <c r="B1451" s="8">
        <v>45494</v>
      </c>
      <c r="C1451" t="s">
        <v>716</v>
      </c>
      <c r="D1451" t="s">
        <v>1572</v>
      </c>
      <c r="E1451" t="s">
        <v>1886</v>
      </c>
      <c r="F1451">
        <v>2</v>
      </c>
      <c r="G1451" s="10">
        <v>164.23</v>
      </c>
      <c r="H1451" s="13">
        <v>0.17</v>
      </c>
      <c r="I1451" t="s">
        <v>1931</v>
      </c>
      <c r="J1451" s="16">
        <v>272.62180000000001</v>
      </c>
      <c r="K1451" s="19">
        <f t="shared" si="110"/>
        <v>589021.4473</v>
      </c>
      <c r="L1451" s="22">
        <f t="shared" si="111"/>
        <v>1069.0044415607986</v>
      </c>
      <c r="M1451" s="22">
        <f t="shared" si="112"/>
        <v>184</v>
      </c>
      <c r="N1451" s="22" t="str">
        <f t="shared" si="113"/>
        <v>Low Value</v>
      </c>
      <c r="O1451" s="22" t="str">
        <f t="shared" si="114"/>
        <v>Jul-2024</v>
      </c>
      <c r="P1451" s="22" t="s">
        <v>1573</v>
      </c>
      <c r="Q1451" s="22" t="s">
        <v>1560</v>
      </c>
      <c r="R1451" s="22" t="s">
        <v>717</v>
      </c>
      <c r="S1451" s="22"/>
      <c r="T1451" s="22"/>
      <c r="V1451" s="26" t="s">
        <v>1933</v>
      </c>
      <c r="W1451" s="6">
        <v>1</v>
      </c>
    </row>
    <row r="1452" spans="1:23">
      <c r="A1452" t="s">
        <v>3389</v>
      </c>
      <c r="B1452" s="8">
        <v>45305</v>
      </c>
      <c r="C1452" t="s">
        <v>1388</v>
      </c>
      <c r="D1452" t="s">
        <v>1567</v>
      </c>
      <c r="E1452" t="s">
        <v>1886</v>
      </c>
      <c r="F1452">
        <v>1</v>
      </c>
      <c r="G1452" s="10">
        <v>484.23</v>
      </c>
      <c r="H1452" s="13">
        <v>0.12</v>
      </c>
      <c r="I1452" t="s">
        <v>1936</v>
      </c>
      <c r="J1452" s="16">
        <v>426.12240000000003</v>
      </c>
      <c r="K1452" s="19">
        <f t="shared" si="110"/>
        <v>588748.82550000004</v>
      </c>
      <c r="L1452" s="22">
        <f t="shared" si="111"/>
        <v>1070.4524100000001</v>
      </c>
      <c r="M1452" s="22">
        <f t="shared" si="112"/>
        <v>184</v>
      </c>
      <c r="N1452" s="22" t="str">
        <f t="shared" si="113"/>
        <v>Low Value</v>
      </c>
      <c r="O1452" s="22" t="str">
        <f t="shared" si="114"/>
        <v>Jan-2024</v>
      </c>
      <c r="P1452" s="22" t="s">
        <v>1568</v>
      </c>
      <c r="Q1452" s="22" t="s">
        <v>1569</v>
      </c>
      <c r="R1452" s="22" t="s">
        <v>1389</v>
      </c>
      <c r="S1452" s="22"/>
      <c r="T1452" s="22"/>
      <c r="V1452" s="25" t="s">
        <v>438</v>
      </c>
      <c r="W1452" s="6">
        <v>14</v>
      </c>
    </row>
    <row r="1453" spans="1:23">
      <c r="A1453" t="s">
        <v>3390</v>
      </c>
      <c r="B1453" s="8">
        <v>45383</v>
      </c>
      <c r="C1453" t="s">
        <v>31</v>
      </c>
      <c r="D1453" t="s">
        <v>1655</v>
      </c>
      <c r="E1453" t="s">
        <v>1917</v>
      </c>
      <c r="F1453">
        <v>3</v>
      </c>
      <c r="G1453" s="10">
        <v>341.51</v>
      </c>
      <c r="H1453" s="13">
        <v>0.22</v>
      </c>
      <c r="I1453" t="s">
        <v>1936</v>
      </c>
      <c r="J1453" s="16">
        <v>799.13340000000005</v>
      </c>
      <c r="K1453" s="19">
        <f t="shared" si="110"/>
        <v>588322.70309999993</v>
      </c>
      <c r="L1453" s="22">
        <f t="shared" si="111"/>
        <v>1071.6260530054644</v>
      </c>
      <c r="M1453" s="22">
        <f t="shared" si="112"/>
        <v>184</v>
      </c>
      <c r="N1453" s="22" t="str">
        <f t="shared" si="113"/>
        <v>Low Value</v>
      </c>
      <c r="O1453" s="22" t="str">
        <f t="shared" si="114"/>
        <v>Apr-2024</v>
      </c>
      <c r="P1453" s="22" t="s">
        <v>1656</v>
      </c>
      <c r="Q1453" s="22" t="s">
        <v>1560</v>
      </c>
      <c r="R1453" s="22" t="s">
        <v>32</v>
      </c>
      <c r="S1453" s="22"/>
      <c r="T1453" s="22"/>
      <c r="V1453" s="26" t="s">
        <v>1936</v>
      </c>
      <c r="W1453" s="6">
        <v>7</v>
      </c>
    </row>
    <row r="1454" spans="1:23">
      <c r="A1454" t="s">
        <v>3391</v>
      </c>
      <c r="B1454" s="8">
        <v>45788</v>
      </c>
      <c r="C1454" t="s">
        <v>379</v>
      </c>
      <c r="D1454" t="s">
        <v>1849</v>
      </c>
      <c r="E1454" t="s">
        <v>1904</v>
      </c>
      <c r="F1454">
        <v>3</v>
      </c>
      <c r="G1454" s="10">
        <v>758.87</v>
      </c>
      <c r="H1454" s="13">
        <v>0.11</v>
      </c>
      <c r="I1454" t="s">
        <v>1933</v>
      </c>
      <c r="J1454" s="16">
        <v>2026.1829</v>
      </c>
      <c r="K1454" s="19">
        <f t="shared" si="110"/>
        <v>587523.56969999999</v>
      </c>
      <c r="L1454" s="22">
        <f t="shared" si="111"/>
        <v>1072.1233023722627</v>
      </c>
      <c r="M1454" s="22">
        <f t="shared" si="112"/>
        <v>184</v>
      </c>
      <c r="N1454" s="22" t="str">
        <f t="shared" si="113"/>
        <v>High Value</v>
      </c>
      <c r="O1454" s="22" t="str">
        <f t="shared" si="114"/>
        <v>May-2025</v>
      </c>
      <c r="P1454" s="22" t="s">
        <v>1850</v>
      </c>
      <c r="Q1454" s="22" t="s">
        <v>1531</v>
      </c>
      <c r="R1454" s="22" t="s">
        <v>380</v>
      </c>
      <c r="S1454" s="22"/>
      <c r="T1454" s="22"/>
      <c r="V1454" s="26" t="s">
        <v>1931</v>
      </c>
      <c r="W1454" s="6">
        <v>2</v>
      </c>
    </row>
    <row r="1455" spans="1:23">
      <c r="A1455" t="s">
        <v>3392</v>
      </c>
      <c r="B1455" s="8">
        <v>45855</v>
      </c>
      <c r="C1455" t="s">
        <v>1439</v>
      </c>
      <c r="D1455" t="s">
        <v>1722</v>
      </c>
      <c r="E1455" t="s">
        <v>1901</v>
      </c>
      <c r="F1455">
        <v>3</v>
      </c>
      <c r="G1455" s="10">
        <v>560.52</v>
      </c>
      <c r="H1455" s="13">
        <v>0.17</v>
      </c>
      <c r="I1455" t="s">
        <v>1931</v>
      </c>
      <c r="J1455" s="16">
        <v>1395.6948</v>
      </c>
      <c r="K1455" s="19">
        <f t="shared" si="110"/>
        <v>585497.38679999998</v>
      </c>
      <c r="L1455" s="22">
        <f t="shared" si="111"/>
        <v>1070.3791349177332</v>
      </c>
      <c r="M1455" s="22">
        <f t="shared" si="112"/>
        <v>183</v>
      </c>
      <c r="N1455" s="22" t="str">
        <f t="shared" si="113"/>
        <v>High Value</v>
      </c>
      <c r="O1455" s="22" t="str">
        <f t="shared" si="114"/>
        <v>Jul-2025</v>
      </c>
      <c r="P1455" s="22" t="s">
        <v>1723</v>
      </c>
      <c r="Q1455" s="22" t="s">
        <v>1560</v>
      </c>
      <c r="R1455" s="22" t="s">
        <v>1440</v>
      </c>
      <c r="S1455" s="22"/>
      <c r="T1455" s="22"/>
      <c r="V1455" s="26" t="s">
        <v>1933</v>
      </c>
      <c r="W1455" s="6">
        <v>5</v>
      </c>
    </row>
    <row r="1456" spans="1:23">
      <c r="A1456" t="s">
        <v>3393</v>
      </c>
      <c r="B1456" s="8">
        <v>45533</v>
      </c>
      <c r="C1456" t="s">
        <v>1096</v>
      </c>
      <c r="D1456" t="s">
        <v>1843</v>
      </c>
      <c r="E1456" t="s">
        <v>1914</v>
      </c>
      <c r="F1456">
        <v>2</v>
      </c>
      <c r="G1456" s="10">
        <v>977.18</v>
      </c>
      <c r="H1456" s="13">
        <v>0.19</v>
      </c>
      <c r="I1456" t="s">
        <v>1931</v>
      </c>
      <c r="J1456" s="16">
        <v>1583.0316</v>
      </c>
      <c r="K1456" s="19">
        <f t="shared" si="110"/>
        <v>584101.69200000004</v>
      </c>
      <c r="L1456" s="22">
        <f t="shared" si="111"/>
        <v>1069.7833186813189</v>
      </c>
      <c r="M1456" s="22">
        <f t="shared" si="112"/>
        <v>183</v>
      </c>
      <c r="N1456" s="22" t="str">
        <f t="shared" si="113"/>
        <v>High Value</v>
      </c>
      <c r="O1456" s="22" t="str">
        <f t="shared" si="114"/>
        <v>Aug-2024</v>
      </c>
      <c r="P1456" s="22" t="s">
        <v>1844</v>
      </c>
      <c r="Q1456" s="22" t="s">
        <v>1536</v>
      </c>
      <c r="R1456" s="22" t="s">
        <v>1097</v>
      </c>
      <c r="S1456" s="22"/>
      <c r="T1456" s="22"/>
      <c r="V1456" s="25" t="s">
        <v>1197</v>
      </c>
      <c r="W1456" s="6">
        <v>6</v>
      </c>
    </row>
    <row r="1457" spans="1:23">
      <c r="A1457" t="s">
        <v>3394</v>
      </c>
      <c r="B1457" s="8">
        <v>45763</v>
      </c>
      <c r="C1457" t="s">
        <v>759</v>
      </c>
      <c r="D1457" t="s">
        <v>1970</v>
      </c>
      <c r="E1457" t="s">
        <v>1906</v>
      </c>
      <c r="F1457">
        <v>4</v>
      </c>
      <c r="G1457" s="10">
        <v>761.35</v>
      </c>
      <c r="H1457" s="13">
        <v>0.08</v>
      </c>
      <c r="I1457" t="s">
        <v>1931</v>
      </c>
      <c r="J1457" s="16">
        <v>2801.768</v>
      </c>
      <c r="K1457" s="19">
        <f t="shared" si="110"/>
        <v>582518.66039999994</v>
      </c>
      <c r="L1457" s="22">
        <f t="shared" si="111"/>
        <v>1068.8415787155961</v>
      </c>
      <c r="M1457" s="22">
        <f t="shared" si="112"/>
        <v>183</v>
      </c>
      <c r="N1457" s="22" t="str">
        <f t="shared" si="113"/>
        <v>High Value</v>
      </c>
      <c r="O1457" s="22" t="str">
        <f t="shared" si="114"/>
        <v>Apr-2025</v>
      </c>
      <c r="P1457" s="22" t="s">
        <v>1594</v>
      </c>
      <c r="Q1457" s="22" t="s">
        <v>1555</v>
      </c>
      <c r="R1457" s="22" t="s">
        <v>760</v>
      </c>
      <c r="S1457" s="22"/>
      <c r="T1457" s="22"/>
      <c r="V1457" s="26" t="s">
        <v>1936</v>
      </c>
      <c r="W1457" s="6">
        <v>4</v>
      </c>
    </row>
    <row r="1458" spans="1:23">
      <c r="A1458" t="s">
        <v>3395</v>
      </c>
      <c r="B1458" s="8">
        <v>45900</v>
      </c>
      <c r="C1458" t="s">
        <v>590</v>
      </c>
      <c r="D1458" t="s">
        <v>1755</v>
      </c>
      <c r="E1458" t="s">
        <v>1917</v>
      </c>
      <c r="F1458">
        <v>2</v>
      </c>
      <c r="G1458" s="10">
        <v>947.56</v>
      </c>
      <c r="H1458" s="13">
        <v>0.02</v>
      </c>
      <c r="I1458" t="s">
        <v>1936</v>
      </c>
      <c r="J1458" s="16">
        <v>1857.2175999999999</v>
      </c>
      <c r="K1458" s="19">
        <f t="shared" si="110"/>
        <v>579716.89240000001</v>
      </c>
      <c r="L1458" s="22">
        <f t="shared" si="111"/>
        <v>1065.6560522058824</v>
      </c>
      <c r="M1458" s="22">
        <f t="shared" si="112"/>
        <v>183</v>
      </c>
      <c r="N1458" s="22" t="str">
        <f t="shared" si="113"/>
        <v>High Value</v>
      </c>
      <c r="O1458" s="22" t="str">
        <f t="shared" si="114"/>
        <v>Aug-2025</v>
      </c>
      <c r="P1458" s="22" t="s">
        <v>1756</v>
      </c>
      <c r="Q1458" s="22" t="s">
        <v>1531</v>
      </c>
      <c r="R1458" s="22" t="s">
        <v>591</v>
      </c>
      <c r="S1458" s="22"/>
      <c r="T1458" s="22"/>
      <c r="V1458" s="26" t="s">
        <v>1933</v>
      </c>
      <c r="W1458" s="6">
        <v>2</v>
      </c>
    </row>
    <row r="1459" spans="1:23">
      <c r="A1459" t="s">
        <v>3396</v>
      </c>
      <c r="B1459" s="8">
        <v>45943</v>
      </c>
      <c r="C1459" t="s">
        <v>765</v>
      </c>
      <c r="D1459" t="s">
        <v>1681</v>
      </c>
      <c r="E1459" t="s">
        <v>1917</v>
      </c>
      <c r="F1459">
        <v>4</v>
      </c>
      <c r="G1459" s="10">
        <v>975.47</v>
      </c>
      <c r="H1459" s="13">
        <v>0.04</v>
      </c>
      <c r="I1459" t="s">
        <v>1931</v>
      </c>
      <c r="J1459" s="16">
        <v>3745.8047999999999</v>
      </c>
      <c r="K1459" s="19">
        <f t="shared" si="110"/>
        <v>577859.67480000004</v>
      </c>
      <c r="L1459" s="22">
        <f t="shared" si="111"/>
        <v>1064.1982961325969</v>
      </c>
      <c r="M1459" s="22">
        <f t="shared" si="112"/>
        <v>183</v>
      </c>
      <c r="N1459" s="22" t="str">
        <f t="shared" si="113"/>
        <v>High Value</v>
      </c>
      <c r="O1459" s="22" t="str">
        <f t="shared" si="114"/>
        <v>Oct-2025</v>
      </c>
      <c r="P1459" s="22" t="s">
        <v>1682</v>
      </c>
      <c r="Q1459" s="22" t="s">
        <v>1531</v>
      </c>
      <c r="R1459" s="22" t="s">
        <v>766</v>
      </c>
      <c r="S1459" s="22"/>
      <c r="T1459" s="22"/>
      <c r="V1459" s="25" t="s">
        <v>3946</v>
      </c>
      <c r="W1459" s="6">
        <v>3</v>
      </c>
    </row>
    <row r="1460" spans="1:23">
      <c r="A1460" t="s">
        <v>3397</v>
      </c>
      <c r="B1460" s="8">
        <v>45448</v>
      </c>
      <c r="C1460" t="s">
        <v>1459</v>
      </c>
      <c r="D1460" t="s">
        <v>1583</v>
      </c>
      <c r="E1460" t="s">
        <v>1893</v>
      </c>
      <c r="F1460">
        <v>3</v>
      </c>
      <c r="G1460" s="10">
        <v>769.06</v>
      </c>
      <c r="H1460" s="13">
        <v>0.23</v>
      </c>
      <c r="I1460" t="s">
        <v>1936</v>
      </c>
      <c r="J1460" s="16">
        <v>1776.5286000000001</v>
      </c>
      <c r="K1460" s="19">
        <f t="shared" si="110"/>
        <v>574113.87</v>
      </c>
      <c r="L1460" s="22">
        <f t="shared" si="111"/>
        <v>1059.2506826568265</v>
      </c>
      <c r="M1460" s="22">
        <f t="shared" si="112"/>
        <v>183</v>
      </c>
      <c r="N1460" s="22" t="str">
        <f t="shared" si="113"/>
        <v>High Value</v>
      </c>
      <c r="O1460" s="22" t="str">
        <f t="shared" si="114"/>
        <v>Jun-2024</v>
      </c>
      <c r="P1460" s="22" t="s">
        <v>1584</v>
      </c>
      <c r="Q1460" s="22" t="s">
        <v>1531</v>
      </c>
      <c r="R1460" s="22" t="s">
        <v>1460</v>
      </c>
      <c r="S1460" s="22"/>
      <c r="T1460" s="22"/>
      <c r="V1460" s="26" t="s">
        <v>1933</v>
      </c>
      <c r="W1460" s="6">
        <v>3</v>
      </c>
    </row>
    <row r="1461" spans="1:23">
      <c r="A1461" t="s">
        <v>3398</v>
      </c>
      <c r="B1461" s="8">
        <v>45929</v>
      </c>
      <c r="C1461" t="s">
        <v>2611</v>
      </c>
      <c r="D1461" t="s">
        <v>1668</v>
      </c>
      <c r="E1461" t="s">
        <v>1868</v>
      </c>
      <c r="F1461">
        <v>3</v>
      </c>
      <c r="G1461" s="10">
        <v>824.75</v>
      </c>
      <c r="H1461" s="13">
        <v>0.23</v>
      </c>
      <c r="I1461" t="s">
        <v>1931</v>
      </c>
      <c r="J1461" s="16">
        <v>1905.1724999999999</v>
      </c>
      <c r="K1461" s="19">
        <f t="shared" si="110"/>
        <v>572337.34140000003</v>
      </c>
      <c r="L1461" s="22">
        <f t="shared" si="111"/>
        <v>1057.9248454713495</v>
      </c>
      <c r="M1461" s="22">
        <f t="shared" si="112"/>
        <v>183</v>
      </c>
      <c r="N1461" s="22" t="str">
        <f t="shared" si="113"/>
        <v>High Value</v>
      </c>
      <c r="O1461" s="22" t="str">
        <f t="shared" si="114"/>
        <v>Sep-2025</v>
      </c>
      <c r="P1461" s="22" t="s">
        <v>1669</v>
      </c>
      <c r="Q1461" s="22" t="s">
        <v>1531</v>
      </c>
      <c r="R1461" s="22" t="s">
        <v>1484</v>
      </c>
      <c r="S1461" s="22"/>
      <c r="T1461" s="22"/>
      <c r="V1461" s="25" t="s">
        <v>1354</v>
      </c>
      <c r="W1461" s="6">
        <v>4</v>
      </c>
    </row>
    <row r="1462" spans="1:23">
      <c r="A1462" t="s">
        <v>3399</v>
      </c>
      <c r="B1462" s="8">
        <v>45478</v>
      </c>
      <c r="C1462" t="s">
        <v>1242</v>
      </c>
      <c r="D1462" t="s">
        <v>1758</v>
      </c>
      <c r="E1462" t="s">
        <v>1876</v>
      </c>
      <c r="F1462">
        <v>2</v>
      </c>
      <c r="G1462" s="10">
        <v>821.35</v>
      </c>
      <c r="H1462" s="13">
        <v>0.11</v>
      </c>
      <c r="I1462" t="s">
        <v>1933</v>
      </c>
      <c r="J1462" s="16">
        <v>1462.0029999999999</v>
      </c>
      <c r="K1462" s="19">
        <f t="shared" si="110"/>
        <v>570432.16889999993</v>
      </c>
      <c r="L1462" s="22">
        <f t="shared" si="111"/>
        <v>1056.3558683333333</v>
      </c>
      <c r="M1462" s="22">
        <f t="shared" si="112"/>
        <v>183</v>
      </c>
      <c r="N1462" s="22" t="str">
        <f t="shared" si="113"/>
        <v>High Value</v>
      </c>
      <c r="O1462" s="22" t="str">
        <f t="shared" si="114"/>
        <v>Jul-2024</v>
      </c>
      <c r="P1462" s="22" t="s">
        <v>1759</v>
      </c>
      <c r="Q1462" s="22" t="s">
        <v>1560</v>
      </c>
      <c r="R1462" s="22" t="s">
        <v>1243</v>
      </c>
      <c r="S1462" s="22"/>
      <c r="T1462" s="22"/>
      <c r="V1462" s="26" t="s">
        <v>1936</v>
      </c>
      <c r="W1462" s="6">
        <v>2</v>
      </c>
    </row>
    <row r="1463" spans="1:23">
      <c r="A1463" t="s">
        <v>3400</v>
      </c>
      <c r="B1463" s="8">
        <v>45723</v>
      </c>
      <c r="C1463" t="s">
        <v>1253</v>
      </c>
      <c r="D1463" t="s">
        <v>1583</v>
      </c>
      <c r="E1463" t="s">
        <v>1896</v>
      </c>
      <c r="F1463">
        <v>1</v>
      </c>
      <c r="G1463" s="10">
        <v>120.57</v>
      </c>
      <c r="H1463" s="13">
        <v>0.06</v>
      </c>
      <c r="I1463" t="s">
        <v>1933</v>
      </c>
      <c r="J1463" s="16">
        <v>113.33580000000001</v>
      </c>
      <c r="K1463" s="19">
        <f t="shared" si="110"/>
        <v>568970.16590000002</v>
      </c>
      <c r="L1463" s="22">
        <f t="shared" si="111"/>
        <v>1055.6032762523191</v>
      </c>
      <c r="M1463" s="22">
        <f t="shared" si="112"/>
        <v>182</v>
      </c>
      <c r="N1463" s="22" t="str">
        <f t="shared" si="113"/>
        <v>Low Value</v>
      </c>
      <c r="O1463" s="22" t="str">
        <f t="shared" si="114"/>
        <v>Mar-2025</v>
      </c>
      <c r="P1463" s="22" t="s">
        <v>1584</v>
      </c>
      <c r="Q1463" s="22" t="s">
        <v>1531</v>
      </c>
      <c r="R1463" s="22" t="s">
        <v>1254</v>
      </c>
      <c r="S1463" s="22"/>
      <c r="T1463" s="22"/>
      <c r="V1463" s="26" t="s">
        <v>1931</v>
      </c>
      <c r="W1463" s="6">
        <v>2</v>
      </c>
    </row>
    <row r="1464" spans="1:23">
      <c r="A1464" t="s">
        <v>3401</v>
      </c>
      <c r="B1464" s="8">
        <v>45240</v>
      </c>
      <c r="C1464" t="s">
        <v>1049</v>
      </c>
      <c r="D1464" t="s">
        <v>1822</v>
      </c>
      <c r="E1464" t="s">
        <v>1864</v>
      </c>
      <c r="F1464">
        <v>1</v>
      </c>
      <c r="G1464" s="10">
        <v>122.27</v>
      </c>
      <c r="H1464" s="13">
        <v>0.26</v>
      </c>
      <c r="I1464" t="s">
        <v>1933</v>
      </c>
      <c r="J1464" s="16">
        <v>90.479799999999997</v>
      </c>
      <c r="K1464" s="19">
        <f t="shared" si="110"/>
        <v>568856.83010000002</v>
      </c>
      <c r="L1464" s="22">
        <f t="shared" si="111"/>
        <v>1057.3547027881041</v>
      </c>
      <c r="M1464" s="22">
        <f t="shared" si="112"/>
        <v>181</v>
      </c>
      <c r="N1464" s="22" t="str">
        <f t="shared" si="113"/>
        <v>Low Value</v>
      </c>
      <c r="O1464" s="22" t="str">
        <f t="shared" si="114"/>
        <v>Nov-2023</v>
      </c>
      <c r="P1464" s="22" t="s">
        <v>1823</v>
      </c>
      <c r="Q1464" s="22" t="s">
        <v>1555</v>
      </c>
      <c r="R1464" s="22" t="s">
        <v>1050</v>
      </c>
      <c r="S1464" s="22"/>
      <c r="T1464" s="22"/>
      <c r="V1464" s="25" t="s">
        <v>739</v>
      </c>
      <c r="W1464" s="6">
        <v>10</v>
      </c>
    </row>
    <row r="1465" spans="1:23">
      <c r="A1465" t="s">
        <v>3402</v>
      </c>
      <c r="B1465" s="8">
        <v>45890</v>
      </c>
      <c r="C1465" t="s">
        <v>563</v>
      </c>
      <c r="D1465" t="s">
        <v>1627</v>
      </c>
      <c r="E1465" t="s">
        <v>1868</v>
      </c>
      <c r="F1465">
        <v>2</v>
      </c>
      <c r="G1465" s="10">
        <v>182.89</v>
      </c>
      <c r="H1465" s="13">
        <v>0.11</v>
      </c>
      <c r="I1465" t="s">
        <v>1931</v>
      </c>
      <c r="J1465" s="16">
        <v>325.54419999999999</v>
      </c>
      <c r="K1465" s="19">
        <f t="shared" si="110"/>
        <v>568766.35029999993</v>
      </c>
      <c r="L1465" s="22">
        <f t="shared" si="111"/>
        <v>1059.1552147113593</v>
      </c>
      <c r="M1465" s="22">
        <f t="shared" si="112"/>
        <v>180</v>
      </c>
      <c r="N1465" s="22" t="str">
        <f t="shared" si="113"/>
        <v>Low Value</v>
      </c>
      <c r="O1465" s="22" t="str">
        <f t="shared" si="114"/>
        <v>Aug-2025</v>
      </c>
      <c r="P1465" s="22" t="s">
        <v>1628</v>
      </c>
      <c r="Q1465" s="22" t="s">
        <v>1531</v>
      </c>
      <c r="R1465" s="22" t="s">
        <v>3948</v>
      </c>
      <c r="S1465" s="22"/>
      <c r="T1465" s="22"/>
      <c r="V1465" s="26" t="s">
        <v>1936</v>
      </c>
      <c r="W1465" s="6">
        <v>2</v>
      </c>
    </row>
    <row r="1466" spans="1:23">
      <c r="A1466" t="s">
        <v>3403</v>
      </c>
      <c r="B1466" s="8">
        <v>45796</v>
      </c>
      <c r="C1466" t="s">
        <v>1154</v>
      </c>
      <c r="D1466" t="s">
        <v>1690</v>
      </c>
      <c r="E1466" t="s">
        <v>1876</v>
      </c>
      <c r="F1466">
        <v>1</v>
      </c>
      <c r="G1466" s="10">
        <v>695.26</v>
      </c>
      <c r="H1466" s="13">
        <v>0.23</v>
      </c>
      <c r="I1466" t="s">
        <v>1933</v>
      </c>
      <c r="J1466" s="16">
        <v>535.35019999999997</v>
      </c>
      <c r="K1466" s="19">
        <f t="shared" si="110"/>
        <v>568440.80610000005</v>
      </c>
      <c r="L1466" s="22">
        <f t="shared" si="111"/>
        <v>1060.523891977612</v>
      </c>
      <c r="M1466" s="22">
        <f t="shared" si="112"/>
        <v>180</v>
      </c>
      <c r="N1466" s="22" t="str">
        <f t="shared" si="113"/>
        <v>Low Value</v>
      </c>
      <c r="O1466" s="22" t="str">
        <f t="shared" si="114"/>
        <v>May-2025</v>
      </c>
      <c r="P1466" s="22" t="s">
        <v>1691</v>
      </c>
      <c r="Q1466" s="22" t="s">
        <v>1536</v>
      </c>
      <c r="R1466" s="22" t="s">
        <v>1155</v>
      </c>
      <c r="S1466" s="22"/>
      <c r="T1466" s="22"/>
      <c r="V1466" s="26" t="s">
        <v>1931</v>
      </c>
      <c r="W1466" s="6">
        <v>6</v>
      </c>
    </row>
    <row r="1467" spans="1:23">
      <c r="A1467" t="s">
        <v>3404</v>
      </c>
      <c r="B1467" s="8">
        <v>45895</v>
      </c>
      <c r="C1467" t="s">
        <v>114</v>
      </c>
      <c r="D1467" t="s">
        <v>1636</v>
      </c>
      <c r="E1467" t="s">
        <v>1883</v>
      </c>
      <c r="F1467">
        <v>2</v>
      </c>
      <c r="G1467" s="10">
        <v>408.8</v>
      </c>
      <c r="H1467" s="13">
        <v>0.17</v>
      </c>
      <c r="I1467" t="s">
        <v>1936</v>
      </c>
      <c r="J1467" s="16">
        <v>678.60799999999995</v>
      </c>
      <c r="K1467" s="19">
        <f t="shared" si="110"/>
        <v>567905.45590000006</v>
      </c>
      <c r="L1467" s="22">
        <f t="shared" si="111"/>
        <v>1061.5055250467292</v>
      </c>
      <c r="M1467" s="22">
        <f t="shared" si="112"/>
        <v>179</v>
      </c>
      <c r="N1467" s="22" t="str">
        <f t="shared" si="113"/>
        <v>Low Value</v>
      </c>
      <c r="O1467" s="22" t="str">
        <f t="shared" si="114"/>
        <v>Aug-2025</v>
      </c>
      <c r="P1467" s="22" t="s">
        <v>1637</v>
      </c>
      <c r="Q1467" s="22" t="s">
        <v>1560</v>
      </c>
      <c r="R1467" s="22" t="s">
        <v>115</v>
      </c>
      <c r="S1467" s="22"/>
      <c r="T1467" s="22"/>
      <c r="V1467" s="26" t="s">
        <v>1933</v>
      </c>
      <c r="W1467" s="6">
        <v>2</v>
      </c>
    </row>
    <row r="1468" spans="1:23">
      <c r="A1468" t="s">
        <v>3405</v>
      </c>
      <c r="B1468" s="8">
        <v>45676</v>
      </c>
      <c r="C1468" t="s">
        <v>731</v>
      </c>
      <c r="D1468" t="s">
        <v>1700</v>
      </c>
      <c r="E1468" t="s">
        <v>1889</v>
      </c>
      <c r="F1468">
        <v>3</v>
      </c>
      <c r="G1468" s="10">
        <v>512.15</v>
      </c>
      <c r="H1468" s="13">
        <v>0.12</v>
      </c>
      <c r="I1468" t="s">
        <v>1931</v>
      </c>
      <c r="J1468" s="16">
        <v>1352.076</v>
      </c>
      <c r="K1468" s="19">
        <f t="shared" si="110"/>
        <v>567226.84790000005</v>
      </c>
      <c r="L1468" s="22">
        <f t="shared" si="111"/>
        <v>1062.222561610487</v>
      </c>
      <c r="M1468" s="22">
        <f t="shared" si="112"/>
        <v>179</v>
      </c>
      <c r="N1468" s="22" t="str">
        <f t="shared" si="113"/>
        <v>High Value</v>
      </c>
      <c r="O1468" s="22" t="str">
        <f t="shared" si="114"/>
        <v>Jan-2025</v>
      </c>
      <c r="P1468" s="22" t="s">
        <v>1701</v>
      </c>
      <c r="Q1468" s="22" t="s">
        <v>1555</v>
      </c>
      <c r="R1468" s="22" t="s">
        <v>732</v>
      </c>
      <c r="S1468" s="22"/>
      <c r="T1468" s="22"/>
      <c r="V1468" s="25" t="s">
        <v>1179</v>
      </c>
      <c r="W1468" s="6">
        <v>15</v>
      </c>
    </row>
    <row r="1469" spans="1:23">
      <c r="A1469" t="s">
        <v>3406</v>
      </c>
      <c r="B1469" s="8">
        <v>45568</v>
      </c>
      <c r="C1469" t="s">
        <v>1265</v>
      </c>
      <c r="D1469" t="s">
        <v>1567</v>
      </c>
      <c r="E1469" t="s">
        <v>1889</v>
      </c>
      <c r="F1469">
        <v>3</v>
      </c>
      <c r="G1469" s="10">
        <v>136.4</v>
      </c>
      <c r="H1469" s="13">
        <v>0.15</v>
      </c>
      <c r="I1469" t="s">
        <v>1933</v>
      </c>
      <c r="J1469" s="16">
        <v>347.82000000000011</v>
      </c>
      <c r="K1469" s="19">
        <f t="shared" si="110"/>
        <v>565874.77190000005</v>
      </c>
      <c r="L1469" s="22">
        <f t="shared" si="111"/>
        <v>1061.6787465290809</v>
      </c>
      <c r="M1469" s="22">
        <f t="shared" si="112"/>
        <v>179</v>
      </c>
      <c r="N1469" s="22" t="str">
        <f t="shared" si="113"/>
        <v>Low Value</v>
      </c>
      <c r="O1469" s="22" t="str">
        <f t="shared" si="114"/>
        <v>Oct-2024</v>
      </c>
      <c r="P1469" s="22" t="s">
        <v>1568</v>
      </c>
      <c r="Q1469" s="22" t="s">
        <v>1569</v>
      </c>
      <c r="R1469" s="22" t="s">
        <v>1266</v>
      </c>
      <c r="S1469" s="22"/>
      <c r="T1469" s="22"/>
      <c r="V1469" s="26" t="s">
        <v>1936</v>
      </c>
      <c r="W1469" s="6">
        <v>8</v>
      </c>
    </row>
    <row r="1470" spans="1:23">
      <c r="A1470" t="s">
        <v>3407</v>
      </c>
      <c r="B1470" s="8">
        <v>45272</v>
      </c>
      <c r="C1470" t="s">
        <v>577</v>
      </c>
      <c r="D1470" t="s">
        <v>1553</v>
      </c>
      <c r="E1470" t="s">
        <v>1873</v>
      </c>
      <c r="F1470">
        <v>2</v>
      </c>
      <c r="G1470" s="10">
        <v>42.51</v>
      </c>
      <c r="H1470" s="13">
        <v>0.04</v>
      </c>
      <c r="I1470" t="s">
        <v>1936</v>
      </c>
      <c r="J1470" s="16">
        <v>81.619199999999992</v>
      </c>
      <c r="K1470" s="19">
        <f t="shared" si="110"/>
        <v>565526.9519000001</v>
      </c>
      <c r="L1470" s="22">
        <f t="shared" si="111"/>
        <v>1063.0205862781957</v>
      </c>
      <c r="M1470" s="22">
        <f t="shared" si="112"/>
        <v>178</v>
      </c>
      <c r="N1470" s="22" t="str">
        <f t="shared" si="113"/>
        <v>Low Value</v>
      </c>
      <c r="O1470" s="22" t="str">
        <f t="shared" si="114"/>
        <v>Dec-2023</v>
      </c>
      <c r="P1470" s="22" t="s">
        <v>1554</v>
      </c>
      <c r="Q1470" s="22" t="s">
        <v>1555</v>
      </c>
      <c r="R1470" s="22" t="s">
        <v>578</v>
      </c>
      <c r="S1470" s="22"/>
      <c r="T1470" s="22"/>
      <c r="V1470" s="26" t="s">
        <v>1933</v>
      </c>
      <c r="W1470" s="6">
        <v>7</v>
      </c>
    </row>
    <row r="1471" spans="1:23">
      <c r="A1471" t="s">
        <v>3408</v>
      </c>
      <c r="B1471" s="8">
        <v>45718</v>
      </c>
      <c r="C1471" t="s">
        <v>1119</v>
      </c>
      <c r="D1471" t="s">
        <v>1780</v>
      </c>
      <c r="E1471" t="s">
        <v>1886</v>
      </c>
      <c r="F1471">
        <v>3</v>
      </c>
      <c r="G1471" s="10">
        <v>582.1</v>
      </c>
      <c r="H1471" s="13">
        <v>0.12</v>
      </c>
      <c r="I1471" t="s">
        <v>1933</v>
      </c>
      <c r="J1471" s="16">
        <v>1536.7439999999999</v>
      </c>
      <c r="K1471" s="19">
        <f t="shared" si="110"/>
        <v>565445.33270000014</v>
      </c>
      <c r="L1471" s="22">
        <f t="shared" si="111"/>
        <v>1064.8687998116764</v>
      </c>
      <c r="M1471" s="22">
        <f t="shared" si="112"/>
        <v>178</v>
      </c>
      <c r="N1471" s="22" t="str">
        <f t="shared" si="113"/>
        <v>High Value</v>
      </c>
      <c r="O1471" s="22" t="str">
        <f t="shared" si="114"/>
        <v>Mar-2025</v>
      </c>
      <c r="P1471" s="22" t="s">
        <v>1781</v>
      </c>
      <c r="Q1471" s="22" t="s">
        <v>1536</v>
      </c>
      <c r="R1471" s="22" t="s">
        <v>1120</v>
      </c>
      <c r="S1471" s="22"/>
      <c r="T1471" s="22"/>
      <c r="V1471" s="25" t="s">
        <v>1044</v>
      </c>
      <c r="W1471" s="6">
        <v>7</v>
      </c>
    </row>
    <row r="1472" spans="1:23">
      <c r="A1472" t="s">
        <v>3409</v>
      </c>
      <c r="B1472" s="8">
        <v>45356</v>
      </c>
      <c r="C1472" t="s">
        <v>709</v>
      </c>
      <c r="D1472" t="s">
        <v>1801</v>
      </c>
      <c r="E1472" t="s">
        <v>1914</v>
      </c>
      <c r="F1472">
        <v>4</v>
      </c>
      <c r="G1472" s="10">
        <v>461.52</v>
      </c>
      <c r="H1472" s="13">
        <v>0</v>
      </c>
      <c r="I1472" t="s">
        <v>1936</v>
      </c>
      <c r="J1472" s="16">
        <v>1846.08</v>
      </c>
      <c r="K1472" s="19">
        <f t="shared" si="110"/>
        <v>563908.58870000008</v>
      </c>
      <c r="L1472" s="22">
        <f t="shared" si="111"/>
        <v>1063.9784692452831</v>
      </c>
      <c r="M1472" s="22">
        <f t="shared" si="112"/>
        <v>177</v>
      </c>
      <c r="N1472" s="22" t="str">
        <f t="shared" si="113"/>
        <v>High Value</v>
      </c>
      <c r="O1472" s="22" t="str">
        <f t="shared" si="114"/>
        <v>Mar-2024</v>
      </c>
      <c r="P1472" s="22" t="s">
        <v>1802</v>
      </c>
      <c r="Q1472" s="22" t="s">
        <v>1569</v>
      </c>
      <c r="R1472" s="22" t="s">
        <v>710</v>
      </c>
      <c r="S1472" s="22"/>
      <c r="T1472" s="22"/>
      <c r="V1472" s="26" t="s">
        <v>1936</v>
      </c>
      <c r="W1472" s="6">
        <v>1</v>
      </c>
    </row>
    <row r="1473" spans="1:23">
      <c r="A1473" t="s">
        <v>3410</v>
      </c>
      <c r="B1473" s="8">
        <v>45552</v>
      </c>
      <c r="C1473" t="s">
        <v>1511</v>
      </c>
      <c r="D1473" t="s">
        <v>1970</v>
      </c>
      <c r="E1473" t="s">
        <v>1899</v>
      </c>
      <c r="F1473">
        <v>1</v>
      </c>
      <c r="G1473" s="10">
        <v>558.41999999999996</v>
      </c>
      <c r="H1473" s="13">
        <v>0.03</v>
      </c>
      <c r="I1473" t="s">
        <v>1931</v>
      </c>
      <c r="J1473" s="16">
        <v>541.66739999999993</v>
      </c>
      <c r="K1473" s="19">
        <f t="shared" si="110"/>
        <v>562062.50870000001</v>
      </c>
      <c r="L1473" s="22">
        <f t="shared" si="111"/>
        <v>1062.5000164461248</v>
      </c>
      <c r="M1473" s="22">
        <f t="shared" si="112"/>
        <v>177</v>
      </c>
      <c r="N1473" s="22" t="str">
        <f t="shared" si="113"/>
        <v>Low Value</v>
      </c>
      <c r="O1473" s="22" t="str">
        <f t="shared" si="114"/>
        <v>Sep-2024</v>
      </c>
      <c r="P1473" s="22" t="s">
        <v>1594</v>
      </c>
      <c r="Q1473" s="22" t="s">
        <v>1555</v>
      </c>
      <c r="R1473" s="22" t="s">
        <v>1512</v>
      </c>
      <c r="S1473" s="22"/>
      <c r="T1473" s="22"/>
      <c r="V1473" s="26" t="s">
        <v>1931</v>
      </c>
      <c r="W1473" s="6">
        <v>4</v>
      </c>
    </row>
    <row r="1474" spans="1:23">
      <c r="A1474" t="s">
        <v>3411</v>
      </c>
      <c r="B1474" s="8">
        <v>45288</v>
      </c>
      <c r="C1474" t="s">
        <v>839</v>
      </c>
      <c r="D1474" t="s">
        <v>1579</v>
      </c>
      <c r="E1474" t="s">
        <v>1917</v>
      </c>
      <c r="F1474">
        <v>4</v>
      </c>
      <c r="G1474" s="10">
        <v>700.98</v>
      </c>
      <c r="H1474" s="13">
        <v>0.12</v>
      </c>
      <c r="I1474" t="s">
        <v>1933</v>
      </c>
      <c r="J1474" s="16">
        <v>2467.4495999999999</v>
      </c>
      <c r="K1474" s="19">
        <f t="shared" ref="K1474:K1537" si="115">SUM(J1474:J3473)</f>
        <v>561520.84130000009</v>
      </c>
      <c r="L1474" s="22">
        <f t="shared" ref="L1474:L1537" si="116">AVERAGE(J1474:J3473)</f>
        <v>1063.4864418560608</v>
      </c>
      <c r="M1474" s="22">
        <f t="shared" ref="M1474:M1537" si="117">COUNTIF(I1474:I3473,"PayPal")</f>
        <v>177</v>
      </c>
      <c r="N1474" s="22" t="str">
        <f t="shared" ref="N1474:N1537" si="118">IF(J1474&gt;=1000,"High Value","Low Value")</f>
        <v>High Value</v>
      </c>
      <c r="O1474" s="22" t="str">
        <f t="shared" ref="O1474:O1537" si="119">TEXT(B1474,"mmm-yyyy")</f>
        <v>Dec-2023</v>
      </c>
      <c r="P1474" s="22" t="s">
        <v>1580</v>
      </c>
      <c r="Q1474" s="22" t="s">
        <v>1555</v>
      </c>
      <c r="R1474" s="22" t="s">
        <v>840</v>
      </c>
      <c r="S1474" s="22"/>
      <c r="T1474" s="22"/>
      <c r="V1474" s="26" t="s">
        <v>1933</v>
      </c>
      <c r="W1474" s="6">
        <v>2</v>
      </c>
    </row>
    <row r="1475" spans="1:23">
      <c r="A1475" t="s">
        <v>3412</v>
      </c>
      <c r="B1475" s="8">
        <v>45605</v>
      </c>
      <c r="C1475" t="s">
        <v>1253</v>
      </c>
      <c r="D1475" t="s">
        <v>1810</v>
      </c>
      <c r="E1475" t="s">
        <v>1917</v>
      </c>
      <c r="F1475">
        <v>2</v>
      </c>
      <c r="G1475" s="10">
        <v>227.97</v>
      </c>
      <c r="H1475" s="13">
        <v>0.08</v>
      </c>
      <c r="I1475" t="s">
        <v>1936</v>
      </c>
      <c r="J1475" s="16">
        <v>419.46480000000003</v>
      </c>
      <c r="K1475" s="19">
        <f t="shared" si="115"/>
        <v>559053.39169999992</v>
      </c>
      <c r="L1475" s="22">
        <f t="shared" si="116"/>
        <v>1060.8223751423147</v>
      </c>
      <c r="M1475" s="22">
        <f t="shared" si="117"/>
        <v>176</v>
      </c>
      <c r="N1475" s="22" t="str">
        <f t="shared" si="118"/>
        <v>Low Value</v>
      </c>
      <c r="O1475" s="22" t="str">
        <f t="shared" si="119"/>
        <v>Nov-2024</v>
      </c>
      <c r="P1475" s="22" t="s">
        <v>1811</v>
      </c>
      <c r="Q1475" s="22" t="s">
        <v>1536</v>
      </c>
      <c r="R1475" s="22" t="s">
        <v>1254</v>
      </c>
      <c r="S1475" s="22"/>
      <c r="T1475" s="22"/>
      <c r="V1475" s="25" t="s">
        <v>572</v>
      </c>
      <c r="W1475" s="6">
        <v>7</v>
      </c>
    </row>
    <row r="1476" spans="1:23">
      <c r="A1476" t="s">
        <v>3413</v>
      </c>
      <c r="B1476" s="8">
        <v>45516</v>
      </c>
      <c r="C1476" t="s">
        <v>1451</v>
      </c>
      <c r="D1476" t="s">
        <v>1668</v>
      </c>
      <c r="E1476" t="s">
        <v>1899</v>
      </c>
      <c r="F1476">
        <v>4</v>
      </c>
      <c r="G1476" s="10">
        <v>278.70999999999998</v>
      </c>
      <c r="H1476" s="13">
        <v>0.2</v>
      </c>
      <c r="I1476" t="s">
        <v>1933</v>
      </c>
      <c r="J1476" s="16">
        <v>891.87199999999996</v>
      </c>
      <c r="K1476" s="19">
        <f t="shared" si="115"/>
        <v>558633.92689999996</v>
      </c>
      <c r="L1476" s="22">
        <f t="shared" si="116"/>
        <v>1062.0416861216729</v>
      </c>
      <c r="M1476" s="22">
        <f t="shared" si="117"/>
        <v>176</v>
      </c>
      <c r="N1476" s="22" t="str">
        <f t="shared" si="118"/>
        <v>Low Value</v>
      </c>
      <c r="O1476" s="22" t="str">
        <f t="shared" si="119"/>
        <v>Aug-2024</v>
      </c>
      <c r="P1476" s="22" t="s">
        <v>1669</v>
      </c>
      <c r="Q1476" s="22" t="s">
        <v>1531</v>
      </c>
      <c r="R1476" s="22" t="s">
        <v>1452</v>
      </c>
      <c r="S1476" s="22"/>
      <c r="T1476" s="22"/>
      <c r="V1476" s="26" t="s">
        <v>1936</v>
      </c>
      <c r="W1476" s="6">
        <v>4</v>
      </c>
    </row>
    <row r="1477" spans="1:23">
      <c r="A1477" t="s">
        <v>3414</v>
      </c>
      <c r="B1477" s="8">
        <v>45379</v>
      </c>
      <c r="C1477" t="s">
        <v>827</v>
      </c>
      <c r="D1477" t="s">
        <v>1852</v>
      </c>
      <c r="E1477" t="s">
        <v>1889</v>
      </c>
      <c r="F1477">
        <v>2</v>
      </c>
      <c r="G1477" s="10">
        <v>916.12</v>
      </c>
      <c r="H1477" s="13">
        <v>0.05</v>
      </c>
      <c r="I1477" t="s">
        <v>1933</v>
      </c>
      <c r="J1477" s="16">
        <v>1740.6279999999999</v>
      </c>
      <c r="K1477" s="19">
        <f t="shared" si="115"/>
        <v>557742.05489999999</v>
      </c>
      <c r="L1477" s="22">
        <f t="shared" si="116"/>
        <v>1062.3658188571428</v>
      </c>
      <c r="M1477" s="22">
        <f t="shared" si="117"/>
        <v>175</v>
      </c>
      <c r="N1477" s="22" t="str">
        <f t="shared" si="118"/>
        <v>High Value</v>
      </c>
      <c r="O1477" s="22" t="str">
        <f t="shared" si="119"/>
        <v>Mar-2024</v>
      </c>
      <c r="P1477" s="22" t="s">
        <v>1853</v>
      </c>
      <c r="Q1477" s="22" t="s">
        <v>1560</v>
      </c>
      <c r="R1477" s="22" t="s">
        <v>828</v>
      </c>
      <c r="S1477" s="22"/>
      <c r="T1477" s="22"/>
      <c r="V1477" s="26" t="s">
        <v>1933</v>
      </c>
      <c r="W1477" s="6">
        <v>3</v>
      </c>
    </row>
    <row r="1478" spans="1:23">
      <c r="A1478" t="s">
        <v>3415</v>
      </c>
      <c r="B1478" s="8">
        <v>45567</v>
      </c>
      <c r="C1478" t="s">
        <v>453</v>
      </c>
      <c r="D1478" t="s">
        <v>1572</v>
      </c>
      <c r="E1478" t="s">
        <v>1901</v>
      </c>
      <c r="F1478">
        <v>4</v>
      </c>
      <c r="G1478" s="10">
        <v>228.98</v>
      </c>
      <c r="H1478" s="13">
        <v>0.22</v>
      </c>
      <c r="I1478" t="s">
        <v>1933</v>
      </c>
      <c r="J1478" s="16">
        <v>714.41759999999999</v>
      </c>
      <c r="K1478" s="19">
        <f t="shared" si="115"/>
        <v>556001.42689999985</v>
      </c>
      <c r="L1478" s="22">
        <f t="shared" si="116"/>
        <v>1061.0714253816791</v>
      </c>
      <c r="M1478" s="22">
        <f t="shared" si="117"/>
        <v>174</v>
      </c>
      <c r="N1478" s="22" t="str">
        <f t="shared" si="118"/>
        <v>Low Value</v>
      </c>
      <c r="O1478" s="22" t="str">
        <f t="shared" si="119"/>
        <v>Oct-2024</v>
      </c>
      <c r="P1478" s="22" t="s">
        <v>1573</v>
      </c>
      <c r="Q1478" s="22" t="s">
        <v>1560</v>
      </c>
      <c r="R1478" s="22" t="s">
        <v>454</v>
      </c>
      <c r="S1478" s="22"/>
      <c r="T1478" s="22"/>
      <c r="V1478" s="25" t="s">
        <v>1243</v>
      </c>
      <c r="W1478" s="6">
        <v>12</v>
      </c>
    </row>
    <row r="1479" spans="1:23">
      <c r="A1479" t="s">
        <v>3416</v>
      </c>
      <c r="B1479" s="8">
        <v>45510</v>
      </c>
      <c r="C1479" t="s">
        <v>753</v>
      </c>
      <c r="D1479" t="s">
        <v>1822</v>
      </c>
      <c r="E1479" t="s">
        <v>1908</v>
      </c>
      <c r="F1479">
        <v>4</v>
      </c>
      <c r="G1479" s="10">
        <v>904.82</v>
      </c>
      <c r="H1479" s="13">
        <v>0.09</v>
      </c>
      <c r="I1479" t="s">
        <v>1933</v>
      </c>
      <c r="J1479" s="16">
        <v>3293.5448000000001</v>
      </c>
      <c r="K1479" s="19">
        <f t="shared" si="115"/>
        <v>555287.00929999992</v>
      </c>
      <c r="L1479" s="22">
        <f t="shared" si="116"/>
        <v>1061.7342434034415</v>
      </c>
      <c r="M1479" s="22">
        <f t="shared" si="117"/>
        <v>173</v>
      </c>
      <c r="N1479" s="22" t="str">
        <f t="shared" si="118"/>
        <v>High Value</v>
      </c>
      <c r="O1479" s="22" t="str">
        <f t="shared" si="119"/>
        <v>Aug-2024</v>
      </c>
      <c r="P1479" s="22" t="s">
        <v>1823</v>
      </c>
      <c r="Q1479" s="22" t="s">
        <v>1555</v>
      </c>
      <c r="R1479" s="22" t="s">
        <v>754</v>
      </c>
      <c r="S1479" s="22"/>
      <c r="T1479" s="22"/>
      <c r="V1479" s="26" t="s">
        <v>1936</v>
      </c>
      <c r="W1479" s="6">
        <v>7</v>
      </c>
    </row>
    <row r="1480" spans="1:23">
      <c r="A1480" t="s">
        <v>3417</v>
      </c>
      <c r="B1480" s="8">
        <v>45806</v>
      </c>
      <c r="C1480" t="s">
        <v>292</v>
      </c>
      <c r="D1480" t="s">
        <v>1617</v>
      </c>
      <c r="E1480" t="s">
        <v>1899</v>
      </c>
      <c r="F1480">
        <v>1</v>
      </c>
      <c r="G1480" s="10">
        <v>588.61</v>
      </c>
      <c r="H1480" s="13">
        <v>0.1</v>
      </c>
      <c r="I1480" t="s">
        <v>1933</v>
      </c>
      <c r="J1480" s="16">
        <v>529.74900000000002</v>
      </c>
      <c r="K1480" s="19">
        <f t="shared" si="115"/>
        <v>551993.46449999989</v>
      </c>
      <c r="L1480" s="22">
        <f t="shared" si="116"/>
        <v>1057.4587442528734</v>
      </c>
      <c r="M1480" s="22">
        <f t="shared" si="117"/>
        <v>172</v>
      </c>
      <c r="N1480" s="22" t="str">
        <f t="shared" si="118"/>
        <v>Low Value</v>
      </c>
      <c r="O1480" s="22" t="str">
        <f t="shared" si="119"/>
        <v>May-2025</v>
      </c>
      <c r="P1480" s="22" t="s">
        <v>1618</v>
      </c>
      <c r="Q1480" s="22" t="s">
        <v>1536</v>
      </c>
      <c r="R1480" s="22" t="s">
        <v>293</v>
      </c>
      <c r="S1480" s="22"/>
      <c r="T1480" s="22"/>
      <c r="V1480" s="26" t="s">
        <v>1931</v>
      </c>
      <c r="W1480" s="6">
        <v>1</v>
      </c>
    </row>
    <row r="1481" spans="1:23">
      <c r="A1481" t="s">
        <v>3418</v>
      </c>
      <c r="B1481" s="8">
        <v>45240</v>
      </c>
      <c r="C1481" t="s">
        <v>391</v>
      </c>
      <c r="D1481" t="s">
        <v>1649</v>
      </c>
      <c r="E1481" t="s">
        <v>1873</v>
      </c>
      <c r="F1481">
        <v>4</v>
      </c>
      <c r="G1481" s="10">
        <v>695.97</v>
      </c>
      <c r="H1481" s="13">
        <v>0.02</v>
      </c>
      <c r="I1481" t="s">
        <v>1931</v>
      </c>
      <c r="J1481" s="16">
        <v>2728.2024000000001</v>
      </c>
      <c r="K1481" s="19">
        <f t="shared" si="115"/>
        <v>551463.71549999993</v>
      </c>
      <c r="L1481" s="22">
        <f t="shared" si="116"/>
        <v>1058.4716228406908</v>
      </c>
      <c r="M1481" s="22">
        <f t="shared" si="117"/>
        <v>171</v>
      </c>
      <c r="N1481" s="22" t="str">
        <f t="shared" si="118"/>
        <v>High Value</v>
      </c>
      <c r="O1481" s="22" t="str">
        <f t="shared" si="119"/>
        <v>Nov-2023</v>
      </c>
      <c r="P1481" s="22" t="s">
        <v>1650</v>
      </c>
      <c r="Q1481" s="22" t="s">
        <v>1560</v>
      </c>
      <c r="R1481" s="22" t="s">
        <v>392</v>
      </c>
      <c r="S1481" s="22"/>
      <c r="T1481" s="22"/>
      <c r="V1481" s="26" t="s">
        <v>1933</v>
      </c>
      <c r="W1481" s="6">
        <v>4</v>
      </c>
    </row>
    <row r="1482" spans="1:23">
      <c r="A1482" t="s">
        <v>3419</v>
      </c>
      <c r="B1482" s="8">
        <v>45309</v>
      </c>
      <c r="C1482" t="s">
        <v>949</v>
      </c>
      <c r="D1482" t="s">
        <v>1846</v>
      </c>
      <c r="E1482" t="s">
        <v>1899</v>
      </c>
      <c r="F1482">
        <v>2</v>
      </c>
      <c r="G1482" s="10">
        <v>181.42</v>
      </c>
      <c r="H1482" s="13">
        <v>0.08</v>
      </c>
      <c r="I1482" t="s">
        <v>1933</v>
      </c>
      <c r="J1482" s="16">
        <v>333.81279999999998</v>
      </c>
      <c r="K1482" s="19">
        <f t="shared" si="115"/>
        <v>548735.51309999998</v>
      </c>
      <c r="L1482" s="22">
        <f t="shared" si="116"/>
        <v>1055.2606021153845</v>
      </c>
      <c r="M1482" s="22">
        <f t="shared" si="117"/>
        <v>171</v>
      </c>
      <c r="N1482" s="22" t="str">
        <f t="shared" si="118"/>
        <v>Low Value</v>
      </c>
      <c r="O1482" s="22" t="str">
        <f t="shared" si="119"/>
        <v>Jan-2024</v>
      </c>
      <c r="P1482" s="22" t="s">
        <v>1847</v>
      </c>
      <c r="Q1482" s="22" t="s">
        <v>1569</v>
      </c>
      <c r="R1482" s="22" t="s">
        <v>950</v>
      </c>
      <c r="S1482" s="22"/>
      <c r="T1482" s="22"/>
      <c r="V1482" s="25" t="s">
        <v>498</v>
      </c>
      <c r="W1482" s="6">
        <v>16</v>
      </c>
    </row>
    <row r="1483" spans="1:23">
      <c r="A1483" t="s">
        <v>3420</v>
      </c>
      <c r="B1483" s="8">
        <v>45375</v>
      </c>
      <c r="C1483" t="s">
        <v>100</v>
      </c>
      <c r="D1483" t="s">
        <v>1846</v>
      </c>
      <c r="E1483" t="s">
        <v>1904</v>
      </c>
      <c r="F1483">
        <v>1</v>
      </c>
      <c r="G1483" s="10">
        <v>439.55</v>
      </c>
      <c r="H1483" s="13">
        <v>0.28999999999999998</v>
      </c>
      <c r="I1483" t="s">
        <v>1936</v>
      </c>
      <c r="J1483" s="16">
        <v>312.08049999999997</v>
      </c>
      <c r="K1483" s="19">
        <f t="shared" si="115"/>
        <v>548401.70029999991</v>
      </c>
      <c r="L1483" s="22">
        <f t="shared" si="116"/>
        <v>1056.6506749518303</v>
      </c>
      <c r="M1483" s="22">
        <f t="shared" si="117"/>
        <v>170</v>
      </c>
      <c r="N1483" s="22" t="str">
        <f t="shared" si="118"/>
        <v>Low Value</v>
      </c>
      <c r="O1483" s="22" t="str">
        <f t="shared" si="119"/>
        <v>Mar-2024</v>
      </c>
      <c r="P1483" s="22" t="s">
        <v>1847</v>
      </c>
      <c r="Q1483" s="22" t="s">
        <v>1569</v>
      </c>
      <c r="R1483" s="22" t="s">
        <v>101</v>
      </c>
      <c r="S1483" s="22"/>
      <c r="T1483" s="22"/>
      <c r="V1483" s="26" t="s">
        <v>1931</v>
      </c>
      <c r="W1483" s="6">
        <v>10</v>
      </c>
    </row>
    <row r="1484" spans="1:23">
      <c r="A1484" t="s">
        <v>3421</v>
      </c>
      <c r="B1484" s="8">
        <v>45733</v>
      </c>
      <c r="C1484" t="s">
        <v>394</v>
      </c>
      <c r="D1484" t="s">
        <v>1719</v>
      </c>
      <c r="E1484" t="s">
        <v>1917</v>
      </c>
      <c r="F1484">
        <v>3</v>
      </c>
      <c r="G1484" s="10">
        <v>471.27</v>
      </c>
      <c r="H1484" s="13">
        <v>0.27</v>
      </c>
      <c r="I1484" t="s">
        <v>1936</v>
      </c>
      <c r="J1484" s="16">
        <v>1032.0813000000001</v>
      </c>
      <c r="K1484" s="19">
        <f t="shared" si="115"/>
        <v>548089.61979999999</v>
      </c>
      <c r="L1484" s="22">
        <f t="shared" si="116"/>
        <v>1058.0880691119692</v>
      </c>
      <c r="M1484" s="22">
        <f t="shared" si="117"/>
        <v>170</v>
      </c>
      <c r="N1484" s="22" t="str">
        <f t="shared" si="118"/>
        <v>High Value</v>
      </c>
      <c r="O1484" s="22" t="str">
        <f t="shared" si="119"/>
        <v>Mar-2025</v>
      </c>
      <c r="P1484" s="22" t="s">
        <v>1720</v>
      </c>
      <c r="Q1484" s="22" t="s">
        <v>1560</v>
      </c>
      <c r="R1484" s="22" t="s">
        <v>395</v>
      </c>
      <c r="S1484" s="22"/>
      <c r="T1484" s="22"/>
      <c r="V1484" s="26" t="s">
        <v>1933</v>
      </c>
      <c r="W1484" s="6">
        <v>6</v>
      </c>
    </row>
    <row r="1485" spans="1:23">
      <c r="A1485" t="s">
        <v>3422</v>
      </c>
      <c r="B1485" s="8">
        <v>45435</v>
      </c>
      <c r="C1485" t="s">
        <v>171</v>
      </c>
      <c r="D1485" t="s">
        <v>1731</v>
      </c>
      <c r="E1485" t="s">
        <v>1901</v>
      </c>
      <c r="F1485">
        <v>1</v>
      </c>
      <c r="G1485" s="10">
        <v>758.89</v>
      </c>
      <c r="H1485" s="13">
        <v>0.1</v>
      </c>
      <c r="I1485" t="s">
        <v>1931</v>
      </c>
      <c r="J1485" s="16">
        <v>683.00099999999998</v>
      </c>
      <c r="K1485" s="19">
        <f t="shared" si="115"/>
        <v>547057.53849999991</v>
      </c>
      <c r="L1485" s="22">
        <f t="shared" si="116"/>
        <v>1058.1383723404253</v>
      </c>
      <c r="M1485" s="22">
        <f t="shared" si="117"/>
        <v>170</v>
      </c>
      <c r="N1485" s="22" t="str">
        <f t="shared" si="118"/>
        <v>Low Value</v>
      </c>
      <c r="O1485" s="22" t="str">
        <f t="shared" si="119"/>
        <v>May-2024</v>
      </c>
      <c r="P1485" s="22" t="s">
        <v>1732</v>
      </c>
      <c r="Q1485" s="22" t="s">
        <v>1555</v>
      </c>
      <c r="R1485" s="22" t="s">
        <v>172</v>
      </c>
      <c r="S1485" s="22"/>
      <c r="T1485" s="22"/>
      <c r="V1485" s="25" t="s">
        <v>1335</v>
      </c>
      <c r="W1485" s="6">
        <v>18</v>
      </c>
    </row>
    <row r="1486" spans="1:23">
      <c r="A1486" t="s">
        <v>3423</v>
      </c>
      <c r="B1486" s="8">
        <v>45864</v>
      </c>
      <c r="C1486" t="s">
        <v>1481</v>
      </c>
      <c r="D1486" t="s">
        <v>1840</v>
      </c>
      <c r="E1486" t="s">
        <v>1908</v>
      </c>
      <c r="F1486">
        <v>4</v>
      </c>
      <c r="G1486" s="10">
        <v>918.1</v>
      </c>
      <c r="H1486" s="13">
        <v>0.19</v>
      </c>
      <c r="I1486" t="s">
        <v>1936</v>
      </c>
      <c r="J1486" s="16">
        <v>2974.6439999999998</v>
      </c>
      <c r="K1486" s="19">
        <f t="shared" si="115"/>
        <v>546374.53749999986</v>
      </c>
      <c r="L1486" s="22">
        <f t="shared" si="116"/>
        <v>1058.8653827519377</v>
      </c>
      <c r="M1486" s="22">
        <f t="shared" si="117"/>
        <v>170</v>
      </c>
      <c r="N1486" s="22" t="str">
        <f t="shared" si="118"/>
        <v>High Value</v>
      </c>
      <c r="O1486" s="22" t="str">
        <f t="shared" si="119"/>
        <v>Jul-2025</v>
      </c>
      <c r="P1486" s="22" t="s">
        <v>1841</v>
      </c>
      <c r="Q1486" s="22" t="s">
        <v>1569</v>
      </c>
      <c r="R1486" s="22" t="s">
        <v>1482</v>
      </c>
      <c r="S1486" s="22"/>
      <c r="T1486" s="22"/>
      <c r="V1486" s="26" t="s">
        <v>1936</v>
      </c>
      <c r="W1486" s="6">
        <v>1</v>
      </c>
    </row>
    <row r="1487" spans="1:23">
      <c r="A1487" t="s">
        <v>3424</v>
      </c>
      <c r="B1487" s="8">
        <v>45569</v>
      </c>
      <c r="C1487" t="s">
        <v>827</v>
      </c>
      <c r="D1487" t="s">
        <v>1837</v>
      </c>
      <c r="E1487" t="s">
        <v>1899</v>
      </c>
      <c r="F1487">
        <v>1</v>
      </c>
      <c r="G1487" s="10">
        <v>861.5</v>
      </c>
      <c r="H1487" s="13">
        <v>0.05</v>
      </c>
      <c r="I1487" t="s">
        <v>1936</v>
      </c>
      <c r="J1487" s="16">
        <v>818.42499999999995</v>
      </c>
      <c r="K1487" s="19">
        <f t="shared" si="115"/>
        <v>543399.89349999989</v>
      </c>
      <c r="L1487" s="22">
        <f t="shared" si="116"/>
        <v>1055.1454242718444</v>
      </c>
      <c r="M1487" s="22">
        <f t="shared" si="117"/>
        <v>170</v>
      </c>
      <c r="N1487" s="22" t="str">
        <f t="shared" si="118"/>
        <v>Low Value</v>
      </c>
      <c r="O1487" s="22" t="str">
        <f t="shared" si="119"/>
        <v>Oct-2024</v>
      </c>
      <c r="P1487" s="22" t="s">
        <v>1838</v>
      </c>
      <c r="Q1487" s="22" t="s">
        <v>1555</v>
      </c>
      <c r="R1487" s="22" t="s">
        <v>828</v>
      </c>
      <c r="S1487" s="22"/>
      <c r="T1487" s="22"/>
      <c r="V1487" s="26" t="s">
        <v>1931</v>
      </c>
      <c r="W1487" s="6">
        <v>11</v>
      </c>
    </row>
    <row r="1488" spans="1:23">
      <c r="A1488" t="s">
        <v>3425</v>
      </c>
      <c r="B1488" s="8">
        <v>45664</v>
      </c>
      <c r="C1488" t="s">
        <v>1416</v>
      </c>
      <c r="D1488" t="s">
        <v>1614</v>
      </c>
      <c r="E1488" t="s">
        <v>1906</v>
      </c>
      <c r="F1488">
        <v>1</v>
      </c>
      <c r="G1488" s="10">
        <v>588.29999999999995</v>
      </c>
      <c r="H1488" s="13">
        <v>0.26</v>
      </c>
      <c r="I1488" t="s">
        <v>1936</v>
      </c>
      <c r="J1488" s="16">
        <v>435.34199999999998</v>
      </c>
      <c r="K1488" s="19">
        <f t="shared" si="115"/>
        <v>542581.46849999996</v>
      </c>
      <c r="L1488" s="22">
        <f t="shared" si="116"/>
        <v>1055.6059698443578</v>
      </c>
      <c r="M1488" s="22">
        <f t="shared" si="117"/>
        <v>170</v>
      </c>
      <c r="N1488" s="22" t="str">
        <f t="shared" si="118"/>
        <v>Low Value</v>
      </c>
      <c r="O1488" s="22" t="str">
        <f t="shared" si="119"/>
        <v>Jan-2025</v>
      </c>
      <c r="P1488" s="22" t="s">
        <v>1615</v>
      </c>
      <c r="Q1488" s="22" t="s">
        <v>1569</v>
      </c>
      <c r="R1488" s="22" t="s">
        <v>1417</v>
      </c>
      <c r="S1488" s="22"/>
      <c r="T1488" s="22"/>
      <c r="V1488" s="26" t="s">
        <v>1933</v>
      </c>
      <c r="W1488" s="6">
        <v>6</v>
      </c>
    </row>
    <row r="1489" spans="1:23">
      <c r="A1489" t="s">
        <v>3426</v>
      </c>
      <c r="B1489" s="8">
        <v>45645</v>
      </c>
      <c r="C1489" t="s">
        <v>1416</v>
      </c>
      <c r="D1489" t="s">
        <v>1719</v>
      </c>
      <c r="E1489" t="s">
        <v>1886</v>
      </c>
      <c r="F1489">
        <v>1</v>
      </c>
      <c r="G1489" s="10">
        <v>917.26</v>
      </c>
      <c r="H1489" s="13">
        <v>0.05</v>
      </c>
      <c r="I1489" t="s">
        <v>1933</v>
      </c>
      <c r="J1489" s="16">
        <v>871.39699999999993</v>
      </c>
      <c r="K1489" s="19">
        <f t="shared" si="115"/>
        <v>542146.1264999999</v>
      </c>
      <c r="L1489" s="22">
        <f t="shared" si="116"/>
        <v>1056.8150614035085</v>
      </c>
      <c r="M1489" s="22">
        <f t="shared" si="117"/>
        <v>170</v>
      </c>
      <c r="N1489" s="22" t="str">
        <f t="shared" si="118"/>
        <v>Low Value</v>
      </c>
      <c r="O1489" s="22" t="str">
        <f t="shared" si="119"/>
        <v>Dec-2024</v>
      </c>
      <c r="P1489" s="22" t="s">
        <v>1720</v>
      </c>
      <c r="Q1489" s="22" t="s">
        <v>1560</v>
      </c>
      <c r="R1489" s="22" t="s">
        <v>1417</v>
      </c>
      <c r="S1489" s="22"/>
      <c r="T1489" s="22"/>
      <c r="V1489" s="25" t="s">
        <v>144</v>
      </c>
      <c r="W1489" s="6">
        <v>15</v>
      </c>
    </row>
    <row r="1490" spans="1:23">
      <c r="A1490" t="s">
        <v>3427</v>
      </c>
      <c r="B1490" s="8">
        <v>45449</v>
      </c>
      <c r="C1490" t="s">
        <v>750</v>
      </c>
      <c r="D1490" t="s">
        <v>1553</v>
      </c>
      <c r="E1490" t="s">
        <v>1917</v>
      </c>
      <c r="F1490">
        <v>4</v>
      </c>
      <c r="G1490" s="10">
        <v>96.78</v>
      </c>
      <c r="H1490" s="13">
        <v>0.11</v>
      </c>
      <c r="I1490" t="s">
        <v>1933</v>
      </c>
      <c r="J1490" s="16">
        <v>344.53680000000003</v>
      </c>
      <c r="K1490" s="19">
        <f t="shared" si="115"/>
        <v>541274.72949999978</v>
      </c>
      <c r="L1490" s="22">
        <f t="shared" si="116"/>
        <v>1057.1772060546871</v>
      </c>
      <c r="M1490" s="22">
        <f t="shared" si="117"/>
        <v>169</v>
      </c>
      <c r="N1490" s="22" t="str">
        <f t="shared" si="118"/>
        <v>Low Value</v>
      </c>
      <c r="O1490" s="22" t="str">
        <f t="shared" si="119"/>
        <v>Jun-2024</v>
      </c>
      <c r="P1490" s="22" t="s">
        <v>1554</v>
      </c>
      <c r="Q1490" s="22" t="s">
        <v>1555</v>
      </c>
      <c r="R1490" s="22" t="s">
        <v>751</v>
      </c>
      <c r="S1490" s="22"/>
      <c r="T1490" s="22"/>
      <c r="V1490" s="26" t="s">
        <v>1936</v>
      </c>
      <c r="W1490" s="6">
        <v>10</v>
      </c>
    </row>
    <row r="1491" spans="1:23">
      <c r="A1491" t="s">
        <v>3428</v>
      </c>
      <c r="B1491" s="8">
        <v>45629</v>
      </c>
      <c r="C1491" t="s">
        <v>1462</v>
      </c>
      <c r="D1491" t="s">
        <v>1633</v>
      </c>
      <c r="E1491" t="s">
        <v>1876</v>
      </c>
      <c r="F1491">
        <v>3</v>
      </c>
      <c r="G1491" s="10">
        <v>199.41</v>
      </c>
      <c r="H1491" s="13">
        <v>0.16</v>
      </c>
      <c r="I1491" t="s">
        <v>1936</v>
      </c>
      <c r="J1491" s="16">
        <v>502.51319999999998</v>
      </c>
      <c r="K1491" s="19">
        <f t="shared" si="115"/>
        <v>540930.19269999978</v>
      </c>
      <c r="L1491" s="22">
        <f t="shared" si="116"/>
        <v>1058.5718056751464</v>
      </c>
      <c r="M1491" s="22">
        <f t="shared" si="117"/>
        <v>168</v>
      </c>
      <c r="N1491" s="22" t="str">
        <f t="shared" si="118"/>
        <v>Low Value</v>
      </c>
      <c r="O1491" s="22" t="str">
        <f t="shared" si="119"/>
        <v>Dec-2024</v>
      </c>
      <c r="P1491" s="22" t="s">
        <v>1634</v>
      </c>
      <c r="Q1491" s="22" t="s">
        <v>1569</v>
      </c>
      <c r="R1491" s="22" t="s">
        <v>3960</v>
      </c>
      <c r="S1491" s="22"/>
      <c r="T1491" s="22"/>
      <c r="V1491" s="26" t="s">
        <v>1931</v>
      </c>
      <c r="W1491" s="6">
        <v>2</v>
      </c>
    </row>
    <row r="1492" spans="1:23">
      <c r="A1492" t="s">
        <v>3429</v>
      </c>
      <c r="B1492" s="8">
        <v>45739</v>
      </c>
      <c r="C1492" t="s">
        <v>85</v>
      </c>
      <c r="D1492" t="s">
        <v>1716</v>
      </c>
      <c r="E1492" t="s">
        <v>1893</v>
      </c>
      <c r="F1492">
        <v>1</v>
      </c>
      <c r="G1492" s="10">
        <v>687.91</v>
      </c>
      <c r="H1492" s="13">
        <v>0.25</v>
      </c>
      <c r="I1492" t="s">
        <v>1931</v>
      </c>
      <c r="J1492" s="16">
        <v>515.9325</v>
      </c>
      <c r="K1492" s="19">
        <f t="shared" si="115"/>
        <v>540427.67949999974</v>
      </c>
      <c r="L1492" s="22">
        <f t="shared" si="116"/>
        <v>1059.6621166666662</v>
      </c>
      <c r="M1492" s="22">
        <f t="shared" si="117"/>
        <v>168</v>
      </c>
      <c r="N1492" s="22" t="str">
        <f t="shared" si="118"/>
        <v>Low Value</v>
      </c>
      <c r="O1492" s="22" t="str">
        <f t="shared" si="119"/>
        <v>Mar-2025</v>
      </c>
      <c r="P1492" s="22" t="s">
        <v>1717</v>
      </c>
      <c r="Q1492" s="22" t="s">
        <v>1569</v>
      </c>
      <c r="R1492" s="22" t="s">
        <v>86</v>
      </c>
      <c r="S1492" s="22"/>
      <c r="T1492" s="22"/>
      <c r="V1492" s="26" t="s">
        <v>1933</v>
      </c>
      <c r="W1492" s="6">
        <v>3</v>
      </c>
    </row>
    <row r="1493" spans="1:23">
      <c r="A1493" t="s">
        <v>3430</v>
      </c>
      <c r="B1493" s="8">
        <v>45849</v>
      </c>
      <c r="C1493" t="s">
        <v>152</v>
      </c>
      <c r="D1493" t="s">
        <v>1768</v>
      </c>
      <c r="E1493" t="s">
        <v>1868</v>
      </c>
      <c r="F1493">
        <v>3</v>
      </c>
      <c r="G1493" s="10">
        <v>769.62</v>
      </c>
      <c r="H1493" s="13">
        <v>0.09</v>
      </c>
      <c r="I1493" t="s">
        <v>1933</v>
      </c>
      <c r="J1493" s="16">
        <v>2101.0626000000002</v>
      </c>
      <c r="K1493" s="19">
        <f t="shared" si="115"/>
        <v>539911.74699999974</v>
      </c>
      <c r="L1493" s="22">
        <f t="shared" si="116"/>
        <v>1060.7303477406674</v>
      </c>
      <c r="M1493" s="22">
        <f t="shared" si="117"/>
        <v>168</v>
      </c>
      <c r="N1493" s="22" t="str">
        <f t="shared" si="118"/>
        <v>High Value</v>
      </c>
      <c r="O1493" s="22" t="str">
        <f t="shared" si="119"/>
        <v>Jul-2025</v>
      </c>
      <c r="P1493" s="22" t="s">
        <v>1769</v>
      </c>
      <c r="Q1493" s="22" t="s">
        <v>1555</v>
      </c>
      <c r="R1493" s="22" t="s">
        <v>153</v>
      </c>
      <c r="S1493" s="22"/>
      <c r="T1493" s="22"/>
      <c r="V1493" s="25" t="s">
        <v>569</v>
      </c>
      <c r="W1493" s="6">
        <v>7</v>
      </c>
    </row>
    <row r="1494" spans="1:23">
      <c r="A1494" t="s">
        <v>3431</v>
      </c>
      <c r="B1494" s="8">
        <v>45230</v>
      </c>
      <c r="C1494" t="s">
        <v>712</v>
      </c>
      <c r="D1494" t="s">
        <v>1545</v>
      </c>
      <c r="E1494" t="s">
        <v>1873</v>
      </c>
      <c r="F1494">
        <v>1</v>
      </c>
      <c r="G1494" s="10">
        <v>492.05</v>
      </c>
      <c r="H1494" s="13">
        <v>0.27</v>
      </c>
      <c r="I1494" t="s">
        <v>1931</v>
      </c>
      <c r="J1494" s="16">
        <v>359.19650000000001</v>
      </c>
      <c r="K1494" s="19">
        <f t="shared" si="115"/>
        <v>537810.68439999968</v>
      </c>
      <c r="L1494" s="22">
        <f t="shared" si="116"/>
        <v>1058.6824496062986</v>
      </c>
      <c r="M1494" s="22">
        <f t="shared" si="117"/>
        <v>167</v>
      </c>
      <c r="N1494" s="22" t="str">
        <f t="shared" si="118"/>
        <v>Low Value</v>
      </c>
      <c r="O1494" s="22" t="str">
        <f t="shared" si="119"/>
        <v>Oct-2023</v>
      </c>
      <c r="P1494" s="22" t="s">
        <v>1546</v>
      </c>
      <c r="Q1494" s="22" t="s">
        <v>1536</v>
      </c>
      <c r="R1494" s="22" t="s">
        <v>713</v>
      </c>
      <c r="S1494" s="22"/>
      <c r="T1494" s="22"/>
      <c r="V1494" s="26" t="s">
        <v>1936</v>
      </c>
      <c r="W1494" s="6">
        <v>1</v>
      </c>
    </row>
    <row r="1495" spans="1:23">
      <c r="A1495" t="s">
        <v>3432</v>
      </c>
      <c r="B1495" s="8">
        <v>45292</v>
      </c>
      <c r="C1495" t="s">
        <v>364</v>
      </c>
      <c r="D1495" t="s">
        <v>1597</v>
      </c>
      <c r="E1495" t="s">
        <v>1901</v>
      </c>
      <c r="F1495">
        <v>2</v>
      </c>
      <c r="G1495" s="10">
        <v>428.55</v>
      </c>
      <c r="H1495" s="13">
        <v>0</v>
      </c>
      <c r="I1495" t="s">
        <v>1933</v>
      </c>
      <c r="J1495" s="16">
        <v>857.1</v>
      </c>
      <c r="K1495" s="19">
        <f t="shared" si="115"/>
        <v>537451.4878999996</v>
      </c>
      <c r="L1495" s="22">
        <f t="shared" si="116"/>
        <v>1060.0621063116364</v>
      </c>
      <c r="M1495" s="22">
        <f t="shared" si="117"/>
        <v>167</v>
      </c>
      <c r="N1495" s="22" t="str">
        <f t="shared" si="118"/>
        <v>Low Value</v>
      </c>
      <c r="O1495" s="22" t="str">
        <f t="shared" si="119"/>
        <v>Jan-2024</v>
      </c>
      <c r="P1495" s="22" t="s">
        <v>1598</v>
      </c>
      <c r="Q1495" s="22" t="s">
        <v>1569</v>
      </c>
      <c r="R1495" s="22" t="s">
        <v>365</v>
      </c>
      <c r="S1495" s="22"/>
      <c r="T1495" s="22"/>
      <c r="V1495" s="26" t="s">
        <v>1931</v>
      </c>
      <c r="W1495" s="6">
        <v>5</v>
      </c>
    </row>
    <row r="1496" spans="1:23">
      <c r="A1496" t="s">
        <v>3433</v>
      </c>
      <c r="B1496" s="8">
        <v>45251</v>
      </c>
      <c r="C1496" t="s">
        <v>738</v>
      </c>
      <c r="D1496" t="s">
        <v>1572</v>
      </c>
      <c r="E1496" t="s">
        <v>1908</v>
      </c>
      <c r="F1496">
        <v>4</v>
      </c>
      <c r="G1496" s="10">
        <v>316.18</v>
      </c>
      <c r="H1496" s="13">
        <v>0.12</v>
      </c>
      <c r="I1496" t="s">
        <v>1931</v>
      </c>
      <c r="J1496" s="16">
        <v>1112.9536000000001</v>
      </c>
      <c r="K1496" s="19">
        <f t="shared" si="115"/>
        <v>536594.38789999974</v>
      </c>
      <c r="L1496" s="22">
        <f t="shared" si="116"/>
        <v>1060.4632171936753</v>
      </c>
      <c r="M1496" s="22">
        <f t="shared" si="117"/>
        <v>166</v>
      </c>
      <c r="N1496" s="22" t="str">
        <f t="shared" si="118"/>
        <v>High Value</v>
      </c>
      <c r="O1496" s="22" t="str">
        <f t="shared" si="119"/>
        <v>Nov-2023</v>
      </c>
      <c r="P1496" s="22" t="s">
        <v>1573</v>
      </c>
      <c r="Q1496" s="22" t="s">
        <v>1560</v>
      </c>
      <c r="R1496" s="22" t="s">
        <v>739</v>
      </c>
      <c r="S1496" s="22"/>
      <c r="T1496" s="22"/>
      <c r="V1496" s="26" t="s">
        <v>1933</v>
      </c>
      <c r="W1496" s="6">
        <v>1</v>
      </c>
    </row>
    <row r="1497" spans="1:23">
      <c r="A1497" t="s">
        <v>3434</v>
      </c>
      <c r="B1497" s="8">
        <v>45555</v>
      </c>
      <c r="C1497" t="s">
        <v>39</v>
      </c>
      <c r="D1497" t="s">
        <v>1583</v>
      </c>
      <c r="E1497" t="s">
        <v>1873</v>
      </c>
      <c r="F1497">
        <v>3</v>
      </c>
      <c r="G1497" s="10">
        <v>162.16999999999999</v>
      </c>
      <c r="H1497" s="13">
        <v>0.15</v>
      </c>
      <c r="I1497" t="s">
        <v>1933</v>
      </c>
      <c r="J1497" s="16">
        <v>413.5335</v>
      </c>
      <c r="K1497" s="19">
        <f t="shared" si="115"/>
        <v>535481.43429999962</v>
      </c>
      <c r="L1497" s="22">
        <f t="shared" si="116"/>
        <v>1060.3592758415834</v>
      </c>
      <c r="M1497" s="22">
        <f t="shared" si="117"/>
        <v>166</v>
      </c>
      <c r="N1497" s="22" t="str">
        <f t="shared" si="118"/>
        <v>Low Value</v>
      </c>
      <c r="O1497" s="22" t="str">
        <f t="shared" si="119"/>
        <v>Sep-2024</v>
      </c>
      <c r="P1497" s="22" t="s">
        <v>1584</v>
      </c>
      <c r="Q1497" s="22" t="s">
        <v>1531</v>
      </c>
      <c r="R1497" s="22" t="s">
        <v>40</v>
      </c>
      <c r="S1497" s="22"/>
      <c r="T1497" s="22"/>
      <c r="V1497" s="25" t="s">
        <v>299</v>
      </c>
      <c r="W1497" s="6">
        <v>4</v>
      </c>
    </row>
    <row r="1498" spans="1:23">
      <c r="A1498" t="s">
        <v>3435</v>
      </c>
      <c r="B1498" s="8">
        <v>45385</v>
      </c>
      <c r="C1498" t="s">
        <v>1037</v>
      </c>
      <c r="D1498" t="s">
        <v>1545</v>
      </c>
      <c r="E1498" t="s">
        <v>1873</v>
      </c>
      <c r="F1498">
        <v>3</v>
      </c>
      <c r="G1498" s="10">
        <v>698.14</v>
      </c>
      <c r="H1498" s="13">
        <v>0.04</v>
      </c>
      <c r="I1498" t="s">
        <v>1933</v>
      </c>
      <c r="J1498" s="16">
        <v>2010.6432</v>
      </c>
      <c r="K1498" s="19">
        <f t="shared" si="115"/>
        <v>535067.90079999971</v>
      </c>
      <c r="L1498" s="22">
        <f t="shared" si="116"/>
        <v>1061.6426603174598</v>
      </c>
      <c r="M1498" s="22">
        <f t="shared" si="117"/>
        <v>165</v>
      </c>
      <c r="N1498" s="22" t="str">
        <f t="shared" si="118"/>
        <v>High Value</v>
      </c>
      <c r="O1498" s="22" t="str">
        <f t="shared" si="119"/>
        <v>Apr-2024</v>
      </c>
      <c r="P1498" s="22" t="s">
        <v>1546</v>
      </c>
      <c r="Q1498" s="22" t="s">
        <v>1536</v>
      </c>
      <c r="R1498" s="22" t="s">
        <v>1038</v>
      </c>
      <c r="S1498" s="22"/>
      <c r="T1498" s="22"/>
      <c r="V1498" s="26" t="s">
        <v>1936</v>
      </c>
      <c r="W1498" s="6">
        <v>1</v>
      </c>
    </row>
    <row r="1499" spans="1:23">
      <c r="A1499" t="s">
        <v>3436</v>
      </c>
      <c r="B1499" s="8">
        <v>45787</v>
      </c>
      <c r="C1499" t="s">
        <v>975</v>
      </c>
      <c r="D1499" t="s">
        <v>1777</v>
      </c>
      <c r="E1499" t="s">
        <v>1917</v>
      </c>
      <c r="F1499">
        <v>1</v>
      </c>
      <c r="G1499" s="10">
        <v>478.08</v>
      </c>
      <c r="H1499" s="13">
        <v>7.0000000000000007E-2</v>
      </c>
      <c r="I1499" t="s">
        <v>1936</v>
      </c>
      <c r="J1499" s="16">
        <v>444.61439999999988</v>
      </c>
      <c r="K1499" s="19">
        <f t="shared" si="115"/>
        <v>533057.25759999978</v>
      </c>
      <c r="L1499" s="22">
        <f t="shared" si="116"/>
        <v>1059.7559793240553</v>
      </c>
      <c r="M1499" s="22">
        <f t="shared" si="117"/>
        <v>164</v>
      </c>
      <c r="N1499" s="22" t="str">
        <f t="shared" si="118"/>
        <v>Low Value</v>
      </c>
      <c r="O1499" s="22" t="str">
        <f t="shared" si="119"/>
        <v>May-2025</v>
      </c>
      <c r="P1499" s="22" t="s">
        <v>1778</v>
      </c>
      <c r="Q1499" s="22" t="s">
        <v>1531</v>
      </c>
      <c r="R1499" s="22" t="s">
        <v>976</v>
      </c>
      <c r="S1499" s="22"/>
      <c r="T1499" s="22"/>
      <c r="V1499" s="26" t="s">
        <v>1933</v>
      </c>
      <c r="W1499" s="6">
        <v>3</v>
      </c>
    </row>
    <row r="1500" spans="1:23">
      <c r="A1500" t="s">
        <v>3437</v>
      </c>
      <c r="B1500" s="8">
        <v>45822</v>
      </c>
      <c r="C1500" t="s">
        <v>676</v>
      </c>
      <c r="D1500" t="s">
        <v>1731</v>
      </c>
      <c r="E1500" t="s">
        <v>1886</v>
      </c>
      <c r="F1500">
        <v>2</v>
      </c>
      <c r="G1500" s="10">
        <v>958.64</v>
      </c>
      <c r="H1500" s="13">
        <v>0.2</v>
      </c>
      <c r="I1500" t="s">
        <v>1933</v>
      </c>
      <c r="J1500" s="16">
        <v>1533.8240000000001</v>
      </c>
      <c r="K1500" s="19">
        <f t="shared" si="115"/>
        <v>532612.6431999997</v>
      </c>
      <c r="L1500" s="22">
        <f t="shared" si="116"/>
        <v>1060.9813609561747</v>
      </c>
      <c r="M1500" s="22">
        <f t="shared" si="117"/>
        <v>164</v>
      </c>
      <c r="N1500" s="22" t="str">
        <f t="shared" si="118"/>
        <v>High Value</v>
      </c>
      <c r="O1500" s="22" t="str">
        <f t="shared" si="119"/>
        <v>Jun-2025</v>
      </c>
      <c r="P1500" s="22" t="s">
        <v>1732</v>
      </c>
      <c r="Q1500" s="22" t="s">
        <v>1555</v>
      </c>
      <c r="R1500" s="22" t="s">
        <v>677</v>
      </c>
      <c r="S1500" s="22"/>
      <c r="T1500" s="22"/>
      <c r="V1500" s="25" t="s">
        <v>665</v>
      </c>
      <c r="W1500" s="6">
        <v>10</v>
      </c>
    </row>
    <row r="1501" spans="1:23">
      <c r="A1501" t="s">
        <v>3438</v>
      </c>
      <c r="B1501" s="8">
        <v>45590</v>
      </c>
      <c r="C1501" t="s">
        <v>1943</v>
      </c>
      <c r="D1501" t="s">
        <v>1675</v>
      </c>
      <c r="E1501" t="s">
        <v>1901</v>
      </c>
      <c r="F1501">
        <v>2</v>
      </c>
      <c r="G1501" s="10">
        <v>581.19000000000005</v>
      </c>
      <c r="H1501" s="13">
        <v>7.0000000000000007E-2</v>
      </c>
      <c r="I1501" t="s">
        <v>1936</v>
      </c>
      <c r="J1501" s="16">
        <v>1081.0134</v>
      </c>
      <c r="K1501" s="19">
        <f t="shared" si="115"/>
        <v>531078.81919999979</v>
      </c>
      <c r="L1501" s="22">
        <f t="shared" si="116"/>
        <v>1060.0375632734526</v>
      </c>
      <c r="M1501" s="22">
        <f t="shared" si="117"/>
        <v>163</v>
      </c>
      <c r="N1501" s="22" t="str">
        <f t="shared" si="118"/>
        <v>High Value</v>
      </c>
      <c r="O1501" s="22" t="str">
        <f t="shared" si="119"/>
        <v>Oct-2024</v>
      </c>
      <c r="P1501" s="22" t="s">
        <v>1676</v>
      </c>
      <c r="Q1501" s="22" t="s">
        <v>1569</v>
      </c>
      <c r="R1501" s="22" t="s">
        <v>1422</v>
      </c>
      <c r="S1501" s="22"/>
      <c r="T1501" s="22"/>
      <c r="V1501" s="26" t="s">
        <v>1931</v>
      </c>
      <c r="W1501" s="6">
        <v>5</v>
      </c>
    </row>
    <row r="1502" spans="1:23">
      <c r="A1502" t="s">
        <v>3439</v>
      </c>
      <c r="B1502" s="8">
        <v>45618</v>
      </c>
      <c r="C1502" t="s">
        <v>388</v>
      </c>
      <c r="D1502" t="s">
        <v>1852</v>
      </c>
      <c r="E1502" t="s">
        <v>1899</v>
      </c>
      <c r="F1502">
        <v>1</v>
      </c>
      <c r="G1502" s="10">
        <v>736.54</v>
      </c>
      <c r="H1502" s="13">
        <v>0.16</v>
      </c>
      <c r="I1502" t="s">
        <v>1933</v>
      </c>
      <c r="J1502" s="16">
        <v>618.69359999999995</v>
      </c>
      <c r="K1502" s="19">
        <f t="shared" si="115"/>
        <v>529997.80579999974</v>
      </c>
      <c r="L1502" s="22">
        <f t="shared" si="116"/>
        <v>1059.9956115999994</v>
      </c>
      <c r="M1502" s="22">
        <f t="shared" si="117"/>
        <v>163</v>
      </c>
      <c r="N1502" s="22" t="str">
        <f t="shared" si="118"/>
        <v>Low Value</v>
      </c>
      <c r="O1502" s="22" t="str">
        <f t="shared" si="119"/>
        <v>Nov-2024</v>
      </c>
      <c r="P1502" s="22" t="s">
        <v>1853</v>
      </c>
      <c r="Q1502" s="22" t="s">
        <v>1560</v>
      </c>
      <c r="R1502" s="22" t="s">
        <v>389</v>
      </c>
      <c r="S1502" s="22"/>
      <c r="T1502" s="22"/>
      <c r="V1502" s="26" t="s">
        <v>1933</v>
      </c>
      <c r="W1502" s="6">
        <v>5</v>
      </c>
    </row>
    <row r="1503" spans="1:23">
      <c r="A1503" t="s">
        <v>3440</v>
      </c>
      <c r="B1503" s="8">
        <v>45586</v>
      </c>
      <c r="C1503" t="s">
        <v>1242</v>
      </c>
      <c r="D1503" t="s">
        <v>1749</v>
      </c>
      <c r="E1503" t="s">
        <v>1908</v>
      </c>
      <c r="F1503">
        <v>1</v>
      </c>
      <c r="G1503" s="10">
        <v>524</v>
      </c>
      <c r="H1503" s="13">
        <v>0.28000000000000003</v>
      </c>
      <c r="I1503" t="s">
        <v>1931</v>
      </c>
      <c r="J1503" s="16">
        <v>377.28</v>
      </c>
      <c r="K1503" s="19">
        <f t="shared" si="115"/>
        <v>529379.11219999974</v>
      </c>
      <c r="L1503" s="22">
        <f t="shared" si="116"/>
        <v>1060.879984368737</v>
      </c>
      <c r="M1503" s="22">
        <f t="shared" si="117"/>
        <v>162</v>
      </c>
      <c r="N1503" s="22" t="str">
        <f t="shared" si="118"/>
        <v>Low Value</v>
      </c>
      <c r="O1503" s="22" t="str">
        <f t="shared" si="119"/>
        <v>Oct-2024</v>
      </c>
      <c r="P1503" s="22" t="s">
        <v>1750</v>
      </c>
      <c r="Q1503" s="22" t="s">
        <v>1569</v>
      </c>
      <c r="R1503" s="22" t="s">
        <v>1243</v>
      </c>
      <c r="S1503" s="22"/>
      <c r="T1503" s="22"/>
      <c r="V1503" s="25" t="s">
        <v>997</v>
      </c>
      <c r="W1503" s="6">
        <v>7</v>
      </c>
    </row>
    <row r="1504" spans="1:23">
      <c r="A1504" t="s">
        <v>3441</v>
      </c>
      <c r="B1504" s="8">
        <v>45548</v>
      </c>
      <c r="C1504" t="s">
        <v>176</v>
      </c>
      <c r="D1504" t="s">
        <v>1633</v>
      </c>
      <c r="E1504" t="s">
        <v>1873</v>
      </c>
      <c r="F1504">
        <v>4</v>
      </c>
      <c r="G1504" s="10">
        <v>566.09</v>
      </c>
      <c r="H1504" s="13">
        <v>0.28000000000000003</v>
      </c>
      <c r="I1504" t="s">
        <v>1936</v>
      </c>
      <c r="J1504" s="16">
        <v>1630.3391999999999</v>
      </c>
      <c r="K1504" s="19">
        <f t="shared" si="115"/>
        <v>529001.83219999971</v>
      </c>
      <c r="L1504" s="22">
        <f t="shared" si="116"/>
        <v>1062.2526751004011</v>
      </c>
      <c r="M1504" s="22">
        <f t="shared" si="117"/>
        <v>162</v>
      </c>
      <c r="N1504" s="22" t="str">
        <f t="shared" si="118"/>
        <v>High Value</v>
      </c>
      <c r="O1504" s="22" t="str">
        <f t="shared" si="119"/>
        <v>Sep-2024</v>
      </c>
      <c r="P1504" s="22" t="s">
        <v>1634</v>
      </c>
      <c r="Q1504" s="22" t="s">
        <v>1569</v>
      </c>
      <c r="R1504" s="22" t="s">
        <v>3945</v>
      </c>
      <c r="S1504" s="22"/>
      <c r="T1504" s="22"/>
      <c r="V1504" s="26" t="s">
        <v>1936</v>
      </c>
      <c r="W1504" s="6">
        <v>3</v>
      </c>
    </row>
    <row r="1505" spans="1:23">
      <c r="A1505" t="s">
        <v>3442</v>
      </c>
      <c r="B1505" s="8">
        <v>45772</v>
      </c>
      <c r="C1505" t="s">
        <v>827</v>
      </c>
      <c r="D1505" t="s">
        <v>1610</v>
      </c>
      <c r="E1505" t="s">
        <v>1896</v>
      </c>
      <c r="F1505">
        <v>1</v>
      </c>
      <c r="G1505" s="10">
        <v>251.99</v>
      </c>
      <c r="H1505" s="13">
        <v>0.09</v>
      </c>
      <c r="I1505" t="s">
        <v>1931</v>
      </c>
      <c r="J1505" s="16">
        <v>229.3109</v>
      </c>
      <c r="K1505" s="19">
        <f t="shared" si="115"/>
        <v>527371.49299999978</v>
      </c>
      <c r="L1505" s="22">
        <f t="shared" si="116"/>
        <v>1061.1096438631787</v>
      </c>
      <c r="M1505" s="22">
        <f t="shared" si="117"/>
        <v>162</v>
      </c>
      <c r="N1505" s="22" t="str">
        <f t="shared" si="118"/>
        <v>Low Value</v>
      </c>
      <c r="O1505" s="22" t="str">
        <f t="shared" si="119"/>
        <v>Apr-2025</v>
      </c>
      <c r="P1505" s="22" t="s">
        <v>1611</v>
      </c>
      <c r="Q1505" s="22" t="s">
        <v>1560</v>
      </c>
      <c r="R1505" s="22" t="s">
        <v>828</v>
      </c>
      <c r="S1505" s="22"/>
      <c r="T1505" s="22"/>
      <c r="V1505" s="26" t="s">
        <v>1933</v>
      </c>
      <c r="W1505" s="6">
        <v>4</v>
      </c>
    </row>
    <row r="1506" spans="1:23">
      <c r="A1506" t="s">
        <v>3443</v>
      </c>
      <c r="B1506" s="8">
        <v>45361</v>
      </c>
      <c r="C1506" t="s">
        <v>716</v>
      </c>
      <c r="D1506" t="s">
        <v>1597</v>
      </c>
      <c r="E1506" t="s">
        <v>1920</v>
      </c>
      <c r="F1506">
        <v>1</v>
      </c>
      <c r="G1506" s="10">
        <v>259.2</v>
      </c>
      <c r="H1506" s="13">
        <v>0.27</v>
      </c>
      <c r="I1506" t="s">
        <v>1936</v>
      </c>
      <c r="J1506" s="16">
        <v>189.21600000000001</v>
      </c>
      <c r="K1506" s="19">
        <f t="shared" si="115"/>
        <v>527142.18209999986</v>
      </c>
      <c r="L1506" s="22">
        <f t="shared" si="116"/>
        <v>1062.7866574596771</v>
      </c>
      <c r="M1506" s="22">
        <f t="shared" si="117"/>
        <v>162</v>
      </c>
      <c r="N1506" s="22" t="str">
        <f t="shared" si="118"/>
        <v>Low Value</v>
      </c>
      <c r="O1506" s="22" t="str">
        <f t="shared" si="119"/>
        <v>Mar-2024</v>
      </c>
      <c r="P1506" s="22" t="s">
        <v>1598</v>
      </c>
      <c r="Q1506" s="22" t="s">
        <v>1569</v>
      </c>
      <c r="R1506" s="22" t="s">
        <v>717</v>
      </c>
      <c r="S1506" s="22"/>
      <c r="T1506" s="22"/>
      <c r="V1506" s="25" t="s">
        <v>1203</v>
      </c>
      <c r="W1506" s="6">
        <v>3</v>
      </c>
    </row>
    <row r="1507" spans="1:23">
      <c r="A1507" t="s">
        <v>3444</v>
      </c>
      <c r="B1507" s="8">
        <v>45235</v>
      </c>
      <c r="C1507" t="s">
        <v>1371</v>
      </c>
      <c r="D1507" t="s">
        <v>1731</v>
      </c>
      <c r="E1507" t="s">
        <v>1908</v>
      </c>
      <c r="F1507">
        <v>1</v>
      </c>
      <c r="G1507" s="10">
        <v>935.66</v>
      </c>
      <c r="H1507" s="13">
        <v>0.26</v>
      </c>
      <c r="I1507" t="s">
        <v>1933</v>
      </c>
      <c r="J1507" s="16">
        <v>692.38839999999993</v>
      </c>
      <c r="K1507" s="19">
        <f t="shared" si="115"/>
        <v>526952.96609999985</v>
      </c>
      <c r="L1507" s="22">
        <f t="shared" si="116"/>
        <v>1064.5514466666664</v>
      </c>
      <c r="M1507" s="22">
        <f t="shared" si="117"/>
        <v>162</v>
      </c>
      <c r="N1507" s="22" t="str">
        <f t="shared" si="118"/>
        <v>Low Value</v>
      </c>
      <c r="O1507" s="22" t="str">
        <f t="shared" si="119"/>
        <v>Nov-2023</v>
      </c>
      <c r="P1507" s="22" t="s">
        <v>1732</v>
      </c>
      <c r="Q1507" s="22" t="s">
        <v>1555</v>
      </c>
      <c r="R1507" s="22" t="s">
        <v>1372</v>
      </c>
      <c r="S1507" s="22"/>
      <c r="T1507" s="22"/>
      <c r="V1507" s="26" t="s">
        <v>1936</v>
      </c>
      <c r="W1507" s="6">
        <v>1</v>
      </c>
    </row>
    <row r="1508" spans="1:23">
      <c r="A1508" t="s">
        <v>3445</v>
      </c>
      <c r="B1508" s="8">
        <v>45864</v>
      </c>
      <c r="C1508" t="s">
        <v>1436</v>
      </c>
      <c r="D1508" t="s">
        <v>1655</v>
      </c>
      <c r="E1508" t="s">
        <v>1889</v>
      </c>
      <c r="F1508">
        <v>4</v>
      </c>
      <c r="G1508" s="10">
        <v>480.75</v>
      </c>
      <c r="H1508" s="13">
        <v>0.02</v>
      </c>
      <c r="I1508" t="s">
        <v>1931</v>
      </c>
      <c r="J1508" s="16">
        <v>1884.54</v>
      </c>
      <c r="K1508" s="19">
        <f t="shared" si="115"/>
        <v>526260.57769999979</v>
      </c>
      <c r="L1508" s="22">
        <f t="shared" si="116"/>
        <v>1065.3048131578944</v>
      </c>
      <c r="M1508" s="22">
        <f t="shared" si="117"/>
        <v>161</v>
      </c>
      <c r="N1508" s="22" t="str">
        <f t="shared" si="118"/>
        <v>High Value</v>
      </c>
      <c r="O1508" s="22" t="str">
        <f t="shared" si="119"/>
        <v>Jul-2025</v>
      </c>
      <c r="P1508" s="22" t="s">
        <v>1656</v>
      </c>
      <c r="Q1508" s="22" t="s">
        <v>1560</v>
      </c>
      <c r="R1508" s="22" t="s">
        <v>1437</v>
      </c>
      <c r="S1508" s="22"/>
      <c r="T1508" s="22"/>
      <c r="V1508" s="26" t="s">
        <v>1931</v>
      </c>
      <c r="W1508" s="6">
        <v>2</v>
      </c>
    </row>
    <row r="1509" spans="1:23">
      <c r="A1509" t="s">
        <v>3446</v>
      </c>
      <c r="B1509" s="8">
        <v>45681</v>
      </c>
      <c r="C1509" t="s">
        <v>1148</v>
      </c>
      <c r="D1509" t="s">
        <v>1798</v>
      </c>
      <c r="E1509" t="s">
        <v>1908</v>
      </c>
      <c r="F1509">
        <v>2</v>
      </c>
      <c r="G1509" s="10">
        <v>457.83</v>
      </c>
      <c r="H1509" s="13">
        <v>0.01</v>
      </c>
      <c r="I1509" t="s">
        <v>1936</v>
      </c>
      <c r="J1509" s="16">
        <v>906.50339999999994</v>
      </c>
      <c r="K1509" s="19">
        <f t="shared" si="115"/>
        <v>524376.03769999987</v>
      </c>
      <c r="L1509" s="22">
        <f t="shared" si="116"/>
        <v>1063.6430784989855</v>
      </c>
      <c r="M1509" s="22">
        <f t="shared" si="117"/>
        <v>161</v>
      </c>
      <c r="N1509" s="22" t="str">
        <f t="shared" si="118"/>
        <v>Low Value</v>
      </c>
      <c r="O1509" s="22" t="str">
        <f t="shared" si="119"/>
        <v>Jan-2025</v>
      </c>
      <c r="P1509" s="22" t="s">
        <v>1799</v>
      </c>
      <c r="Q1509" s="22" t="s">
        <v>1569</v>
      </c>
      <c r="R1509" s="22" t="s">
        <v>1149</v>
      </c>
      <c r="S1509" s="22"/>
      <c r="T1509" s="22"/>
      <c r="V1509" s="25" t="s">
        <v>745</v>
      </c>
      <c r="W1509" s="6">
        <v>4</v>
      </c>
    </row>
    <row r="1510" spans="1:23">
      <c r="A1510" t="s">
        <v>3447</v>
      </c>
      <c r="B1510" s="8">
        <v>45905</v>
      </c>
      <c r="C1510" t="s">
        <v>545</v>
      </c>
      <c r="D1510" t="s">
        <v>1697</v>
      </c>
      <c r="E1510" t="s">
        <v>1906</v>
      </c>
      <c r="F1510">
        <v>1</v>
      </c>
      <c r="G1510" s="10">
        <v>994.63</v>
      </c>
      <c r="H1510" s="13">
        <v>0.28000000000000003</v>
      </c>
      <c r="I1510" t="s">
        <v>1931</v>
      </c>
      <c r="J1510" s="16">
        <v>716.1336</v>
      </c>
      <c r="K1510" s="19">
        <f t="shared" si="115"/>
        <v>523469.53429999988</v>
      </c>
      <c r="L1510" s="22">
        <f t="shared" si="116"/>
        <v>1063.9624680894306</v>
      </c>
      <c r="M1510" s="22">
        <f t="shared" si="117"/>
        <v>161</v>
      </c>
      <c r="N1510" s="22" t="str">
        <f t="shared" si="118"/>
        <v>Low Value</v>
      </c>
      <c r="O1510" s="22" t="str">
        <f t="shared" si="119"/>
        <v>Sep-2025</v>
      </c>
      <c r="P1510" s="22" t="s">
        <v>1698</v>
      </c>
      <c r="Q1510" s="22" t="s">
        <v>1531</v>
      </c>
      <c r="R1510" s="22" t="s">
        <v>546</v>
      </c>
      <c r="S1510" s="22"/>
      <c r="T1510" s="22"/>
      <c r="V1510" s="26" t="s">
        <v>1936</v>
      </c>
      <c r="W1510" s="6">
        <v>3</v>
      </c>
    </row>
    <row r="1511" spans="1:23">
      <c r="A1511" t="s">
        <v>3448</v>
      </c>
      <c r="B1511" s="8">
        <v>45765</v>
      </c>
      <c r="C1511" t="s">
        <v>786</v>
      </c>
      <c r="D1511" t="s">
        <v>1825</v>
      </c>
      <c r="E1511" t="s">
        <v>1859</v>
      </c>
      <c r="F1511">
        <v>3</v>
      </c>
      <c r="G1511" s="10">
        <v>65.569999999999993</v>
      </c>
      <c r="H1511" s="13">
        <v>0.3</v>
      </c>
      <c r="I1511" t="s">
        <v>1936</v>
      </c>
      <c r="J1511" s="16">
        <v>137.697</v>
      </c>
      <c r="K1511" s="19">
        <f t="shared" si="115"/>
        <v>522753.40069999994</v>
      </c>
      <c r="L1511" s="22">
        <f t="shared" si="116"/>
        <v>1064.6708771894093</v>
      </c>
      <c r="M1511" s="22">
        <f t="shared" si="117"/>
        <v>161</v>
      </c>
      <c r="N1511" s="22" t="str">
        <f t="shared" si="118"/>
        <v>Low Value</v>
      </c>
      <c r="O1511" s="22" t="str">
        <f t="shared" si="119"/>
        <v>Apr-2025</v>
      </c>
      <c r="P1511" s="22" t="s">
        <v>1826</v>
      </c>
      <c r="Q1511" s="22" t="s">
        <v>1531</v>
      </c>
      <c r="R1511" s="22" t="s">
        <v>787</v>
      </c>
      <c r="S1511" s="22"/>
      <c r="T1511" s="22"/>
      <c r="V1511" s="26" t="s">
        <v>1933</v>
      </c>
      <c r="W1511" s="6">
        <v>1</v>
      </c>
    </row>
    <row r="1512" spans="1:23">
      <c r="A1512" t="s">
        <v>3449</v>
      </c>
      <c r="B1512" s="8">
        <v>45821</v>
      </c>
      <c r="C1512" t="s">
        <v>533</v>
      </c>
      <c r="D1512" t="s">
        <v>1728</v>
      </c>
      <c r="E1512" t="s">
        <v>1914</v>
      </c>
      <c r="F1512">
        <v>3</v>
      </c>
      <c r="G1512" s="10">
        <v>622.98</v>
      </c>
      <c r="H1512" s="13">
        <v>0.28000000000000003</v>
      </c>
      <c r="I1512" t="s">
        <v>1933</v>
      </c>
      <c r="J1512" s="16">
        <v>1345.6368</v>
      </c>
      <c r="K1512" s="19">
        <f t="shared" si="115"/>
        <v>522615.7036999999</v>
      </c>
      <c r="L1512" s="22">
        <f t="shared" si="116"/>
        <v>1066.5626606122446</v>
      </c>
      <c r="M1512" s="22">
        <f t="shared" si="117"/>
        <v>161</v>
      </c>
      <c r="N1512" s="22" t="str">
        <f t="shared" si="118"/>
        <v>High Value</v>
      </c>
      <c r="O1512" s="22" t="str">
        <f t="shared" si="119"/>
        <v>Jun-2025</v>
      </c>
      <c r="P1512" s="22" t="s">
        <v>1729</v>
      </c>
      <c r="Q1512" s="22" t="s">
        <v>1536</v>
      </c>
      <c r="R1512" s="22" t="s">
        <v>534</v>
      </c>
      <c r="S1512" s="22"/>
      <c r="T1512" s="22"/>
      <c r="V1512" s="25" t="s">
        <v>742</v>
      </c>
      <c r="W1512" s="6">
        <v>6</v>
      </c>
    </row>
    <row r="1513" spans="1:23">
      <c r="A1513" t="s">
        <v>3450</v>
      </c>
      <c r="B1513" s="8">
        <v>45691</v>
      </c>
      <c r="C1513" t="s">
        <v>801</v>
      </c>
      <c r="D1513" t="s">
        <v>1719</v>
      </c>
      <c r="E1513" t="s">
        <v>1904</v>
      </c>
      <c r="F1513">
        <v>1</v>
      </c>
      <c r="G1513" s="10">
        <v>170.68</v>
      </c>
      <c r="H1513" s="13">
        <v>0.13</v>
      </c>
      <c r="I1513" t="s">
        <v>1933</v>
      </c>
      <c r="J1513" s="16">
        <v>148.49160000000001</v>
      </c>
      <c r="K1513" s="19">
        <f t="shared" si="115"/>
        <v>521270.06689999992</v>
      </c>
      <c r="L1513" s="22">
        <f t="shared" si="116"/>
        <v>1065.9919568507155</v>
      </c>
      <c r="M1513" s="22">
        <f t="shared" si="117"/>
        <v>160</v>
      </c>
      <c r="N1513" s="22" t="str">
        <f t="shared" si="118"/>
        <v>Low Value</v>
      </c>
      <c r="O1513" s="22" t="str">
        <f t="shared" si="119"/>
        <v>Feb-2025</v>
      </c>
      <c r="P1513" s="22" t="s">
        <v>1720</v>
      </c>
      <c r="Q1513" s="22" t="s">
        <v>1560</v>
      </c>
      <c r="R1513" s="22" t="s">
        <v>802</v>
      </c>
      <c r="S1513" s="22"/>
      <c r="T1513" s="22"/>
      <c r="V1513" s="26" t="s">
        <v>1936</v>
      </c>
      <c r="W1513" s="6">
        <v>1</v>
      </c>
    </row>
    <row r="1514" spans="1:23">
      <c r="A1514" t="s">
        <v>3451</v>
      </c>
      <c r="B1514" s="8">
        <v>45860</v>
      </c>
      <c r="C1514" t="s">
        <v>339</v>
      </c>
      <c r="D1514" t="s">
        <v>1558</v>
      </c>
      <c r="E1514" t="s">
        <v>1889</v>
      </c>
      <c r="F1514">
        <v>4</v>
      </c>
      <c r="G1514" s="10">
        <v>797.83</v>
      </c>
      <c r="H1514" s="13">
        <v>0.08</v>
      </c>
      <c r="I1514" t="s">
        <v>1931</v>
      </c>
      <c r="J1514" s="16">
        <v>2936.0144</v>
      </c>
      <c r="K1514" s="19">
        <f t="shared" si="115"/>
        <v>521121.57529999997</v>
      </c>
      <c r="L1514" s="22">
        <f t="shared" si="116"/>
        <v>1067.8720805327869</v>
      </c>
      <c r="M1514" s="22">
        <f t="shared" si="117"/>
        <v>159</v>
      </c>
      <c r="N1514" s="22" t="str">
        <f t="shared" si="118"/>
        <v>High Value</v>
      </c>
      <c r="O1514" s="22" t="str">
        <f t="shared" si="119"/>
        <v>Jul-2025</v>
      </c>
      <c r="P1514" s="22" t="s">
        <v>1559</v>
      </c>
      <c r="Q1514" s="22" t="s">
        <v>1560</v>
      </c>
      <c r="R1514" s="22" t="s">
        <v>340</v>
      </c>
      <c r="S1514" s="22"/>
      <c r="T1514" s="22"/>
      <c r="V1514" s="26" t="s">
        <v>1931</v>
      </c>
      <c r="W1514" s="6">
        <v>1</v>
      </c>
    </row>
    <row r="1515" spans="1:23">
      <c r="A1515" t="s">
        <v>3452</v>
      </c>
      <c r="B1515" s="8">
        <v>45922</v>
      </c>
      <c r="C1515" t="s">
        <v>345</v>
      </c>
      <c r="D1515" t="s">
        <v>1539</v>
      </c>
      <c r="E1515" t="s">
        <v>1911</v>
      </c>
      <c r="F1515">
        <v>1</v>
      </c>
      <c r="G1515" s="10">
        <v>372.75</v>
      </c>
      <c r="H1515" s="13">
        <v>0.12</v>
      </c>
      <c r="I1515" t="s">
        <v>1931</v>
      </c>
      <c r="J1515" s="16">
        <v>328.02</v>
      </c>
      <c r="K1515" s="19">
        <f t="shared" si="115"/>
        <v>518185.56089999998</v>
      </c>
      <c r="L1515" s="22">
        <f t="shared" si="116"/>
        <v>1064.0360593429157</v>
      </c>
      <c r="M1515" s="22">
        <f t="shared" si="117"/>
        <v>159</v>
      </c>
      <c r="N1515" s="22" t="str">
        <f t="shared" si="118"/>
        <v>Low Value</v>
      </c>
      <c r="O1515" s="22" t="str">
        <f t="shared" si="119"/>
        <v>Sep-2025</v>
      </c>
      <c r="P1515" s="22" t="s">
        <v>1540</v>
      </c>
      <c r="Q1515" s="22" t="s">
        <v>1536</v>
      </c>
      <c r="R1515" s="22" t="s">
        <v>346</v>
      </c>
      <c r="S1515" s="22"/>
      <c r="T1515" s="22"/>
      <c r="V1515" s="26" t="s">
        <v>1933</v>
      </c>
      <c r="W1515" s="6">
        <v>4</v>
      </c>
    </row>
    <row r="1516" spans="1:23">
      <c r="A1516" t="s">
        <v>3453</v>
      </c>
      <c r="B1516" s="8">
        <v>45477</v>
      </c>
      <c r="C1516" t="s">
        <v>1229</v>
      </c>
      <c r="D1516" t="s">
        <v>1737</v>
      </c>
      <c r="E1516" t="s">
        <v>1876</v>
      </c>
      <c r="F1516">
        <v>1</v>
      </c>
      <c r="G1516" s="10">
        <v>994.18</v>
      </c>
      <c r="H1516" s="13">
        <v>0.05</v>
      </c>
      <c r="I1516" t="s">
        <v>1933</v>
      </c>
      <c r="J1516" s="16">
        <v>944.47099999999989</v>
      </c>
      <c r="K1516" s="19">
        <f t="shared" si="115"/>
        <v>517857.54089999996</v>
      </c>
      <c r="L1516" s="22">
        <f t="shared" si="116"/>
        <v>1065.5504956790123</v>
      </c>
      <c r="M1516" s="22">
        <f t="shared" si="117"/>
        <v>159</v>
      </c>
      <c r="N1516" s="22" t="str">
        <f t="shared" si="118"/>
        <v>Low Value</v>
      </c>
      <c r="O1516" s="22" t="str">
        <f t="shared" si="119"/>
        <v>Jul-2024</v>
      </c>
      <c r="P1516" s="22" t="s">
        <v>1738</v>
      </c>
      <c r="Q1516" s="22" t="s">
        <v>1569</v>
      </c>
      <c r="R1516" s="22" t="s">
        <v>1230</v>
      </c>
      <c r="S1516" s="22"/>
      <c r="T1516" s="22"/>
      <c r="V1516" s="25" t="s">
        <v>1206</v>
      </c>
      <c r="W1516" s="6">
        <v>17</v>
      </c>
    </row>
    <row r="1517" spans="1:23">
      <c r="A1517" t="s">
        <v>3454</v>
      </c>
      <c r="B1517" s="8">
        <v>45504</v>
      </c>
      <c r="C1517" t="s">
        <v>1302</v>
      </c>
      <c r="D1517" t="s">
        <v>1607</v>
      </c>
      <c r="E1517" t="s">
        <v>1904</v>
      </c>
      <c r="F1517">
        <v>1</v>
      </c>
      <c r="G1517" s="10">
        <v>136.12</v>
      </c>
      <c r="H1517" s="13">
        <v>7.0000000000000007E-2</v>
      </c>
      <c r="I1517" t="s">
        <v>1931</v>
      </c>
      <c r="J1517" s="16">
        <v>126.5916</v>
      </c>
      <c r="K1517" s="19">
        <f t="shared" si="115"/>
        <v>516913.06989999994</v>
      </c>
      <c r="L1517" s="22">
        <f t="shared" si="116"/>
        <v>1065.8001441237113</v>
      </c>
      <c r="M1517" s="22">
        <f t="shared" si="117"/>
        <v>158</v>
      </c>
      <c r="N1517" s="22" t="str">
        <f t="shared" si="118"/>
        <v>Low Value</v>
      </c>
      <c r="O1517" s="22" t="str">
        <f t="shared" si="119"/>
        <v>Jul-2024</v>
      </c>
      <c r="P1517" s="22" t="s">
        <v>1608</v>
      </c>
      <c r="Q1517" s="22" t="s">
        <v>1569</v>
      </c>
      <c r="R1517" s="22" t="s">
        <v>3959</v>
      </c>
      <c r="S1517" s="22"/>
      <c r="T1517" s="22"/>
      <c r="V1517" s="26" t="s">
        <v>1931</v>
      </c>
      <c r="W1517" s="6">
        <v>14</v>
      </c>
    </row>
    <row r="1518" spans="1:23">
      <c r="A1518" t="s">
        <v>3455</v>
      </c>
      <c r="B1518" s="8">
        <v>45862</v>
      </c>
      <c r="C1518" t="s">
        <v>124</v>
      </c>
      <c r="D1518" t="s">
        <v>1710</v>
      </c>
      <c r="E1518" t="s">
        <v>1917</v>
      </c>
      <c r="F1518">
        <v>3</v>
      </c>
      <c r="G1518" s="10">
        <v>634.45000000000005</v>
      </c>
      <c r="H1518" s="13">
        <v>0.17</v>
      </c>
      <c r="I1518" t="s">
        <v>1933</v>
      </c>
      <c r="J1518" s="16">
        <v>1579.7805000000001</v>
      </c>
      <c r="K1518" s="19">
        <f t="shared" si="115"/>
        <v>516786.47829999996</v>
      </c>
      <c r="L1518" s="22">
        <f t="shared" si="116"/>
        <v>1067.7406576446281</v>
      </c>
      <c r="M1518" s="22">
        <f t="shared" si="117"/>
        <v>158</v>
      </c>
      <c r="N1518" s="22" t="str">
        <f t="shared" si="118"/>
        <v>High Value</v>
      </c>
      <c r="O1518" s="22" t="str">
        <f t="shared" si="119"/>
        <v>Jul-2025</v>
      </c>
      <c r="P1518" s="22" t="s">
        <v>1711</v>
      </c>
      <c r="Q1518" s="22" t="s">
        <v>1569</v>
      </c>
      <c r="R1518" s="22" t="s">
        <v>125</v>
      </c>
      <c r="S1518" s="22"/>
      <c r="T1518" s="22"/>
      <c r="V1518" s="26" t="s">
        <v>1933</v>
      </c>
      <c r="W1518" s="6">
        <v>3</v>
      </c>
    </row>
    <row r="1519" spans="1:23">
      <c r="A1519" t="s">
        <v>3456</v>
      </c>
      <c r="B1519" s="8">
        <v>45579</v>
      </c>
      <c r="C1519" t="s">
        <v>1031</v>
      </c>
      <c r="D1519" t="s">
        <v>1746</v>
      </c>
      <c r="E1519" t="s">
        <v>1859</v>
      </c>
      <c r="F1519">
        <v>4</v>
      </c>
      <c r="G1519" s="10">
        <v>179.62</v>
      </c>
      <c r="H1519" s="13">
        <v>0.05</v>
      </c>
      <c r="I1519" t="s">
        <v>1931</v>
      </c>
      <c r="J1519" s="16">
        <v>682.55600000000004</v>
      </c>
      <c r="K1519" s="19">
        <f t="shared" si="115"/>
        <v>515206.69779999997</v>
      </c>
      <c r="L1519" s="22">
        <f t="shared" si="116"/>
        <v>1066.680533747412</v>
      </c>
      <c r="M1519" s="22">
        <f t="shared" si="117"/>
        <v>157</v>
      </c>
      <c r="N1519" s="22" t="str">
        <f t="shared" si="118"/>
        <v>Low Value</v>
      </c>
      <c r="O1519" s="22" t="str">
        <f t="shared" si="119"/>
        <v>Oct-2024</v>
      </c>
      <c r="P1519" s="22" t="s">
        <v>1747</v>
      </c>
      <c r="Q1519" s="22" t="s">
        <v>1555</v>
      </c>
      <c r="R1519" s="22" t="s">
        <v>1032</v>
      </c>
      <c r="S1519" s="22"/>
      <c r="T1519" s="22"/>
      <c r="V1519" s="25" t="s">
        <v>186</v>
      </c>
      <c r="W1519" s="6">
        <v>13</v>
      </c>
    </row>
    <row r="1520" spans="1:23">
      <c r="A1520" t="s">
        <v>3457</v>
      </c>
      <c r="B1520" s="8">
        <v>45658</v>
      </c>
      <c r="C1520" t="s">
        <v>930</v>
      </c>
      <c r="D1520" t="s">
        <v>1607</v>
      </c>
      <c r="E1520" t="s">
        <v>1917</v>
      </c>
      <c r="F1520">
        <v>4</v>
      </c>
      <c r="G1520" s="10">
        <v>558.83000000000004</v>
      </c>
      <c r="H1520" s="13">
        <v>0.16</v>
      </c>
      <c r="I1520" t="s">
        <v>1933</v>
      </c>
      <c r="J1520" s="16">
        <v>1877.6687999999999</v>
      </c>
      <c r="K1520" s="19">
        <f t="shared" si="115"/>
        <v>514524.14179999998</v>
      </c>
      <c r="L1520" s="22">
        <f t="shared" si="116"/>
        <v>1067.4774726141079</v>
      </c>
      <c r="M1520" s="22">
        <f t="shared" si="117"/>
        <v>157</v>
      </c>
      <c r="N1520" s="22" t="str">
        <f t="shared" si="118"/>
        <v>High Value</v>
      </c>
      <c r="O1520" s="22" t="str">
        <f t="shared" si="119"/>
        <v>Jan-2025</v>
      </c>
      <c r="P1520" s="22" t="s">
        <v>1608</v>
      </c>
      <c r="Q1520" s="22" t="s">
        <v>1569</v>
      </c>
      <c r="R1520" s="22" t="s">
        <v>931</v>
      </c>
      <c r="S1520" s="22"/>
      <c r="T1520" s="22"/>
      <c r="V1520" s="26" t="s">
        <v>1936</v>
      </c>
      <c r="W1520" s="6">
        <v>2</v>
      </c>
    </row>
    <row r="1521" spans="1:23">
      <c r="A1521" t="s">
        <v>3458</v>
      </c>
      <c r="B1521" s="8">
        <v>45664</v>
      </c>
      <c r="C1521" t="s">
        <v>565</v>
      </c>
      <c r="D1521" t="s">
        <v>1837</v>
      </c>
      <c r="E1521" t="s">
        <v>1883</v>
      </c>
      <c r="F1521">
        <v>2</v>
      </c>
      <c r="G1521" s="10">
        <v>859.74</v>
      </c>
      <c r="H1521" s="13">
        <v>0.25</v>
      </c>
      <c r="I1521" t="s">
        <v>1936</v>
      </c>
      <c r="J1521" s="16">
        <v>1289.6099999999999</v>
      </c>
      <c r="K1521" s="19">
        <f t="shared" si="115"/>
        <v>512646.473</v>
      </c>
      <c r="L1521" s="22">
        <f t="shared" si="116"/>
        <v>1065.7930831600831</v>
      </c>
      <c r="M1521" s="22">
        <f t="shared" si="117"/>
        <v>156</v>
      </c>
      <c r="N1521" s="22" t="str">
        <f t="shared" si="118"/>
        <v>High Value</v>
      </c>
      <c r="O1521" s="22" t="str">
        <f t="shared" si="119"/>
        <v>Jan-2025</v>
      </c>
      <c r="P1521" s="22" t="s">
        <v>1838</v>
      </c>
      <c r="Q1521" s="22" t="s">
        <v>1555</v>
      </c>
      <c r="R1521" s="22" t="s">
        <v>566</v>
      </c>
      <c r="S1521" s="22"/>
      <c r="T1521" s="22"/>
      <c r="V1521" s="26" t="s">
        <v>1931</v>
      </c>
      <c r="W1521" s="6">
        <v>4</v>
      </c>
    </row>
    <row r="1522" spans="1:23">
      <c r="A1522" t="s">
        <v>3459</v>
      </c>
      <c r="B1522" s="8">
        <v>45936</v>
      </c>
      <c r="C1522" t="s">
        <v>370</v>
      </c>
      <c r="D1522" t="s">
        <v>1749</v>
      </c>
      <c r="E1522" t="s">
        <v>1911</v>
      </c>
      <c r="F1522">
        <v>3</v>
      </c>
      <c r="G1522" s="10">
        <v>578.47</v>
      </c>
      <c r="H1522" s="13">
        <v>0.06</v>
      </c>
      <c r="I1522" t="s">
        <v>1936</v>
      </c>
      <c r="J1522" s="16">
        <v>1631.2854</v>
      </c>
      <c r="K1522" s="19">
        <f t="shared" si="115"/>
        <v>511356.86299999995</v>
      </c>
      <c r="L1522" s="22">
        <f t="shared" si="116"/>
        <v>1065.3267979166665</v>
      </c>
      <c r="M1522" s="22">
        <f t="shared" si="117"/>
        <v>156</v>
      </c>
      <c r="N1522" s="22" t="str">
        <f t="shared" si="118"/>
        <v>High Value</v>
      </c>
      <c r="O1522" s="22" t="str">
        <f t="shared" si="119"/>
        <v>Oct-2025</v>
      </c>
      <c r="P1522" s="22" t="s">
        <v>1750</v>
      </c>
      <c r="Q1522" s="22" t="s">
        <v>1569</v>
      </c>
      <c r="R1522" s="22" t="s">
        <v>371</v>
      </c>
      <c r="S1522" s="22"/>
      <c r="T1522" s="22"/>
      <c r="V1522" s="26" t="s">
        <v>1933</v>
      </c>
      <c r="W1522" s="6">
        <v>7</v>
      </c>
    </row>
    <row r="1523" spans="1:23">
      <c r="A1523" t="s">
        <v>3460</v>
      </c>
      <c r="B1523" s="8">
        <v>45344</v>
      </c>
      <c r="C1523" t="s">
        <v>205</v>
      </c>
      <c r="D1523" t="s">
        <v>1610</v>
      </c>
      <c r="E1523" t="s">
        <v>1901</v>
      </c>
      <c r="F1523">
        <v>1</v>
      </c>
      <c r="G1523" s="10">
        <v>440.48</v>
      </c>
      <c r="H1523" s="13">
        <v>0.11</v>
      </c>
      <c r="I1523" t="s">
        <v>1936</v>
      </c>
      <c r="J1523" s="16">
        <v>392.02720000000011</v>
      </c>
      <c r="K1523" s="19">
        <f t="shared" si="115"/>
        <v>509725.57759999996</v>
      </c>
      <c r="L1523" s="22">
        <f t="shared" si="116"/>
        <v>1064.1452559498955</v>
      </c>
      <c r="M1523" s="22">
        <f t="shared" si="117"/>
        <v>156</v>
      </c>
      <c r="N1523" s="22" t="str">
        <f t="shared" si="118"/>
        <v>Low Value</v>
      </c>
      <c r="O1523" s="22" t="str">
        <f t="shared" si="119"/>
        <v>Feb-2024</v>
      </c>
      <c r="P1523" s="22" t="s">
        <v>1611</v>
      </c>
      <c r="Q1523" s="22" t="s">
        <v>1560</v>
      </c>
      <c r="R1523" s="22" t="s">
        <v>206</v>
      </c>
      <c r="S1523" s="22"/>
      <c r="T1523" s="22"/>
      <c r="V1523" s="25" t="s">
        <v>314</v>
      </c>
      <c r="W1523" s="6">
        <v>4</v>
      </c>
    </row>
    <row r="1524" spans="1:23">
      <c r="A1524" t="s">
        <v>3461</v>
      </c>
      <c r="B1524" s="8">
        <v>45329</v>
      </c>
      <c r="C1524" t="s">
        <v>75</v>
      </c>
      <c r="D1524" t="s">
        <v>1970</v>
      </c>
      <c r="E1524" t="s">
        <v>1920</v>
      </c>
      <c r="F1524">
        <v>2</v>
      </c>
      <c r="G1524" s="10">
        <v>303.67</v>
      </c>
      <c r="H1524" s="13">
        <v>0.05</v>
      </c>
      <c r="I1524" t="s">
        <v>1933</v>
      </c>
      <c r="J1524" s="16">
        <v>576.97299999999996</v>
      </c>
      <c r="K1524" s="19">
        <f t="shared" si="115"/>
        <v>509333.55039999995</v>
      </c>
      <c r="L1524" s="22">
        <f t="shared" si="116"/>
        <v>1065.551360669456</v>
      </c>
      <c r="M1524" s="22">
        <f t="shared" si="117"/>
        <v>156</v>
      </c>
      <c r="N1524" s="22" t="str">
        <f t="shared" si="118"/>
        <v>Low Value</v>
      </c>
      <c r="O1524" s="22" t="str">
        <f t="shared" si="119"/>
        <v>Feb-2024</v>
      </c>
      <c r="P1524" s="22" t="s">
        <v>1594</v>
      </c>
      <c r="Q1524" s="22" t="s">
        <v>1555</v>
      </c>
      <c r="R1524" s="22" t="s">
        <v>76</v>
      </c>
      <c r="S1524" s="22"/>
      <c r="T1524" s="22"/>
      <c r="V1524" s="26" t="s">
        <v>1931</v>
      </c>
      <c r="W1524" s="6">
        <v>2</v>
      </c>
    </row>
    <row r="1525" spans="1:23">
      <c r="A1525" t="s">
        <v>3462</v>
      </c>
      <c r="B1525" s="8">
        <v>45895</v>
      </c>
      <c r="C1525" t="s">
        <v>1052</v>
      </c>
      <c r="D1525" t="s">
        <v>1777</v>
      </c>
      <c r="E1525" t="s">
        <v>1906</v>
      </c>
      <c r="F1525">
        <v>2</v>
      </c>
      <c r="G1525" s="10">
        <v>611.21</v>
      </c>
      <c r="H1525" s="13">
        <v>0.22</v>
      </c>
      <c r="I1525" t="s">
        <v>1936</v>
      </c>
      <c r="J1525" s="16">
        <v>953.48760000000004</v>
      </c>
      <c r="K1525" s="19">
        <f t="shared" si="115"/>
        <v>508756.57739999995</v>
      </c>
      <c r="L1525" s="22">
        <f t="shared" si="116"/>
        <v>1066.575633962264</v>
      </c>
      <c r="M1525" s="22">
        <f t="shared" si="117"/>
        <v>155</v>
      </c>
      <c r="N1525" s="22" t="str">
        <f t="shared" si="118"/>
        <v>Low Value</v>
      </c>
      <c r="O1525" s="22" t="str">
        <f t="shared" si="119"/>
        <v>Aug-2025</v>
      </c>
      <c r="P1525" s="22" t="s">
        <v>1778</v>
      </c>
      <c r="Q1525" s="22" t="s">
        <v>1531</v>
      </c>
      <c r="R1525" s="22" t="s">
        <v>1053</v>
      </c>
      <c r="S1525" s="22"/>
      <c r="T1525" s="22"/>
      <c r="V1525" s="26" t="s">
        <v>1933</v>
      </c>
      <c r="W1525" s="6">
        <v>2</v>
      </c>
    </row>
    <row r="1526" spans="1:23">
      <c r="A1526" t="s">
        <v>3463</v>
      </c>
      <c r="B1526" s="8">
        <v>45239</v>
      </c>
      <c r="C1526" t="s">
        <v>658</v>
      </c>
      <c r="D1526" t="s">
        <v>1668</v>
      </c>
      <c r="E1526" t="s">
        <v>1908</v>
      </c>
      <c r="F1526">
        <v>2</v>
      </c>
      <c r="G1526" s="10">
        <v>768.08</v>
      </c>
      <c r="H1526" s="13">
        <v>0.26</v>
      </c>
      <c r="I1526" t="s">
        <v>1933</v>
      </c>
      <c r="J1526" s="16">
        <v>1136.7583999999999</v>
      </c>
      <c r="K1526" s="19">
        <f t="shared" si="115"/>
        <v>507803.08979999996</v>
      </c>
      <c r="L1526" s="22">
        <f t="shared" si="116"/>
        <v>1066.8132138655462</v>
      </c>
      <c r="M1526" s="22">
        <f t="shared" si="117"/>
        <v>155</v>
      </c>
      <c r="N1526" s="22" t="str">
        <f t="shared" si="118"/>
        <v>High Value</v>
      </c>
      <c r="O1526" s="22" t="str">
        <f t="shared" si="119"/>
        <v>Nov-2023</v>
      </c>
      <c r="P1526" s="22" t="s">
        <v>1669</v>
      </c>
      <c r="Q1526" s="22" t="s">
        <v>1531</v>
      </c>
      <c r="R1526" s="22" t="s">
        <v>659</v>
      </c>
      <c r="S1526" s="22"/>
      <c r="T1526" s="22"/>
      <c r="V1526" s="25" t="s">
        <v>627</v>
      </c>
      <c r="W1526" s="6">
        <v>10</v>
      </c>
    </row>
    <row r="1527" spans="1:23">
      <c r="A1527" t="s">
        <v>3464</v>
      </c>
      <c r="B1527" s="8">
        <v>45296</v>
      </c>
      <c r="C1527" t="s">
        <v>935</v>
      </c>
      <c r="D1527" t="s">
        <v>1617</v>
      </c>
      <c r="E1527" t="s">
        <v>1917</v>
      </c>
      <c r="F1527">
        <v>1</v>
      </c>
      <c r="G1527" s="10">
        <v>616.82000000000005</v>
      </c>
      <c r="H1527" s="13">
        <v>0.24</v>
      </c>
      <c r="I1527" t="s">
        <v>1931</v>
      </c>
      <c r="J1527" s="16">
        <v>468.78320000000002</v>
      </c>
      <c r="K1527" s="19">
        <f t="shared" si="115"/>
        <v>506666.33139999997</v>
      </c>
      <c r="L1527" s="22">
        <f t="shared" si="116"/>
        <v>1066.6659608421053</v>
      </c>
      <c r="M1527" s="22">
        <f t="shared" si="117"/>
        <v>154</v>
      </c>
      <c r="N1527" s="22" t="str">
        <f t="shared" si="118"/>
        <v>Low Value</v>
      </c>
      <c r="O1527" s="22" t="str">
        <f t="shared" si="119"/>
        <v>Jan-2024</v>
      </c>
      <c r="P1527" s="22" t="s">
        <v>1618</v>
      </c>
      <c r="Q1527" s="22" t="s">
        <v>1536</v>
      </c>
      <c r="R1527" s="22" t="s">
        <v>936</v>
      </c>
      <c r="S1527" s="22"/>
      <c r="T1527" s="22"/>
      <c r="V1527" s="26" t="s">
        <v>1936</v>
      </c>
      <c r="W1527" s="6">
        <v>4</v>
      </c>
    </row>
    <row r="1528" spans="1:23">
      <c r="A1528" t="s">
        <v>3465</v>
      </c>
      <c r="B1528" s="8">
        <v>45672</v>
      </c>
      <c r="C1528" t="s">
        <v>602</v>
      </c>
      <c r="D1528" t="s">
        <v>1672</v>
      </c>
      <c r="E1528" t="s">
        <v>1917</v>
      </c>
      <c r="F1528">
        <v>1</v>
      </c>
      <c r="G1528" s="10">
        <v>470.34</v>
      </c>
      <c r="H1528" s="13">
        <v>0.18</v>
      </c>
      <c r="I1528" t="s">
        <v>1936</v>
      </c>
      <c r="J1528" s="16">
        <v>385.67880000000002</v>
      </c>
      <c r="K1528" s="19">
        <f t="shared" si="115"/>
        <v>506197.5481999999</v>
      </c>
      <c r="L1528" s="22">
        <f t="shared" si="116"/>
        <v>1067.9273168776369</v>
      </c>
      <c r="M1528" s="22">
        <f t="shared" si="117"/>
        <v>154</v>
      </c>
      <c r="N1528" s="22" t="str">
        <f t="shared" si="118"/>
        <v>Low Value</v>
      </c>
      <c r="O1528" s="22" t="str">
        <f t="shared" si="119"/>
        <v>Jan-2025</v>
      </c>
      <c r="P1528" s="22" t="s">
        <v>1673</v>
      </c>
      <c r="Q1528" s="22" t="s">
        <v>1531</v>
      </c>
      <c r="R1528" s="22" t="s">
        <v>603</v>
      </c>
      <c r="S1528" s="22"/>
      <c r="T1528" s="22"/>
      <c r="V1528" s="26" t="s">
        <v>1933</v>
      </c>
      <c r="W1528" s="6">
        <v>6</v>
      </c>
    </row>
    <row r="1529" spans="1:23">
      <c r="A1529" t="s">
        <v>3466</v>
      </c>
      <c r="B1529" s="8">
        <v>45499</v>
      </c>
      <c r="C1529" t="s">
        <v>709</v>
      </c>
      <c r="D1529" t="s">
        <v>1713</v>
      </c>
      <c r="E1529" t="s">
        <v>1889</v>
      </c>
      <c r="F1529">
        <v>2</v>
      </c>
      <c r="G1529" s="10">
        <v>616.36</v>
      </c>
      <c r="H1529" s="13">
        <v>0.12</v>
      </c>
      <c r="I1529" t="s">
        <v>1933</v>
      </c>
      <c r="J1529" s="16">
        <v>1084.7936</v>
      </c>
      <c r="K1529" s="19">
        <f t="shared" si="115"/>
        <v>505811.86939999997</v>
      </c>
      <c r="L1529" s="22">
        <f t="shared" si="116"/>
        <v>1069.3697027484143</v>
      </c>
      <c r="M1529" s="22">
        <f t="shared" si="117"/>
        <v>154</v>
      </c>
      <c r="N1529" s="22" t="str">
        <f t="shared" si="118"/>
        <v>High Value</v>
      </c>
      <c r="O1529" s="22" t="str">
        <f t="shared" si="119"/>
        <v>Jul-2024</v>
      </c>
      <c r="P1529" s="22" t="s">
        <v>1714</v>
      </c>
      <c r="Q1529" s="22" t="s">
        <v>1536</v>
      </c>
      <c r="R1529" s="22" t="s">
        <v>710</v>
      </c>
      <c r="S1529" s="22"/>
      <c r="T1529" s="22"/>
      <c r="V1529" s="25" t="s">
        <v>908</v>
      </c>
      <c r="W1529" s="6">
        <v>4</v>
      </c>
    </row>
    <row r="1530" spans="1:23">
      <c r="A1530" t="s">
        <v>3467</v>
      </c>
      <c r="B1530" s="8">
        <v>45434</v>
      </c>
      <c r="C1530" t="s">
        <v>295</v>
      </c>
      <c r="D1530" t="s">
        <v>2033</v>
      </c>
      <c r="E1530" t="s">
        <v>1893</v>
      </c>
      <c r="F1530">
        <v>3</v>
      </c>
      <c r="G1530" s="10">
        <v>657.24</v>
      </c>
      <c r="H1530" s="13">
        <v>0.18</v>
      </c>
      <c r="I1530" t="s">
        <v>1933</v>
      </c>
      <c r="J1530" s="16">
        <v>1616.8104000000001</v>
      </c>
      <c r="K1530" s="19">
        <f t="shared" si="115"/>
        <v>504727.07579999993</v>
      </c>
      <c r="L1530" s="22">
        <f t="shared" si="116"/>
        <v>1069.3370249999998</v>
      </c>
      <c r="M1530" s="22">
        <f t="shared" si="117"/>
        <v>153</v>
      </c>
      <c r="N1530" s="22" t="str">
        <f t="shared" si="118"/>
        <v>High Value</v>
      </c>
      <c r="O1530" s="22" t="str">
        <f t="shared" si="119"/>
        <v>May-2024</v>
      </c>
      <c r="P1530" s="22" t="s">
        <v>1543</v>
      </c>
      <c r="Q1530" s="22" t="s">
        <v>1536</v>
      </c>
      <c r="R1530" s="22" t="s">
        <v>296</v>
      </c>
      <c r="S1530" s="22"/>
      <c r="T1530" s="22"/>
      <c r="V1530" s="26" t="s">
        <v>1933</v>
      </c>
      <c r="W1530" s="6">
        <v>4</v>
      </c>
    </row>
    <row r="1531" spans="1:23">
      <c r="A1531" t="s">
        <v>3468</v>
      </c>
      <c r="B1531" s="8">
        <v>45893</v>
      </c>
      <c r="C1531" t="s">
        <v>136</v>
      </c>
      <c r="D1531" t="s">
        <v>1675</v>
      </c>
      <c r="E1531" t="s">
        <v>1920</v>
      </c>
      <c r="F1531">
        <v>2</v>
      </c>
      <c r="G1531" s="10">
        <v>392.45</v>
      </c>
      <c r="H1531" s="13">
        <v>0.04</v>
      </c>
      <c r="I1531" t="s">
        <v>1933</v>
      </c>
      <c r="J1531" s="16">
        <v>753.50399999999991</v>
      </c>
      <c r="K1531" s="19">
        <f t="shared" si="115"/>
        <v>503110.26539999997</v>
      </c>
      <c r="L1531" s="22">
        <f t="shared" si="116"/>
        <v>1068.1746611464969</v>
      </c>
      <c r="M1531" s="22">
        <f t="shared" si="117"/>
        <v>152</v>
      </c>
      <c r="N1531" s="22" t="str">
        <f t="shared" si="118"/>
        <v>Low Value</v>
      </c>
      <c r="O1531" s="22" t="str">
        <f t="shared" si="119"/>
        <v>Aug-2025</v>
      </c>
      <c r="P1531" s="22" t="s">
        <v>1676</v>
      </c>
      <c r="Q1531" s="22" t="s">
        <v>1569</v>
      </c>
      <c r="R1531" s="22" t="s">
        <v>137</v>
      </c>
      <c r="S1531" s="22"/>
      <c r="T1531" s="22"/>
      <c r="V1531" s="25" t="s">
        <v>262</v>
      </c>
      <c r="W1531" s="6">
        <v>18</v>
      </c>
    </row>
    <row r="1532" spans="1:23">
      <c r="A1532" t="s">
        <v>3469</v>
      </c>
      <c r="B1532" s="8">
        <v>45346</v>
      </c>
      <c r="C1532" t="s">
        <v>786</v>
      </c>
      <c r="D1532" t="s">
        <v>1672</v>
      </c>
      <c r="E1532" t="s">
        <v>1906</v>
      </c>
      <c r="F1532">
        <v>3</v>
      </c>
      <c r="G1532" s="10">
        <v>62.03</v>
      </c>
      <c r="H1532" s="13">
        <v>0.01</v>
      </c>
      <c r="I1532" t="s">
        <v>1936</v>
      </c>
      <c r="J1532" s="16">
        <v>184.22909999999999</v>
      </c>
      <c r="K1532" s="19">
        <f t="shared" si="115"/>
        <v>502356.76139999996</v>
      </c>
      <c r="L1532" s="22">
        <f t="shared" si="116"/>
        <v>1068.8441731914893</v>
      </c>
      <c r="M1532" s="22">
        <f t="shared" si="117"/>
        <v>151</v>
      </c>
      <c r="N1532" s="22" t="str">
        <f t="shared" si="118"/>
        <v>Low Value</v>
      </c>
      <c r="O1532" s="22" t="str">
        <f t="shared" si="119"/>
        <v>Feb-2024</v>
      </c>
      <c r="P1532" s="22" t="s">
        <v>1673</v>
      </c>
      <c r="Q1532" s="22" t="s">
        <v>1531</v>
      </c>
      <c r="R1532" s="22" t="s">
        <v>787</v>
      </c>
      <c r="S1532" s="22"/>
      <c r="T1532" s="22"/>
      <c r="V1532" s="26" t="s">
        <v>1936</v>
      </c>
      <c r="W1532" s="6">
        <v>13</v>
      </c>
    </row>
    <row r="1533" spans="1:23">
      <c r="A1533" t="s">
        <v>3470</v>
      </c>
      <c r="B1533" s="8">
        <v>45613</v>
      </c>
      <c r="C1533" t="s">
        <v>327</v>
      </c>
      <c r="D1533" t="s">
        <v>1843</v>
      </c>
      <c r="E1533" t="s">
        <v>1873</v>
      </c>
      <c r="F1533">
        <v>4</v>
      </c>
      <c r="G1533" s="10">
        <v>933.73</v>
      </c>
      <c r="H1533" s="13">
        <v>0.25</v>
      </c>
      <c r="I1533" t="s">
        <v>1933</v>
      </c>
      <c r="J1533" s="16">
        <v>2801.19</v>
      </c>
      <c r="K1533" s="19">
        <f t="shared" si="115"/>
        <v>502172.53229999996</v>
      </c>
      <c r="L1533" s="22">
        <f t="shared" si="116"/>
        <v>1070.7303460554369</v>
      </c>
      <c r="M1533" s="22">
        <f t="shared" si="117"/>
        <v>151</v>
      </c>
      <c r="N1533" s="22" t="str">
        <f t="shared" si="118"/>
        <v>High Value</v>
      </c>
      <c r="O1533" s="22" t="str">
        <f t="shared" si="119"/>
        <v>Nov-2024</v>
      </c>
      <c r="P1533" s="22" t="s">
        <v>1844</v>
      </c>
      <c r="Q1533" s="22" t="s">
        <v>1536</v>
      </c>
      <c r="R1533" s="22" t="s">
        <v>328</v>
      </c>
      <c r="S1533" s="22"/>
      <c r="T1533" s="22"/>
      <c r="V1533" s="26" t="s">
        <v>1933</v>
      </c>
      <c r="W1533" s="6">
        <v>5</v>
      </c>
    </row>
    <row r="1534" spans="1:23">
      <c r="A1534" t="s">
        <v>3471</v>
      </c>
      <c r="B1534" s="8">
        <v>45928</v>
      </c>
      <c r="C1534" t="s">
        <v>518</v>
      </c>
      <c r="D1534" t="s">
        <v>1810</v>
      </c>
      <c r="E1534" t="s">
        <v>1911</v>
      </c>
      <c r="F1534">
        <v>3</v>
      </c>
      <c r="G1534" s="10">
        <v>615.30999999999995</v>
      </c>
      <c r="H1534" s="13">
        <v>0.14000000000000001</v>
      </c>
      <c r="I1534" t="s">
        <v>1933</v>
      </c>
      <c r="J1534" s="16">
        <v>1587.4998000000001</v>
      </c>
      <c r="K1534" s="19">
        <f t="shared" si="115"/>
        <v>499371.34229999996</v>
      </c>
      <c r="L1534" s="22">
        <f t="shared" si="116"/>
        <v>1067.0327826923076</v>
      </c>
      <c r="M1534" s="22">
        <f t="shared" si="117"/>
        <v>150</v>
      </c>
      <c r="N1534" s="22" t="str">
        <f t="shared" si="118"/>
        <v>High Value</v>
      </c>
      <c r="O1534" s="22" t="str">
        <f t="shared" si="119"/>
        <v>Sep-2025</v>
      </c>
      <c r="P1534" s="22" t="s">
        <v>1811</v>
      </c>
      <c r="Q1534" s="22" t="s">
        <v>1536</v>
      </c>
      <c r="R1534" s="22" t="s">
        <v>519</v>
      </c>
      <c r="S1534" s="22"/>
      <c r="T1534" s="22"/>
      <c r="V1534" s="25" t="s">
        <v>153</v>
      </c>
      <c r="W1534" s="6">
        <v>19</v>
      </c>
    </row>
    <row r="1535" spans="1:23">
      <c r="A1535" t="s">
        <v>3472</v>
      </c>
      <c r="B1535" s="8">
        <v>45619</v>
      </c>
      <c r="C1535" t="s">
        <v>1160</v>
      </c>
      <c r="D1535" t="s">
        <v>1731</v>
      </c>
      <c r="E1535" t="s">
        <v>1917</v>
      </c>
      <c r="F1535">
        <v>4</v>
      </c>
      <c r="G1535" s="10">
        <v>790.38</v>
      </c>
      <c r="H1535" s="13">
        <v>0.22</v>
      </c>
      <c r="I1535" t="s">
        <v>1936</v>
      </c>
      <c r="J1535" s="16">
        <v>2465.9856</v>
      </c>
      <c r="K1535" s="19">
        <f t="shared" si="115"/>
        <v>497783.84249999997</v>
      </c>
      <c r="L1535" s="22">
        <f t="shared" si="116"/>
        <v>1065.9182922912205</v>
      </c>
      <c r="M1535" s="22">
        <f t="shared" si="117"/>
        <v>149</v>
      </c>
      <c r="N1535" s="22" t="str">
        <f t="shared" si="118"/>
        <v>High Value</v>
      </c>
      <c r="O1535" s="22" t="str">
        <f t="shared" si="119"/>
        <v>Nov-2024</v>
      </c>
      <c r="P1535" s="22" t="s">
        <v>1732</v>
      </c>
      <c r="Q1535" s="22" t="s">
        <v>1555</v>
      </c>
      <c r="R1535" s="22" t="s">
        <v>1161</v>
      </c>
      <c r="S1535" s="22"/>
      <c r="T1535" s="22"/>
      <c r="V1535" s="26" t="s">
        <v>1936</v>
      </c>
      <c r="W1535" s="6">
        <v>4</v>
      </c>
    </row>
    <row r="1536" spans="1:23">
      <c r="A1536" t="s">
        <v>3473</v>
      </c>
      <c r="B1536" s="8">
        <v>45533</v>
      </c>
      <c r="C1536" t="s">
        <v>857</v>
      </c>
      <c r="D1536" t="s">
        <v>1731</v>
      </c>
      <c r="E1536" t="s">
        <v>1914</v>
      </c>
      <c r="F1536">
        <v>2</v>
      </c>
      <c r="G1536" s="10">
        <v>102.85</v>
      </c>
      <c r="H1536" s="13">
        <v>0.08</v>
      </c>
      <c r="I1536" t="s">
        <v>1933</v>
      </c>
      <c r="J1536" s="16">
        <v>189.244</v>
      </c>
      <c r="K1536" s="19">
        <f t="shared" si="115"/>
        <v>495317.85690000001</v>
      </c>
      <c r="L1536" s="22">
        <f t="shared" si="116"/>
        <v>1062.9138560085837</v>
      </c>
      <c r="M1536" s="22">
        <f t="shared" si="117"/>
        <v>149</v>
      </c>
      <c r="N1536" s="22" t="str">
        <f t="shared" si="118"/>
        <v>Low Value</v>
      </c>
      <c r="O1536" s="22" t="str">
        <f t="shared" si="119"/>
        <v>Aug-2024</v>
      </c>
      <c r="P1536" s="22" t="s">
        <v>1732</v>
      </c>
      <c r="Q1536" s="22" t="s">
        <v>1555</v>
      </c>
      <c r="R1536" s="22" t="s">
        <v>858</v>
      </c>
      <c r="S1536" s="22"/>
      <c r="T1536" s="22"/>
      <c r="V1536" s="26" t="s">
        <v>1931</v>
      </c>
      <c r="W1536" s="6">
        <v>3</v>
      </c>
    </row>
    <row r="1537" spans="1:23">
      <c r="A1537" t="s">
        <v>3474</v>
      </c>
      <c r="B1537" s="8">
        <v>45781</v>
      </c>
      <c r="C1537" t="s">
        <v>152</v>
      </c>
      <c r="D1537" t="s">
        <v>1576</v>
      </c>
      <c r="E1537" t="s">
        <v>1911</v>
      </c>
      <c r="F1537">
        <v>3</v>
      </c>
      <c r="G1537" s="10">
        <v>866.78</v>
      </c>
      <c r="H1537" s="13">
        <v>0.27</v>
      </c>
      <c r="I1537" t="s">
        <v>1933</v>
      </c>
      <c r="J1537" s="16">
        <v>1898.2482</v>
      </c>
      <c r="K1537" s="19">
        <f t="shared" si="115"/>
        <v>495128.61290000001</v>
      </c>
      <c r="L1537" s="22">
        <f t="shared" si="116"/>
        <v>1064.7927159139786</v>
      </c>
      <c r="M1537" s="22">
        <f t="shared" si="117"/>
        <v>148</v>
      </c>
      <c r="N1537" s="22" t="str">
        <f t="shared" si="118"/>
        <v>High Value</v>
      </c>
      <c r="O1537" s="22" t="str">
        <f t="shared" si="119"/>
        <v>May-2025</v>
      </c>
      <c r="P1537" s="22" t="s">
        <v>1577</v>
      </c>
      <c r="Q1537" s="22" t="s">
        <v>1531</v>
      </c>
      <c r="R1537" s="22" t="s">
        <v>153</v>
      </c>
      <c r="S1537" s="22"/>
      <c r="T1537" s="22"/>
      <c r="V1537" s="26" t="s">
        <v>1933</v>
      </c>
      <c r="W1537" s="6">
        <v>12</v>
      </c>
    </row>
    <row r="1538" spans="1:23">
      <c r="A1538" t="s">
        <v>3475</v>
      </c>
      <c r="B1538" s="8">
        <v>45378</v>
      </c>
      <c r="C1538" t="s">
        <v>676</v>
      </c>
      <c r="D1538" t="s">
        <v>1789</v>
      </c>
      <c r="E1538" t="s">
        <v>1911</v>
      </c>
      <c r="F1538">
        <v>3</v>
      </c>
      <c r="G1538" s="10">
        <v>392.84</v>
      </c>
      <c r="H1538" s="13">
        <v>0.27</v>
      </c>
      <c r="I1538" t="s">
        <v>1933</v>
      </c>
      <c r="J1538" s="16">
        <v>860.31959999999992</v>
      </c>
      <c r="K1538" s="19">
        <f t="shared" ref="K1538:K1601" si="120">SUM(J1538:J3537)</f>
        <v>493230.36470000003</v>
      </c>
      <c r="L1538" s="22">
        <f t="shared" ref="L1538:L1601" si="121">AVERAGE(J1538:J3537)</f>
        <v>1062.9964756465517</v>
      </c>
      <c r="M1538" s="22">
        <f t="shared" ref="M1538:M1601" si="122">COUNTIF(I1538:I3537,"PayPal")</f>
        <v>147</v>
      </c>
      <c r="N1538" s="22" t="str">
        <f t="shared" ref="N1538:N1601" si="123">IF(J1538&gt;=1000,"High Value","Low Value")</f>
        <v>Low Value</v>
      </c>
      <c r="O1538" s="22" t="str">
        <f t="shared" ref="O1538:O1601" si="124">TEXT(B1538,"mmm-yyyy")</f>
        <v>Mar-2024</v>
      </c>
      <c r="P1538" s="22" t="s">
        <v>1790</v>
      </c>
      <c r="Q1538" s="22" t="s">
        <v>1560</v>
      </c>
      <c r="R1538" s="22" t="s">
        <v>677</v>
      </c>
      <c r="S1538" s="22"/>
      <c r="T1538" s="22"/>
      <c r="V1538" s="25" t="s">
        <v>1518</v>
      </c>
      <c r="W1538" s="6">
        <v>4</v>
      </c>
    </row>
    <row r="1539" spans="1:23">
      <c r="A1539" t="s">
        <v>3476</v>
      </c>
      <c r="B1539" s="8">
        <v>45688</v>
      </c>
      <c r="C1539" t="s">
        <v>1014</v>
      </c>
      <c r="D1539" t="s">
        <v>1567</v>
      </c>
      <c r="E1539" t="s">
        <v>1880</v>
      </c>
      <c r="F1539">
        <v>2</v>
      </c>
      <c r="G1539" s="10">
        <v>753.1</v>
      </c>
      <c r="H1539" s="13">
        <v>0.19</v>
      </c>
      <c r="I1539" t="s">
        <v>1933</v>
      </c>
      <c r="J1539" s="16">
        <v>1220.0219999999999</v>
      </c>
      <c r="K1539" s="19">
        <f t="shared" si="120"/>
        <v>492370.0451000001</v>
      </c>
      <c r="L1539" s="22">
        <f t="shared" si="121"/>
        <v>1063.434222678186</v>
      </c>
      <c r="M1539" s="22">
        <f t="shared" si="122"/>
        <v>146</v>
      </c>
      <c r="N1539" s="22" t="str">
        <f t="shared" si="123"/>
        <v>High Value</v>
      </c>
      <c r="O1539" s="22" t="str">
        <f t="shared" si="124"/>
        <v>Jan-2025</v>
      </c>
      <c r="P1539" s="22" t="s">
        <v>1568</v>
      </c>
      <c r="Q1539" s="22" t="s">
        <v>1569</v>
      </c>
      <c r="R1539" s="22" t="s">
        <v>1015</v>
      </c>
      <c r="S1539" s="22"/>
      <c r="T1539" s="22"/>
      <c r="V1539" s="26" t="s">
        <v>1933</v>
      </c>
      <c r="W1539" s="6">
        <v>4</v>
      </c>
    </row>
    <row r="1540" spans="1:23">
      <c r="A1540" t="s">
        <v>3477</v>
      </c>
      <c r="B1540" s="8">
        <v>45927</v>
      </c>
      <c r="C1540" t="s">
        <v>39</v>
      </c>
      <c r="D1540" t="s">
        <v>1716</v>
      </c>
      <c r="E1540" t="s">
        <v>1914</v>
      </c>
      <c r="F1540">
        <v>2</v>
      </c>
      <c r="G1540" s="10">
        <v>700.91</v>
      </c>
      <c r="H1540" s="13">
        <v>0.1</v>
      </c>
      <c r="I1540" t="s">
        <v>1933</v>
      </c>
      <c r="J1540" s="16">
        <v>1261.6379999999999</v>
      </c>
      <c r="K1540" s="19">
        <f t="shared" si="120"/>
        <v>491150.02310000011</v>
      </c>
      <c r="L1540" s="22">
        <f t="shared" si="121"/>
        <v>1063.0952880952384</v>
      </c>
      <c r="M1540" s="22">
        <f t="shared" si="122"/>
        <v>145</v>
      </c>
      <c r="N1540" s="22" t="str">
        <f t="shared" si="123"/>
        <v>High Value</v>
      </c>
      <c r="O1540" s="22" t="str">
        <f t="shared" si="124"/>
        <v>Sep-2025</v>
      </c>
      <c r="P1540" s="22" t="s">
        <v>1717</v>
      </c>
      <c r="Q1540" s="22" t="s">
        <v>1569</v>
      </c>
      <c r="R1540" s="22" t="s">
        <v>40</v>
      </c>
      <c r="S1540" s="22"/>
      <c r="T1540" s="22"/>
      <c r="V1540" s="25" t="s">
        <v>847</v>
      </c>
      <c r="W1540" s="6">
        <v>6</v>
      </c>
    </row>
    <row r="1541" spans="1:23">
      <c r="A1541" t="s">
        <v>3478</v>
      </c>
      <c r="B1541" s="8">
        <v>45775</v>
      </c>
      <c r="C1541" t="s">
        <v>261</v>
      </c>
      <c r="D1541" t="s">
        <v>1590</v>
      </c>
      <c r="E1541" t="s">
        <v>1901</v>
      </c>
      <c r="F1541">
        <v>4</v>
      </c>
      <c r="G1541" s="10">
        <v>935.98</v>
      </c>
      <c r="H1541" s="13">
        <v>0.11</v>
      </c>
      <c r="I1541" t="s">
        <v>1933</v>
      </c>
      <c r="J1541" s="16">
        <v>3332.0888</v>
      </c>
      <c r="K1541" s="19">
        <f t="shared" si="120"/>
        <v>489888.38510000007</v>
      </c>
      <c r="L1541" s="22">
        <f t="shared" si="121"/>
        <v>1062.6646097613884</v>
      </c>
      <c r="M1541" s="22">
        <f t="shared" si="122"/>
        <v>144</v>
      </c>
      <c r="N1541" s="22" t="str">
        <f t="shared" si="123"/>
        <v>High Value</v>
      </c>
      <c r="O1541" s="22" t="str">
        <f t="shared" si="124"/>
        <v>Apr-2025</v>
      </c>
      <c r="P1541" s="22" t="s">
        <v>1591</v>
      </c>
      <c r="Q1541" s="22" t="s">
        <v>1531</v>
      </c>
      <c r="R1541" s="22" t="s">
        <v>262</v>
      </c>
      <c r="S1541" s="22"/>
      <c r="T1541" s="22"/>
      <c r="V1541" s="26" t="s">
        <v>1931</v>
      </c>
      <c r="W1541" s="6">
        <v>4</v>
      </c>
    </row>
    <row r="1542" spans="1:23">
      <c r="A1542" t="s">
        <v>3479</v>
      </c>
      <c r="B1542" s="8">
        <v>45849</v>
      </c>
      <c r="C1542" t="s">
        <v>1481</v>
      </c>
      <c r="D1542" t="s">
        <v>1783</v>
      </c>
      <c r="E1542" t="s">
        <v>1911</v>
      </c>
      <c r="F1542">
        <v>1</v>
      </c>
      <c r="G1542" s="10">
        <v>539.9</v>
      </c>
      <c r="H1542" s="13">
        <v>7.0000000000000007E-2</v>
      </c>
      <c r="I1542" t="s">
        <v>1931</v>
      </c>
      <c r="J1542" s="16">
        <v>502.10700000000003</v>
      </c>
      <c r="K1542" s="19">
        <f t="shared" si="120"/>
        <v>486556.2963000001</v>
      </c>
      <c r="L1542" s="22">
        <f t="shared" si="121"/>
        <v>1057.7310789130438</v>
      </c>
      <c r="M1542" s="22">
        <f t="shared" si="122"/>
        <v>143</v>
      </c>
      <c r="N1542" s="22" t="str">
        <f t="shared" si="123"/>
        <v>Low Value</v>
      </c>
      <c r="O1542" s="22" t="str">
        <f t="shared" si="124"/>
        <v>Jul-2025</v>
      </c>
      <c r="P1542" s="22" t="s">
        <v>1784</v>
      </c>
      <c r="Q1542" s="22" t="s">
        <v>1531</v>
      </c>
      <c r="R1542" s="22" t="s">
        <v>1482</v>
      </c>
      <c r="S1542" s="22"/>
      <c r="T1542" s="22"/>
      <c r="V1542" s="26" t="s">
        <v>1933</v>
      </c>
      <c r="W1542" s="6">
        <v>2</v>
      </c>
    </row>
    <row r="1543" spans="1:23">
      <c r="A1543" t="s">
        <v>3480</v>
      </c>
      <c r="B1543" s="8">
        <v>45573</v>
      </c>
      <c r="C1543" t="s">
        <v>565</v>
      </c>
      <c r="D1543" t="s">
        <v>1672</v>
      </c>
      <c r="E1543" t="s">
        <v>1883</v>
      </c>
      <c r="F1543">
        <v>1</v>
      </c>
      <c r="G1543" s="10">
        <v>312.81</v>
      </c>
      <c r="H1543" s="13">
        <v>0.14000000000000001</v>
      </c>
      <c r="I1543" t="s">
        <v>1933</v>
      </c>
      <c r="J1543" s="16">
        <v>269.01659999999998</v>
      </c>
      <c r="K1543" s="19">
        <f t="shared" si="120"/>
        <v>486054.18930000009</v>
      </c>
      <c r="L1543" s="22">
        <f t="shared" si="121"/>
        <v>1058.9415888888891</v>
      </c>
      <c r="M1543" s="22">
        <f t="shared" si="122"/>
        <v>143</v>
      </c>
      <c r="N1543" s="22" t="str">
        <f t="shared" si="123"/>
        <v>Low Value</v>
      </c>
      <c r="O1543" s="22" t="str">
        <f t="shared" si="124"/>
        <v>Oct-2024</v>
      </c>
      <c r="P1543" s="22" t="s">
        <v>1673</v>
      </c>
      <c r="Q1543" s="22" t="s">
        <v>1531</v>
      </c>
      <c r="R1543" s="22" t="s">
        <v>566</v>
      </c>
      <c r="S1543" s="22"/>
      <c r="T1543" s="22"/>
      <c r="V1543" s="25" t="s">
        <v>941</v>
      </c>
      <c r="W1543" s="6">
        <v>12</v>
      </c>
    </row>
    <row r="1544" spans="1:23">
      <c r="A1544" t="s">
        <v>3481</v>
      </c>
      <c r="B1544" s="8">
        <v>45356</v>
      </c>
      <c r="C1544" t="s">
        <v>798</v>
      </c>
      <c r="D1544" t="s">
        <v>1697</v>
      </c>
      <c r="E1544" t="s">
        <v>1886</v>
      </c>
      <c r="F1544">
        <v>3</v>
      </c>
      <c r="G1544" s="10">
        <v>855.96</v>
      </c>
      <c r="H1544" s="13">
        <v>0.28999999999999998</v>
      </c>
      <c r="I1544" t="s">
        <v>1936</v>
      </c>
      <c r="J1544" s="16">
        <v>1823.1948</v>
      </c>
      <c r="K1544" s="19">
        <f t="shared" si="120"/>
        <v>485785.17270000011</v>
      </c>
      <c r="L1544" s="22">
        <f t="shared" si="121"/>
        <v>1060.666315938865</v>
      </c>
      <c r="M1544" s="22">
        <f t="shared" si="122"/>
        <v>142</v>
      </c>
      <c r="N1544" s="22" t="str">
        <f t="shared" si="123"/>
        <v>High Value</v>
      </c>
      <c r="O1544" s="22" t="str">
        <f t="shared" si="124"/>
        <v>Mar-2024</v>
      </c>
      <c r="P1544" s="22" t="s">
        <v>1698</v>
      </c>
      <c r="Q1544" s="22" t="s">
        <v>1531</v>
      </c>
      <c r="R1544" s="22" t="s">
        <v>799</v>
      </c>
      <c r="S1544" s="22"/>
      <c r="T1544" s="22"/>
      <c r="V1544" s="26" t="s">
        <v>1936</v>
      </c>
      <c r="W1544" s="6">
        <v>3</v>
      </c>
    </row>
    <row r="1545" spans="1:23">
      <c r="A1545" t="s">
        <v>3482</v>
      </c>
      <c r="B1545" s="8">
        <v>45326</v>
      </c>
      <c r="C1545" t="s">
        <v>1107</v>
      </c>
      <c r="D1545" t="s">
        <v>1534</v>
      </c>
      <c r="E1545" t="s">
        <v>1899</v>
      </c>
      <c r="F1545">
        <v>3</v>
      </c>
      <c r="G1545" s="10">
        <v>305</v>
      </c>
      <c r="H1545" s="13">
        <v>0.01</v>
      </c>
      <c r="I1545" t="s">
        <v>1936</v>
      </c>
      <c r="J1545" s="16">
        <v>905.85</v>
      </c>
      <c r="K1545" s="19">
        <f t="shared" si="120"/>
        <v>483961.97790000011</v>
      </c>
      <c r="L1545" s="22">
        <f t="shared" si="121"/>
        <v>1058.9977634573306</v>
      </c>
      <c r="M1545" s="22">
        <f t="shared" si="122"/>
        <v>142</v>
      </c>
      <c r="N1545" s="22" t="str">
        <f t="shared" si="123"/>
        <v>Low Value</v>
      </c>
      <c r="O1545" s="22" t="str">
        <f t="shared" si="124"/>
        <v>Feb-2024</v>
      </c>
      <c r="P1545" s="22" t="s">
        <v>1535</v>
      </c>
      <c r="Q1545" s="22" t="s">
        <v>1536</v>
      </c>
      <c r="R1545" s="22" t="s">
        <v>1108</v>
      </c>
      <c r="S1545" s="22"/>
      <c r="T1545" s="22"/>
      <c r="V1545" s="26" t="s">
        <v>1931</v>
      </c>
      <c r="W1545" s="6">
        <v>4</v>
      </c>
    </row>
    <row r="1546" spans="1:23">
      <c r="A1546" t="s">
        <v>3483</v>
      </c>
      <c r="B1546" s="8">
        <v>45361</v>
      </c>
      <c r="C1546" t="s">
        <v>1433</v>
      </c>
      <c r="D1546" t="s">
        <v>1852</v>
      </c>
      <c r="E1546" t="s">
        <v>1901</v>
      </c>
      <c r="F1546">
        <v>3</v>
      </c>
      <c r="G1546" s="10">
        <v>831.15</v>
      </c>
      <c r="H1546" s="13">
        <v>0.19</v>
      </c>
      <c r="I1546" t="s">
        <v>1931</v>
      </c>
      <c r="J1546" s="16">
        <v>2019.6945000000001</v>
      </c>
      <c r="K1546" s="19">
        <f t="shared" si="120"/>
        <v>483056.12790000014</v>
      </c>
      <c r="L1546" s="22">
        <f t="shared" si="121"/>
        <v>1059.3336138157897</v>
      </c>
      <c r="M1546" s="22">
        <f t="shared" si="122"/>
        <v>142</v>
      </c>
      <c r="N1546" s="22" t="str">
        <f t="shared" si="123"/>
        <v>High Value</v>
      </c>
      <c r="O1546" s="22" t="str">
        <f t="shared" si="124"/>
        <v>Mar-2024</v>
      </c>
      <c r="P1546" s="22" t="s">
        <v>1853</v>
      </c>
      <c r="Q1546" s="22" t="s">
        <v>1560</v>
      </c>
      <c r="R1546" s="22" t="s">
        <v>1434</v>
      </c>
      <c r="S1546" s="22"/>
      <c r="T1546" s="22"/>
      <c r="V1546" s="26" t="s">
        <v>1933</v>
      </c>
      <c r="W1546" s="6">
        <v>5</v>
      </c>
    </row>
    <row r="1547" spans="1:23">
      <c r="A1547" t="s">
        <v>3484</v>
      </c>
      <c r="B1547" s="8">
        <v>45926</v>
      </c>
      <c r="C1547" t="s">
        <v>673</v>
      </c>
      <c r="D1547" t="s">
        <v>1843</v>
      </c>
      <c r="E1547" t="s">
        <v>1873</v>
      </c>
      <c r="F1547">
        <v>2</v>
      </c>
      <c r="G1547" s="10">
        <v>644.97</v>
      </c>
      <c r="H1547" s="13">
        <v>0.24</v>
      </c>
      <c r="I1547" t="s">
        <v>1936</v>
      </c>
      <c r="J1547" s="16">
        <v>980.35440000000006</v>
      </c>
      <c r="K1547" s="19">
        <f t="shared" si="120"/>
        <v>481036.43340000015</v>
      </c>
      <c r="L1547" s="22">
        <f t="shared" si="121"/>
        <v>1057.2229305494509</v>
      </c>
      <c r="M1547" s="22">
        <f t="shared" si="122"/>
        <v>142</v>
      </c>
      <c r="N1547" s="22" t="str">
        <f t="shared" si="123"/>
        <v>Low Value</v>
      </c>
      <c r="O1547" s="22" t="str">
        <f t="shared" si="124"/>
        <v>Sep-2025</v>
      </c>
      <c r="P1547" s="22" t="s">
        <v>1844</v>
      </c>
      <c r="Q1547" s="22" t="s">
        <v>1536</v>
      </c>
      <c r="R1547" s="22" t="s">
        <v>674</v>
      </c>
      <c r="S1547" s="22"/>
      <c r="T1547" s="22"/>
      <c r="V1547" s="25" t="s">
        <v>377</v>
      </c>
      <c r="W1547" s="6">
        <v>27</v>
      </c>
    </row>
    <row r="1548" spans="1:23">
      <c r="A1548" t="s">
        <v>3485</v>
      </c>
      <c r="B1548" s="8">
        <v>45839</v>
      </c>
      <c r="C1548" t="s">
        <v>336</v>
      </c>
      <c r="D1548" t="s">
        <v>1819</v>
      </c>
      <c r="E1548" t="s">
        <v>1864</v>
      </c>
      <c r="F1548">
        <v>1</v>
      </c>
      <c r="G1548" s="10">
        <v>149.56</v>
      </c>
      <c r="H1548" s="13">
        <v>0.09</v>
      </c>
      <c r="I1548" t="s">
        <v>1931</v>
      </c>
      <c r="J1548" s="16">
        <v>136.09960000000001</v>
      </c>
      <c r="K1548" s="19">
        <f t="shared" si="120"/>
        <v>480056.07900000014</v>
      </c>
      <c r="L1548" s="22">
        <f t="shared" si="121"/>
        <v>1057.3922444933924</v>
      </c>
      <c r="M1548" s="22">
        <f t="shared" si="122"/>
        <v>142</v>
      </c>
      <c r="N1548" s="22" t="str">
        <f t="shared" si="123"/>
        <v>Low Value</v>
      </c>
      <c r="O1548" s="22" t="str">
        <f t="shared" si="124"/>
        <v>Jul-2025</v>
      </c>
      <c r="P1548" s="22" t="s">
        <v>1820</v>
      </c>
      <c r="Q1548" s="22" t="s">
        <v>1569</v>
      </c>
      <c r="R1548" s="22" t="s">
        <v>337</v>
      </c>
      <c r="S1548" s="22"/>
      <c r="T1548" s="22"/>
      <c r="V1548" s="26" t="s">
        <v>1936</v>
      </c>
      <c r="W1548" s="6">
        <v>11</v>
      </c>
    </row>
    <row r="1549" spans="1:23">
      <c r="A1549" t="s">
        <v>3486</v>
      </c>
      <c r="B1549" s="8">
        <v>45434</v>
      </c>
      <c r="C1549" t="s">
        <v>703</v>
      </c>
      <c r="D1549" t="s">
        <v>1681</v>
      </c>
      <c r="E1549" t="s">
        <v>1920</v>
      </c>
      <c r="F1549">
        <v>1</v>
      </c>
      <c r="G1549" s="10">
        <v>661.77</v>
      </c>
      <c r="H1549" s="13">
        <v>0.03</v>
      </c>
      <c r="I1549" t="s">
        <v>1933</v>
      </c>
      <c r="J1549" s="16">
        <v>641.91689999999994</v>
      </c>
      <c r="K1549" s="19">
        <f t="shared" si="120"/>
        <v>479919.97940000013</v>
      </c>
      <c r="L1549" s="22">
        <f t="shared" si="121"/>
        <v>1059.4260030905079</v>
      </c>
      <c r="M1549" s="22">
        <f t="shared" si="122"/>
        <v>142</v>
      </c>
      <c r="N1549" s="22" t="str">
        <f t="shared" si="123"/>
        <v>Low Value</v>
      </c>
      <c r="O1549" s="22" t="str">
        <f t="shared" si="124"/>
        <v>May-2024</v>
      </c>
      <c r="P1549" s="22" t="s">
        <v>1682</v>
      </c>
      <c r="Q1549" s="22" t="s">
        <v>1531</v>
      </c>
      <c r="R1549" s="22" t="s">
        <v>704</v>
      </c>
      <c r="S1549" s="22"/>
      <c r="T1549" s="22"/>
      <c r="V1549" s="26" t="s">
        <v>1931</v>
      </c>
      <c r="W1549" s="6">
        <v>4</v>
      </c>
    </row>
    <row r="1550" spans="1:23">
      <c r="A1550" t="s">
        <v>3487</v>
      </c>
      <c r="B1550" s="8">
        <v>45819</v>
      </c>
      <c r="C1550" t="s">
        <v>376</v>
      </c>
      <c r="D1550" t="s">
        <v>1837</v>
      </c>
      <c r="E1550" t="s">
        <v>1886</v>
      </c>
      <c r="F1550">
        <v>3</v>
      </c>
      <c r="G1550" s="10">
        <v>99.67</v>
      </c>
      <c r="H1550" s="13">
        <v>0.17</v>
      </c>
      <c r="I1550" t="s">
        <v>1931</v>
      </c>
      <c r="J1550" s="16">
        <v>248.17830000000001</v>
      </c>
      <c r="K1550" s="19">
        <f t="shared" si="120"/>
        <v>479278.06250000012</v>
      </c>
      <c r="L1550" s="22">
        <f t="shared" si="121"/>
        <v>1060.3496957964605</v>
      </c>
      <c r="M1550" s="22">
        <f t="shared" si="122"/>
        <v>141</v>
      </c>
      <c r="N1550" s="22" t="str">
        <f t="shared" si="123"/>
        <v>Low Value</v>
      </c>
      <c r="O1550" s="22" t="str">
        <f t="shared" si="124"/>
        <v>Jun-2025</v>
      </c>
      <c r="P1550" s="22" t="s">
        <v>1838</v>
      </c>
      <c r="Q1550" s="22" t="s">
        <v>1555</v>
      </c>
      <c r="R1550" s="22" t="s">
        <v>377</v>
      </c>
      <c r="S1550" s="22"/>
      <c r="T1550" s="22"/>
      <c r="V1550" s="26" t="s">
        <v>1933</v>
      </c>
      <c r="W1550" s="6">
        <v>12</v>
      </c>
    </row>
    <row r="1551" spans="1:23">
      <c r="A1551" t="s">
        <v>3488</v>
      </c>
      <c r="B1551" s="8">
        <v>45553</v>
      </c>
      <c r="C1551" t="s">
        <v>716</v>
      </c>
      <c r="D1551" t="s">
        <v>1740</v>
      </c>
      <c r="E1551" t="s">
        <v>1864</v>
      </c>
      <c r="F1551">
        <v>3</v>
      </c>
      <c r="G1551" s="10">
        <v>103.66</v>
      </c>
      <c r="H1551" s="13">
        <v>0.26</v>
      </c>
      <c r="I1551" t="s">
        <v>1936</v>
      </c>
      <c r="J1551" s="16">
        <v>230.12520000000001</v>
      </c>
      <c r="K1551" s="19">
        <f t="shared" si="120"/>
        <v>479029.88420000015</v>
      </c>
      <c r="L1551" s="22">
        <f t="shared" si="121"/>
        <v>1062.150519290466</v>
      </c>
      <c r="M1551" s="22">
        <f t="shared" si="122"/>
        <v>141</v>
      </c>
      <c r="N1551" s="22" t="str">
        <f t="shared" si="123"/>
        <v>Low Value</v>
      </c>
      <c r="O1551" s="22" t="str">
        <f t="shared" si="124"/>
        <v>Sep-2024</v>
      </c>
      <c r="P1551" s="22" t="s">
        <v>1741</v>
      </c>
      <c r="Q1551" s="22" t="s">
        <v>1531</v>
      </c>
      <c r="R1551" s="22" t="s">
        <v>717</v>
      </c>
      <c r="S1551" s="22"/>
      <c r="T1551" s="22"/>
      <c r="V1551" s="25" t="s">
        <v>398</v>
      </c>
      <c r="W1551" s="6">
        <v>13</v>
      </c>
    </row>
    <row r="1552" spans="1:23">
      <c r="A1552" t="s">
        <v>3489</v>
      </c>
      <c r="B1552" s="8">
        <v>45258</v>
      </c>
      <c r="C1552" t="s">
        <v>1343</v>
      </c>
      <c r="D1552" t="s">
        <v>1672</v>
      </c>
      <c r="E1552" t="s">
        <v>1868</v>
      </c>
      <c r="F1552">
        <v>4</v>
      </c>
      <c r="G1552" s="10">
        <v>54.4</v>
      </c>
      <c r="H1552" s="13">
        <v>0.22</v>
      </c>
      <c r="I1552" t="s">
        <v>1931</v>
      </c>
      <c r="J1552" s="16">
        <v>169.72800000000001</v>
      </c>
      <c r="K1552" s="19">
        <f t="shared" si="120"/>
        <v>478799.75900000008</v>
      </c>
      <c r="L1552" s="22">
        <f t="shared" si="121"/>
        <v>1063.9994644444446</v>
      </c>
      <c r="M1552" s="22">
        <f t="shared" si="122"/>
        <v>141</v>
      </c>
      <c r="N1552" s="22" t="str">
        <f t="shared" si="123"/>
        <v>Low Value</v>
      </c>
      <c r="O1552" s="22" t="str">
        <f t="shared" si="124"/>
        <v>Nov-2023</v>
      </c>
      <c r="P1552" s="22" t="s">
        <v>1673</v>
      </c>
      <c r="Q1552" s="22" t="s">
        <v>1531</v>
      </c>
      <c r="R1552" s="22" t="s">
        <v>1344</v>
      </c>
      <c r="S1552" s="22"/>
      <c r="T1552" s="22"/>
      <c r="V1552" s="26" t="s">
        <v>1936</v>
      </c>
      <c r="W1552" s="6">
        <v>3</v>
      </c>
    </row>
    <row r="1553" spans="1:23">
      <c r="A1553" t="s">
        <v>3490</v>
      </c>
      <c r="B1553" s="8">
        <v>45435</v>
      </c>
      <c r="C1553" t="s">
        <v>1495</v>
      </c>
      <c r="D1553" t="s">
        <v>1807</v>
      </c>
      <c r="E1553" t="s">
        <v>1906</v>
      </c>
      <c r="F1553">
        <v>1</v>
      </c>
      <c r="G1553" s="10">
        <v>46.66</v>
      </c>
      <c r="H1553" s="13">
        <v>0.2</v>
      </c>
      <c r="I1553" t="s">
        <v>1931</v>
      </c>
      <c r="J1553" s="16">
        <v>37.328000000000003</v>
      </c>
      <c r="K1553" s="19">
        <f t="shared" si="120"/>
        <v>478630.03100000008</v>
      </c>
      <c r="L1553" s="22">
        <f t="shared" si="121"/>
        <v>1065.9911603563476</v>
      </c>
      <c r="M1553" s="22">
        <f t="shared" si="122"/>
        <v>141</v>
      </c>
      <c r="N1553" s="22" t="str">
        <f t="shared" si="123"/>
        <v>Low Value</v>
      </c>
      <c r="O1553" s="22" t="str">
        <f t="shared" si="124"/>
        <v>May-2024</v>
      </c>
      <c r="P1553" s="22" t="s">
        <v>1808</v>
      </c>
      <c r="Q1553" s="22" t="s">
        <v>1560</v>
      </c>
      <c r="R1553" s="22" t="s">
        <v>1496</v>
      </c>
      <c r="S1553" s="22"/>
      <c r="T1553" s="22"/>
      <c r="V1553" s="26" t="s">
        <v>1931</v>
      </c>
      <c r="W1553" s="6">
        <v>8</v>
      </c>
    </row>
    <row r="1554" spans="1:23">
      <c r="A1554" t="s">
        <v>3491</v>
      </c>
      <c r="B1554" s="8">
        <v>45447</v>
      </c>
      <c r="C1554" t="s">
        <v>39</v>
      </c>
      <c r="D1554" t="s">
        <v>1774</v>
      </c>
      <c r="E1554" t="s">
        <v>1899</v>
      </c>
      <c r="F1554">
        <v>4</v>
      </c>
      <c r="G1554" s="10">
        <v>871.2</v>
      </c>
      <c r="H1554" s="13">
        <v>0.28999999999999998</v>
      </c>
      <c r="I1554" t="s">
        <v>1931</v>
      </c>
      <c r="J1554" s="16">
        <v>2474.2080000000001</v>
      </c>
      <c r="K1554" s="19">
        <f t="shared" si="120"/>
        <v>478592.7030000001</v>
      </c>
      <c r="L1554" s="22">
        <f t="shared" si="121"/>
        <v>1068.287283482143</v>
      </c>
      <c r="M1554" s="22">
        <f t="shared" si="122"/>
        <v>141</v>
      </c>
      <c r="N1554" s="22" t="str">
        <f t="shared" si="123"/>
        <v>High Value</v>
      </c>
      <c r="O1554" s="22" t="str">
        <f t="shared" si="124"/>
        <v>Jun-2024</v>
      </c>
      <c r="P1554" s="22" t="s">
        <v>1775</v>
      </c>
      <c r="Q1554" s="22" t="s">
        <v>1569</v>
      </c>
      <c r="R1554" s="22" t="s">
        <v>40</v>
      </c>
      <c r="S1554" s="22"/>
      <c r="T1554" s="22"/>
      <c r="V1554" s="26" t="s">
        <v>1933</v>
      </c>
      <c r="W1554" s="6">
        <v>2</v>
      </c>
    </row>
    <row r="1555" spans="1:23">
      <c r="A1555" t="s">
        <v>3492</v>
      </c>
      <c r="B1555" s="8">
        <v>45724</v>
      </c>
      <c r="C1555" t="s">
        <v>1178</v>
      </c>
      <c r="D1555" t="s">
        <v>1600</v>
      </c>
      <c r="E1555" t="s">
        <v>1906</v>
      </c>
      <c r="F1555">
        <v>4</v>
      </c>
      <c r="G1555" s="10">
        <v>317.11</v>
      </c>
      <c r="H1555" s="13">
        <v>0.16</v>
      </c>
      <c r="I1555" t="s">
        <v>1933</v>
      </c>
      <c r="J1555" s="16">
        <v>1065.4896000000001</v>
      </c>
      <c r="K1555" s="19">
        <f t="shared" si="120"/>
        <v>476118.49500000011</v>
      </c>
      <c r="L1555" s="22">
        <f t="shared" si="121"/>
        <v>1065.1420469798661</v>
      </c>
      <c r="M1555" s="22">
        <f t="shared" si="122"/>
        <v>141</v>
      </c>
      <c r="N1555" s="22" t="str">
        <f t="shared" si="123"/>
        <v>High Value</v>
      </c>
      <c r="O1555" s="22" t="str">
        <f t="shared" si="124"/>
        <v>Mar-2025</v>
      </c>
      <c r="P1555" s="22" t="s">
        <v>1601</v>
      </c>
      <c r="Q1555" s="22" t="s">
        <v>1536</v>
      </c>
      <c r="R1555" s="22" t="s">
        <v>1179</v>
      </c>
      <c r="S1555" s="22"/>
      <c r="T1555" s="22"/>
      <c r="V1555" s="25" t="s">
        <v>1283</v>
      </c>
      <c r="W1555" s="6">
        <v>5</v>
      </c>
    </row>
    <row r="1556" spans="1:23">
      <c r="A1556" t="s">
        <v>3493</v>
      </c>
      <c r="B1556" s="8">
        <v>45338</v>
      </c>
      <c r="C1556" t="s">
        <v>824</v>
      </c>
      <c r="D1556" t="s">
        <v>1624</v>
      </c>
      <c r="E1556" t="s">
        <v>1904</v>
      </c>
      <c r="F1556">
        <v>2</v>
      </c>
      <c r="G1556" s="10">
        <v>388.34</v>
      </c>
      <c r="H1556" s="13">
        <v>0.09</v>
      </c>
      <c r="I1556" t="s">
        <v>1933</v>
      </c>
      <c r="J1556" s="16">
        <v>706.77879999999993</v>
      </c>
      <c r="K1556" s="19">
        <f t="shared" si="120"/>
        <v>475053.00540000008</v>
      </c>
      <c r="L1556" s="22">
        <f t="shared" si="121"/>
        <v>1065.1412677130047</v>
      </c>
      <c r="M1556" s="22">
        <f t="shared" si="122"/>
        <v>140</v>
      </c>
      <c r="N1556" s="22" t="str">
        <f t="shared" si="123"/>
        <v>Low Value</v>
      </c>
      <c r="O1556" s="22" t="str">
        <f t="shared" si="124"/>
        <v>Feb-2024</v>
      </c>
      <c r="P1556" s="22" t="s">
        <v>1625</v>
      </c>
      <c r="Q1556" s="22" t="s">
        <v>1536</v>
      </c>
      <c r="R1556" s="22" t="s">
        <v>825</v>
      </c>
      <c r="S1556" s="22"/>
      <c r="T1556" s="22"/>
      <c r="V1556" s="26" t="s">
        <v>1931</v>
      </c>
      <c r="W1556" s="6">
        <v>4</v>
      </c>
    </row>
    <row r="1557" spans="1:23">
      <c r="A1557" t="s">
        <v>3494</v>
      </c>
      <c r="B1557" s="8">
        <v>45252</v>
      </c>
      <c r="C1557" t="s">
        <v>1002</v>
      </c>
      <c r="D1557" t="s">
        <v>1639</v>
      </c>
      <c r="E1557" t="s">
        <v>1883</v>
      </c>
      <c r="F1557">
        <v>4</v>
      </c>
      <c r="G1557" s="10">
        <v>998.2</v>
      </c>
      <c r="H1557" s="13">
        <v>0.15</v>
      </c>
      <c r="I1557" t="s">
        <v>1931</v>
      </c>
      <c r="J1557" s="16">
        <v>3393.88</v>
      </c>
      <c r="K1557" s="19">
        <f t="shared" si="120"/>
        <v>474346.22660000011</v>
      </c>
      <c r="L1557" s="22">
        <f t="shared" si="121"/>
        <v>1065.9465766292137</v>
      </c>
      <c r="M1557" s="22">
        <f t="shared" si="122"/>
        <v>139</v>
      </c>
      <c r="N1557" s="22" t="str">
        <f t="shared" si="123"/>
        <v>High Value</v>
      </c>
      <c r="O1557" s="22" t="str">
        <f t="shared" si="124"/>
        <v>Nov-2023</v>
      </c>
      <c r="P1557" s="22" t="s">
        <v>1640</v>
      </c>
      <c r="Q1557" s="22" t="s">
        <v>1560</v>
      </c>
      <c r="R1557" s="22" t="s">
        <v>1003</v>
      </c>
      <c r="S1557" s="22"/>
      <c r="T1557" s="22"/>
      <c r="V1557" s="26" t="s">
        <v>1933</v>
      </c>
      <c r="W1557" s="6">
        <v>1</v>
      </c>
    </row>
    <row r="1558" spans="1:23">
      <c r="A1558" t="s">
        <v>3495</v>
      </c>
      <c r="B1558" s="8">
        <v>45606</v>
      </c>
      <c r="C1558" t="s">
        <v>1503</v>
      </c>
      <c r="D1558" t="s">
        <v>1658</v>
      </c>
      <c r="E1558" t="s">
        <v>1859</v>
      </c>
      <c r="F1558">
        <v>1</v>
      </c>
      <c r="G1558" s="10">
        <v>887.38</v>
      </c>
      <c r="H1558" s="13">
        <v>0.01</v>
      </c>
      <c r="I1558" t="s">
        <v>1936</v>
      </c>
      <c r="J1558" s="16">
        <v>878.50620000000004</v>
      </c>
      <c r="K1558" s="19">
        <f t="shared" si="120"/>
        <v>470952.34660000011</v>
      </c>
      <c r="L1558" s="22">
        <f t="shared" si="121"/>
        <v>1060.7034833333337</v>
      </c>
      <c r="M1558" s="22">
        <f t="shared" si="122"/>
        <v>139</v>
      </c>
      <c r="N1558" s="22" t="str">
        <f t="shared" si="123"/>
        <v>Low Value</v>
      </c>
      <c r="O1558" s="22" t="str">
        <f t="shared" si="124"/>
        <v>Nov-2024</v>
      </c>
      <c r="P1558" s="22" t="s">
        <v>1659</v>
      </c>
      <c r="Q1558" s="22" t="s">
        <v>1536</v>
      </c>
      <c r="R1558" s="22" t="s">
        <v>1504</v>
      </c>
      <c r="S1558" s="22"/>
      <c r="T1558" s="22"/>
      <c r="V1558" s="25" t="s">
        <v>805</v>
      </c>
      <c r="W1558" s="6">
        <v>19</v>
      </c>
    </row>
    <row r="1559" spans="1:23">
      <c r="A1559" t="s">
        <v>3496</v>
      </c>
      <c r="B1559" s="8">
        <v>45524</v>
      </c>
      <c r="C1559" t="s">
        <v>981</v>
      </c>
      <c r="D1559" t="s">
        <v>1661</v>
      </c>
      <c r="E1559" t="s">
        <v>1901</v>
      </c>
      <c r="F1559">
        <v>4</v>
      </c>
      <c r="G1559" s="10">
        <v>332.97</v>
      </c>
      <c r="H1559" s="13">
        <v>0.28000000000000003</v>
      </c>
      <c r="I1559" t="s">
        <v>1931</v>
      </c>
      <c r="J1559" s="16">
        <v>958.95360000000005</v>
      </c>
      <c r="K1559" s="19">
        <f t="shared" si="120"/>
        <v>470073.8404000001</v>
      </c>
      <c r="L1559" s="22">
        <f t="shared" si="121"/>
        <v>1061.1147638826187</v>
      </c>
      <c r="M1559" s="22">
        <f t="shared" si="122"/>
        <v>139</v>
      </c>
      <c r="N1559" s="22" t="str">
        <f t="shared" si="123"/>
        <v>Low Value</v>
      </c>
      <c r="O1559" s="22" t="str">
        <f t="shared" si="124"/>
        <v>Aug-2024</v>
      </c>
      <c r="P1559" s="22" t="s">
        <v>1662</v>
      </c>
      <c r="Q1559" s="22" t="s">
        <v>1536</v>
      </c>
      <c r="R1559" s="22" t="s">
        <v>982</v>
      </c>
      <c r="S1559" s="22"/>
      <c r="T1559" s="22"/>
      <c r="V1559" s="26" t="s">
        <v>1936</v>
      </c>
      <c r="W1559" s="6">
        <v>4</v>
      </c>
    </row>
    <row r="1560" spans="1:23">
      <c r="A1560" t="s">
        <v>3497</v>
      </c>
      <c r="B1560" s="8">
        <v>45934</v>
      </c>
      <c r="C1560" t="s">
        <v>93</v>
      </c>
      <c r="D1560" t="s">
        <v>1690</v>
      </c>
      <c r="E1560" t="s">
        <v>1859</v>
      </c>
      <c r="F1560">
        <v>2</v>
      </c>
      <c r="G1560" s="10">
        <v>157.91</v>
      </c>
      <c r="H1560" s="13">
        <v>0.09</v>
      </c>
      <c r="I1560" t="s">
        <v>1936</v>
      </c>
      <c r="J1560" s="16">
        <v>287.39620000000002</v>
      </c>
      <c r="K1560" s="19">
        <f t="shared" si="120"/>
        <v>469114.88680000009</v>
      </c>
      <c r="L1560" s="22">
        <f t="shared" si="121"/>
        <v>1061.3458977375567</v>
      </c>
      <c r="M1560" s="22">
        <f t="shared" si="122"/>
        <v>139</v>
      </c>
      <c r="N1560" s="22" t="str">
        <f t="shared" si="123"/>
        <v>Low Value</v>
      </c>
      <c r="O1560" s="22" t="str">
        <f t="shared" si="124"/>
        <v>Oct-2025</v>
      </c>
      <c r="P1560" s="22" t="s">
        <v>1691</v>
      </c>
      <c r="Q1560" s="22" t="s">
        <v>1536</v>
      </c>
      <c r="R1560" s="22" t="s">
        <v>94</v>
      </c>
      <c r="S1560" s="22"/>
      <c r="T1560" s="22"/>
      <c r="V1560" s="26" t="s">
        <v>1931</v>
      </c>
      <c r="W1560" s="6">
        <v>13</v>
      </c>
    </row>
    <row r="1561" spans="1:23">
      <c r="A1561" t="s">
        <v>3498</v>
      </c>
      <c r="B1561" s="8">
        <v>45539</v>
      </c>
      <c r="C1561" t="s">
        <v>1110</v>
      </c>
      <c r="D1561" t="s">
        <v>1579</v>
      </c>
      <c r="E1561" t="s">
        <v>1917</v>
      </c>
      <c r="F1561">
        <v>1</v>
      </c>
      <c r="G1561" s="10">
        <v>548.15</v>
      </c>
      <c r="H1561" s="13">
        <v>0.11</v>
      </c>
      <c r="I1561" t="s">
        <v>1931</v>
      </c>
      <c r="J1561" s="16">
        <v>487.8535</v>
      </c>
      <c r="K1561" s="19">
        <f t="shared" si="120"/>
        <v>468827.49060000008</v>
      </c>
      <c r="L1561" s="22">
        <f t="shared" si="121"/>
        <v>1063.1008857142858</v>
      </c>
      <c r="M1561" s="22">
        <f t="shared" si="122"/>
        <v>139</v>
      </c>
      <c r="N1561" s="22" t="str">
        <f t="shared" si="123"/>
        <v>Low Value</v>
      </c>
      <c r="O1561" s="22" t="str">
        <f t="shared" si="124"/>
        <v>Sep-2024</v>
      </c>
      <c r="P1561" s="22" t="s">
        <v>1580</v>
      </c>
      <c r="Q1561" s="22" t="s">
        <v>1555</v>
      </c>
      <c r="R1561" s="22" t="s">
        <v>1111</v>
      </c>
      <c r="S1561" s="22"/>
      <c r="T1561" s="22"/>
      <c r="V1561" s="26" t="s">
        <v>1933</v>
      </c>
      <c r="W1561" s="6">
        <v>2</v>
      </c>
    </row>
    <row r="1562" spans="1:23">
      <c r="A1562" t="s">
        <v>3499</v>
      </c>
      <c r="B1562" s="8">
        <v>45555</v>
      </c>
      <c r="C1562" t="s">
        <v>679</v>
      </c>
      <c r="D1562" t="s">
        <v>1697</v>
      </c>
      <c r="E1562" t="s">
        <v>1908</v>
      </c>
      <c r="F1562">
        <v>1</v>
      </c>
      <c r="G1562" s="10">
        <v>135.13</v>
      </c>
      <c r="H1562" s="13">
        <v>0.04</v>
      </c>
      <c r="I1562" t="s">
        <v>1931</v>
      </c>
      <c r="J1562" s="16">
        <v>129.72479999999999</v>
      </c>
      <c r="K1562" s="19">
        <f t="shared" si="120"/>
        <v>468339.63710000011</v>
      </c>
      <c r="L1562" s="22">
        <f t="shared" si="121"/>
        <v>1064.4082661363639</v>
      </c>
      <c r="M1562" s="22">
        <f t="shared" si="122"/>
        <v>139</v>
      </c>
      <c r="N1562" s="22" t="str">
        <f t="shared" si="123"/>
        <v>Low Value</v>
      </c>
      <c r="O1562" s="22" t="str">
        <f t="shared" si="124"/>
        <v>Sep-2024</v>
      </c>
      <c r="P1562" s="22" t="s">
        <v>1698</v>
      </c>
      <c r="Q1562" s="22" t="s">
        <v>1531</v>
      </c>
      <c r="R1562" s="22" t="s">
        <v>680</v>
      </c>
      <c r="S1562" s="22"/>
      <c r="T1562" s="22"/>
      <c r="V1562" s="25" t="s">
        <v>1397</v>
      </c>
      <c r="W1562" s="6">
        <v>10</v>
      </c>
    </row>
    <row r="1563" spans="1:23">
      <c r="A1563" t="s">
        <v>3500</v>
      </c>
      <c r="B1563" s="8">
        <v>45281</v>
      </c>
      <c r="C1563" t="s">
        <v>709</v>
      </c>
      <c r="D1563" t="s">
        <v>1722</v>
      </c>
      <c r="E1563" t="s">
        <v>1873</v>
      </c>
      <c r="F1563">
        <v>3</v>
      </c>
      <c r="G1563" s="10">
        <v>579.26</v>
      </c>
      <c r="H1563" s="13">
        <v>0.19</v>
      </c>
      <c r="I1563" t="s">
        <v>1931</v>
      </c>
      <c r="J1563" s="16">
        <v>1407.6017999999999</v>
      </c>
      <c r="K1563" s="19">
        <f t="shared" si="120"/>
        <v>468209.91230000014</v>
      </c>
      <c r="L1563" s="22">
        <f t="shared" si="121"/>
        <v>1066.5373856492031</v>
      </c>
      <c r="M1563" s="22">
        <f t="shared" si="122"/>
        <v>139</v>
      </c>
      <c r="N1563" s="22" t="str">
        <f t="shared" si="123"/>
        <v>High Value</v>
      </c>
      <c r="O1563" s="22" t="str">
        <f t="shared" si="124"/>
        <v>Dec-2023</v>
      </c>
      <c r="P1563" s="22" t="s">
        <v>1723</v>
      </c>
      <c r="Q1563" s="22" t="s">
        <v>1560</v>
      </c>
      <c r="R1563" s="22" t="s">
        <v>710</v>
      </c>
      <c r="S1563" s="22"/>
      <c r="T1563" s="22"/>
      <c r="V1563" s="26" t="s">
        <v>1936</v>
      </c>
      <c r="W1563" s="6">
        <v>2</v>
      </c>
    </row>
    <row r="1564" spans="1:23">
      <c r="A1564" t="s">
        <v>3501</v>
      </c>
      <c r="B1564" s="8">
        <v>45582</v>
      </c>
      <c r="C1564" t="s">
        <v>1208</v>
      </c>
      <c r="D1564" t="s">
        <v>1597</v>
      </c>
      <c r="E1564" t="s">
        <v>1859</v>
      </c>
      <c r="F1564">
        <v>1</v>
      </c>
      <c r="G1564" s="10">
        <v>465.63</v>
      </c>
      <c r="H1564" s="13">
        <v>0.25</v>
      </c>
      <c r="I1564" t="s">
        <v>1931</v>
      </c>
      <c r="J1564" s="16">
        <v>349.22250000000003</v>
      </c>
      <c r="K1564" s="19">
        <f t="shared" si="120"/>
        <v>466802.31050000014</v>
      </c>
      <c r="L1564" s="22">
        <f t="shared" si="121"/>
        <v>1065.7586997716899</v>
      </c>
      <c r="M1564" s="22">
        <f t="shared" si="122"/>
        <v>139</v>
      </c>
      <c r="N1564" s="22" t="str">
        <f t="shared" si="123"/>
        <v>Low Value</v>
      </c>
      <c r="O1564" s="22" t="str">
        <f t="shared" si="124"/>
        <v>Oct-2024</v>
      </c>
      <c r="P1564" s="22" t="s">
        <v>1598</v>
      </c>
      <c r="Q1564" s="22" t="s">
        <v>1569</v>
      </c>
      <c r="R1564" s="22" t="s">
        <v>1209</v>
      </c>
      <c r="S1564" s="22"/>
      <c r="T1564" s="22"/>
      <c r="V1564" s="26" t="s">
        <v>1931</v>
      </c>
      <c r="W1564" s="6">
        <v>2</v>
      </c>
    </row>
    <row r="1565" spans="1:23">
      <c r="A1565" t="s">
        <v>3502</v>
      </c>
      <c r="B1565" s="8">
        <v>45372</v>
      </c>
      <c r="C1565" t="s">
        <v>178</v>
      </c>
      <c r="D1565" t="s">
        <v>1783</v>
      </c>
      <c r="E1565" t="s">
        <v>1911</v>
      </c>
      <c r="F1565">
        <v>2</v>
      </c>
      <c r="G1565" s="10">
        <v>675.61</v>
      </c>
      <c r="H1565" s="13">
        <v>0.08</v>
      </c>
      <c r="I1565" t="s">
        <v>1936</v>
      </c>
      <c r="J1565" s="16">
        <v>1243.1224</v>
      </c>
      <c r="K1565" s="19">
        <f t="shared" si="120"/>
        <v>466453.08800000016</v>
      </c>
      <c r="L1565" s="22">
        <f t="shared" si="121"/>
        <v>1067.3983707093826</v>
      </c>
      <c r="M1565" s="22">
        <f t="shared" si="122"/>
        <v>139</v>
      </c>
      <c r="N1565" s="22" t="str">
        <f t="shared" si="123"/>
        <v>High Value</v>
      </c>
      <c r="O1565" s="22" t="str">
        <f t="shared" si="124"/>
        <v>Mar-2024</v>
      </c>
      <c r="P1565" s="22" t="s">
        <v>1784</v>
      </c>
      <c r="Q1565" s="22" t="s">
        <v>1531</v>
      </c>
      <c r="R1565" s="22" t="s">
        <v>179</v>
      </c>
      <c r="S1565" s="22"/>
      <c r="T1565" s="22"/>
      <c r="V1565" s="26" t="s">
        <v>1933</v>
      </c>
      <c r="W1565" s="6">
        <v>6</v>
      </c>
    </row>
    <row r="1566" spans="1:23">
      <c r="A1566" t="s">
        <v>3503</v>
      </c>
      <c r="B1566" s="8">
        <v>45458</v>
      </c>
      <c r="C1566" t="s">
        <v>1285</v>
      </c>
      <c r="D1566" t="s">
        <v>1649</v>
      </c>
      <c r="E1566" t="s">
        <v>1883</v>
      </c>
      <c r="F1566">
        <v>1</v>
      </c>
      <c r="G1566" s="10">
        <v>718.99</v>
      </c>
      <c r="H1566" s="13">
        <v>0.08</v>
      </c>
      <c r="I1566" t="s">
        <v>1933</v>
      </c>
      <c r="J1566" s="16">
        <v>661.47080000000005</v>
      </c>
      <c r="K1566" s="19">
        <f t="shared" si="120"/>
        <v>465209.96560000017</v>
      </c>
      <c r="L1566" s="22">
        <f t="shared" si="121"/>
        <v>1066.9953339449546</v>
      </c>
      <c r="M1566" s="22">
        <f t="shared" si="122"/>
        <v>139</v>
      </c>
      <c r="N1566" s="22" t="str">
        <f t="shared" si="123"/>
        <v>Low Value</v>
      </c>
      <c r="O1566" s="22" t="str">
        <f t="shared" si="124"/>
        <v>Jun-2024</v>
      </c>
      <c r="P1566" s="22" t="s">
        <v>1650</v>
      </c>
      <c r="Q1566" s="22" t="s">
        <v>1560</v>
      </c>
      <c r="R1566" s="22" t="s">
        <v>1286</v>
      </c>
      <c r="S1566" s="22"/>
      <c r="T1566" s="22"/>
      <c r="V1566" s="25" t="s">
        <v>858</v>
      </c>
      <c r="W1566" s="6">
        <v>15</v>
      </c>
    </row>
    <row r="1567" spans="1:23">
      <c r="A1567" t="s">
        <v>3504</v>
      </c>
      <c r="B1567" s="8">
        <v>45943</v>
      </c>
      <c r="C1567" t="s">
        <v>1169</v>
      </c>
      <c r="D1567" t="s">
        <v>1586</v>
      </c>
      <c r="E1567" t="s">
        <v>1896</v>
      </c>
      <c r="F1567">
        <v>2</v>
      </c>
      <c r="G1567" s="10">
        <v>675.65</v>
      </c>
      <c r="H1567" s="13">
        <v>0.2</v>
      </c>
      <c r="I1567" t="s">
        <v>1936</v>
      </c>
      <c r="J1567" s="16">
        <v>1081.04</v>
      </c>
      <c r="K1567" s="19">
        <f t="shared" si="120"/>
        <v>464548.4948000001</v>
      </c>
      <c r="L1567" s="22">
        <f t="shared" si="121"/>
        <v>1067.9275742528739</v>
      </c>
      <c r="M1567" s="22">
        <f t="shared" si="122"/>
        <v>138</v>
      </c>
      <c r="N1567" s="22" t="str">
        <f t="shared" si="123"/>
        <v>High Value</v>
      </c>
      <c r="O1567" s="22" t="str">
        <f t="shared" si="124"/>
        <v>Oct-2025</v>
      </c>
      <c r="P1567" s="22" t="s">
        <v>1587</v>
      </c>
      <c r="Q1567" s="22" t="s">
        <v>1560</v>
      </c>
      <c r="R1567" s="22" t="s">
        <v>1170</v>
      </c>
      <c r="S1567" s="22"/>
      <c r="T1567" s="22"/>
      <c r="V1567" s="26" t="s">
        <v>1936</v>
      </c>
      <c r="W1567" s="6">
        <v>3</v>
      </c>
    </row>
    <row r="1568" spans="1:23">
      <c r="A1568" t="s">
        <v>3505</v>
      </c>
      <c r="B1568" s="8">
        <v>45374</v>
      </c>
      <c r="C1568" t="s">
        <v>1052</v>
      </c>
      <c r="D1568" t="s">
        <v>1840</v>
      </c>
      <c r="E1568" t="s">
        <v>1908</v>
      </c>
      <c r="F1568">
        <v>4</v>
      </c>
      <c r="G1568" s="10">
        <v>284.24</v>
      </c>
      <c r="H1568" s="13">
        <v>0.1</v>
      </c>
      <c r="I1568" t="s">
        <v>1931</v>
      </c>
      <c r="J1568" s="16">
        <v>1023.264</v>
      </c>
      <c r="K1568" s="19">
        <f t="shared" si="120"/>
        <v>463467.45480000012</v>
      </c>
      <c r="L1568" s="22">
        <f t="shared" si="121"/>
        <v>1067.8973612903228</v>
      </c>
      <c r="M1568" s="22">
        <f t="shared" si="122"/>
        <v>138</v>
      </c>
      <c r="N1568" s="22" t="str">
        <f t="shared" si="123"/>
        <v>High Value</v>
      </c>
      <c r="O1568" s="22" t="str">
        <f t="shared" si="124"/>
        <v>Mar-2024</v>
      </c>
      <c r="P1568" s="22" t="s">
        <v>1841</v>
      </c>
      <c r="Q1568" s="22" t="s">
        <v>1569</v>
      </c>
      <c r="R1568" s="22" t="s">
        <v>1053</v>
      </c>
      <c r="S1568" s="22"/>
      <c r="T1568" s="22"/>
      <c r="V1568" s="26" t="s">
        <v>1931</v>
      </c>
      <c r="W1568" s="6">
        <v>8</v>
      </c>
    </row>
    <row r="1569" spans="1:23">
      <c r="A1569" t="s">
        <v>3506</v>
      </c>
      <c r="B1569" s="8">
        <v>45374</v>
      </c>
      <c r="C1569" t="s">
        <v>691</v>
      </c>
      <c r="D1569" t="s">
        <v>1534</v>
      </c>
      <c r="E1569" t="s">
        <v>1873</v>
      </c>
      <c r="F1569">
        <v>1</v>
      </c>
      <c r="G1569" s="10">
        <v>94.26</v>
      </c>
      <c r="H1569" s="13">
        <v>0.18</v>
      </c>
      <c r="I1569" t="s">
        <v>1933</v>
      </c>
      <c r="J1569" s="16">
        <v>77.293200000000013</v>
      </c>
      <c r="K1569" s="19">
        <f t="shared" si="120"/>
        <v>462444.1908000001</v>
      </c>
      <c r="L1569" s="22">
        <f t="shared" si="121"/>
        <v>1068.0004406466514</v>
      </c>
      <c r="M1569" s="22">
        <f t="shared" si="122"/>
        <v>138</v>
      </c>
      <c r="N1569" s="22" t="str">
        <f t="shared" si="123"/>
        <v>Low Value</v>
      </c>
      <c r="O1569" s="22" t="str">
        <f t="shared" si="124"/>
        <v>Mar-2024</v>
      </c>
      <c r="P1569" s="22" t="s">
        <v>1535</v>
      </c>
      <c r="Q1569" s="22" t="s">
        <v>1536</v>
      </c>
      <c r="R1569" s="22" t="s">
        <v>692</v>
      </c>
      <c r="S1569" s="22"/>
      <c r="T1569" s="22"/>
      <c r="V1569" s="26" t="s">
        <v>1933</v>
      </c>
      <c r="W1569" s="6">
        <v>4</v>
      </c>
    </row>
    <row r="1570" spans="1:23">
      <c r="A1570" t="s">
        <v>3507</v>
      </c>
      <c r="B1570" s="8">
        <v>45789</v>
      </c>
      <c r="C1570" t="s">
        <v>1285</v>
      </c>
      <c r="D1570" t="s">
        <v>1553</v>
      </c>
      <c r="E1570" t="s">
        <v>1896</v>
      </c>
      <c r="F1570">
        <v>4</v>
      </c>
      <c r="G1570" s="10">
        <v>458.58</v>
      </c>
      <c r="H1570" s="13">
        <v>0.28999999999999998</v>
      </c>
      <c r="I1570" t="s">
        <v>1936</v>
      </c>
      <c r="J1570" s="16">
        <v>1302.3671999999999</v>
      </c>
      <c r="K1570" s="19">
        <f t="shared" si="120"/>
        <v>462366.89760000014</v>
      </c>
      <c r="L1570" s="22">
        <f t="shared" si="121"/>
        <v>1070.2937444444449</v>
      </c>
      <c r="M1570" s="22">
        <f t="shared" si="122"/>
        <v>137</v>
      </c>
      <c r="N1570" s="22" t="str">
        <f t="shared" si="123"/>
        <v>High Value</v>
      </c>
      <c r="O1570" s="22" t="str">
        <f t="shared" si="124"/>
        <v>May-2025</v>
      </c>
      <c r="P1570" s="22" t="s">
        <v>1554</v>
      </c>
      <c r="Q1570" s="22" t="s">
        <v>1555</v>
      </c>
      <c r="R1570" s="22" t="s">
        <v>1286</v>
      </c>
      <c r="S1570" s="22"/>
      <c r="T1570" s="22"/>
      <c r="V1570" s="25" t="s">
        <v>802</v>
      </c>
      <c r="W1570" s="6">
        <v>5</v>
      </c>
    </row>
    <row r="1571" spans="1:23">
      <c r="A1571" t="s">
        <v>3508</v>
      </c>
      <c r="B1571" s="8">
        <v>45452</v>
      </c>
      <c r="C1571" t="s">
        <v>391</v>
      </c>
      <c r="D1571" t="s">
        <v>1749</v>
      </c>
      <c r="E1571" t="s">
        <v>1896</v>
      </c>
      <c r="F1571">
        <v>4</v>
      </c>
      <c r="G1571" s="10">
        <v>704.49</v>
      </c>
      <c r="H1571" s="13">
        <v>0.05</v>
      </c>
      <c r="I1571" t="s">
        <v>1936</v>
      </c>
      <c r="J1571" s="16">
        <v>2677.0619999999999</v>
      </c>
      <c r="K1571" s="19">
        <f t="shared" si="120"/>
        <v>461064.53040000016</v>
      </c>
      <c r="L1571" s="22">
        <f t="shared" si="121"/>
        <v>1069.7552909512765</v>
      </c>
      <c r="M1571" s="22">
        <f t="shared" si="122"/>
        <v>137</v>
      </c>
      <c r="N1571" s="22" t="str">
        <f t="shared" si="123"/>
        <v>High Value</v>
      </c>
      <c r="O1571" s="22" t="str">
        <f t="shared" si="124"/>
        <v>Jun-2024</v>
      </c>
      <c r="P1571" s="22" t="s">
        <v>1750</v>
      </c>
      <c r="Q1571" s="22" t="s">
        <v>1569</v>
      </c>
      <c r="R1571" s="22" t="s">
        <v>392</v>
      </c>
      <c r="S1571" s="22"/>
      <c r="T1571" s="22"/>
      <c r="V1571" s="26" t="s">
        <v>1936</v>
      </c>
      <c r="W1571" s="6">
        <v>4</v>
      </c>
    </row>
    <row r="1572" spans="1:23">
      <c r="A1572" t="s">
        <v>3509</v>
      </c>
      <c r="B1572" s="8">
        <v>45284</v>
      </c>
      <c r="C1572" t="s">
        <v>130</v>
      </c>
      <c r="D1572" t="s">
        <v>1630</v>
      </c>
      <c r="E1572" t="s">
        <v>1920</v>
      </c>
      <c r="F1572">
        <v>4</v>
      </c>
      <c r="G1572" s="10">
        <v>822.32</v>
      </c>
      <c r="H1572" s="13">
        <v>0.26</v>
      </c>
      <c r="I1572" t="s">
        <v>1933</v>
      </c>
      <c r="J1572" s="16">
        <v>2434.0672</v>
      </c>
      <c r="K1572" s="19">
        <f t="shared" si="120"/>
        <v>458387.46840000013</v>
      </c>
      <c r="L1572" s="22">
        <f t="shared" si="121"/>
        <v>1066.0173683720934</v>
      </c>
      <c r="M1572" s="22">
        <f t="shared" si="122"/>
        <v>137</v>
      </c>
      <c r="N1572" s="22" t="str">
        <f t="shared" si="123"/>
        <v>High Value</v>
      </c>
      <c r="O1572" s="22" t="str">
        <f t="shared" si="124"/>
        <v>Dec-2023</v>
      </c>
      <c r="P1572" s="22" t="s">
        <v>1631</v>
      </c>
      <c r="Q1572" s="22" t="s">
        <v>1560</v>
      </c>
      <c r="R1572" s="22" t="s">
        <v>131</v>
      </c>
      <c r="S1572" s="22"/>
      <c r="T1572" s="22"/>
      <c r="V1572" s="26" t="s">
        <v>1933</v>
      </c>
      <c r="W1572" s="6">
        <v>1</v>
      </c>
    </row>
    <row r="1573" spans="1:23">
      <c r="A1573" t="s">
        <v>3510</v>
      </c>
      <c r="B1573" s="8">
        <v>45325</v>
      </c>
      <c r="C1573" t="s">
        <v>786</v>
      </c>
      <c r="D1573" t="s">
        <v>2033</v>
      </c>
      <c r="E1573" t="s">
        <v>1904</v>
      </c>
      <c r="F1573">
        <v>4</v>
      </c>
      <c r="G1573" s="10">
        <v>785.41</v>
      </c>
      <c r="H1573" s="13">
        <v>0.13</v>
      </c>
      <c r="I1573" t="s">
        <v>1936</v>
      </c>
      <c r="J1573" s="16">
        <v>2733.2267999999999</v>
      </c>
      <c r="K1573" s="19">
        <f t="shared" si="120"/>
        <v>455953.40120000014</v>
      </c>
      <c r="L1573" s="22">
        <f t="shared" si="121"/>
        <v>1062.8284410256413</v>
      </c>
      <c r="M1573" s="22">
        <f t="shared" si="122"/>
        <v>136</v>
      </c>
      <c r="N1573" s="22" t="str">
        <f t="shared" si="123"/>
        <v>High Value</v>
      </c>
      <c r="O1573" s="22" t="str">
        <f t="shared" si="124"/>
        <v>Feb-2024</v>
      </c>
      <c r="P1573" s="22" t="s">
        <v>1543</v>
      </c>
      <c r="Q1573" s="22" t="s">
        <v>1536</v>
      </c>
      <c r="R1573" s="22" t="s">
        <v>787</v>
      </c>
      <c r="S1573" s="22"/>
      <c r="T1573" s="22"/>
      <c r="V1573" s="25" t="s">
        <v>1032</v>
      </c>
      <c r="W1573" s="6">
        <v>9</v>
      </c>
    </row>
    <row r="1574" spans="1:23">
      <c r="A1574" t="s">
        <v>3511</v>
      </c>
      <c r="B1574" s="8">
        <v>45465</v>
      </c>
      <c r="C1574" t="s">
        <v>127</v>
      </c>
      <c r="D1574" t="s">
        <v>1668</v>
      </c>
      <c r="E1574" t="s">
        <v>1906</v>
      </c>
      <c r="F1574">
        <v>1</v>
      </c>
      <c r="G1574" s="10">
        <v>405.8</v>
      </c>
      <c r="H1574" s="13">
        <v>0.11</v>
      </c>
      <c r="I1574" t="s">
        <v>1933</v>
      </c>
      <c r="J1574" s="16">
        <v>361.16199999999998</v>
      </c>
      <c r="K1574" s="19">
        <f t="shared" si="120"/>
        <v>453220.17440000008</v>
      </c>
      <c r="L1574" s="22">
        <f t="shared" si="121"/>
        <v>1058.9256411214956</v>
      </c>
      <c r="M1574" s="22">
        <f t="shared" si="122"/>
        <v>136</v>
      </c>
      <c r="N1574" s="22" t="str">
        <f t="shared" si="123"/>
        <v>Low Value</v>
      </c>
      <c r="O1574" s="22" t="str">
        <f t="shared" si="124"/>
        <v>Jun-2024</v>
      </c>
      <c r="P1574" s="22" t="s">
        <v>1669</v>
      </c>
      <c r="Q1574" s="22" t="s">
        <v>1531</v>
      </c>
      <c r="R1574" s="22" t="s">
        <v>128</v>
      </c>
      <c r="S1574" s="22"/>
      <c r="T1574" s="22"/>
      <c r="V1574" s="26" t="s">
        <v>1936</v>
      </c>
      <c r="W1574" s="6">
        <v>1</v>
      </c>
    </row>
    <row r="1575" spans="1:23">
      <c r="A1575" t="s">
        <v>3512</v>
      </c>
      <c r="B1575" s="8">
        <v>45612</v>
      </c>
      <c r="C1575" t="s">
        <v>1334</v>
      </c>
      <c r="D1575" t="s">
        <v>1828</v>
      </c>
      <c r="E1575" t="s">
        <v>1893</v>
      </c>
      <c r="F1575">
        <v>2</v>
      </c>
      <c r="G1575" s="10">
        <v>976.83</v>
      </c>
      <c r="H1575" s="13">
        <v>0.1</v>
      </c>
      <c r="I1575" t="s">
        <v>1933</v>
      </c>
      <c r="J1575" s="16">
        <v>1758.2940000000001</v>
      </c>
      <c r="K1575" s="19">
        <f t="shared" si="120"/>
        <v>452859.01240000007</v>
      </c>
      <c r="L1575" s="22">
        <f t="shared" si="121"/>
        <v>1060.5597480093679</v>
      </c>
      <c r="M1575" s="22">
        <f t="shared" si="122"/>
        <v>135</v>
      </c>
      <c r="N1575" s="22" t="str">
        <f t="shared" si="123"/>
        <v>High Value</v>
      </c>
      <c r="O1575" s="22" t="str">
        <f t="shared" si="124"/>
        <v>Nov-2024</v>
      </c>
      <c r="P1575" s="22" t="s">
        <v>1829</v>
      </c>
      <c r="Q1575" s="22" t="s">
        <v>1536</v>
      </c>
      <c r="R1575" s="22" t="s">
        <v>1335</v>
      </c>
      <c r="S1575" s="22"/>
      <c r="T1575" s="22"/>
      <c r="V1575" s="26" t="s">
        <v>1931</v>
      </c>
      <c r="W1575" s="6">
        <v>6</v>
      </c>
    </row>
    <row r="1576" spans="1:23">
      <c r="A1576" t="s">
        <v>3513</v>
      </c>
      <c r="B1576" s="8">
        <v>45472</v>
      </c>
      <c r="C1576" t="s">
        <v>868</v>
      </c>
      <c r="D1576" t="s">
        <v>1746</v>
      </c>
      <c r="E1576" t="s">
        <v>1868</v>
      </c>
      <c r="F1576">
        <v>1</v>
      </c>
      <c r="G1576" s="10">
        <v>644.15</v>
      </c>
      <c r="H1576" s="13">
        <v>0.06</v>
      </c>
      <c r="I1576" t="s">
        <v>1931</v>
      </c>
      <c r="J1576" s="16">
        <v>605.50099999999998</v>
      </c>
      <c r="K1576" s="19">
        <f t="shared" si="120"/>
        <v>451100.71840000007</v>
      </c>
      <c r="L1576" s="22">
        <f t="shared" si="121"/>
        <v>1058.9218741784039</v>
      </c>
      <c r="M1576" s="22">
        <f t="shared" si="122"/>
        <v>134</v>
      </c>
      <c r="N1576" s="22" t="str">
        <f t="shared" si="123"/>
        <v>Low Value</v>
      </c>
      <c r="O1576" s="22" t="str">
        <f t="shared" si="124"/>
        <v>Jun-2024</v>
      </c>
      <c r="P1576" s="22" t="s">
        <v>1747</v>
      </c>
      <c r="Q1576" s="22" t="s">
        <v>1555</v>
      </c>
      <c r="R1576" s="22" t="s">
        <v>869</v>
      </c>
      <c r="S1576" s="22"/>
      <c r="T1576" s="22"/>
      <c r="V1576" s="26" t="s">
        <v>1933</v>
      </c>
      <c r="W1576" s="6">
        <v>2</v>
      </c>
    </row>
    <row r="1577" spans="1:23">
      <c r="A1577" t="s">
        <v>3514</v>
      </c>
      <c r="B1577" s="8">
        <v>45897</v>
      </c>
      <c r="C1577" t="s">
        <v>1055</v>
      </c>
      <c r="D1577" t="s">
        <v>1755</v>
      </c>
      <c r="E1577" t="s">
        <v>1904</v>
      </c>
      <c r="F1577">
        <v>1</v>
      </c>
      <c r="G1577" s="10">
        <v>470.55</v>
      </c>
      <c r="H1577" s="13">
        <v>0.23</v>
      </c>
      <c r="I1577" t="s">
        <v>1933</v>
      </c>
      <c r="J1577" s="16">
        <v>362.32350000000002</v>
      </c>
      <c r="K1577" s="19">
        <f t="shared" si="120"/>
        <v>450495.21740000008</v>
      </c>
      <c r="L1577" s="22">
        <f t="shared" si="121"/>
        <v>1059.9887468235297</v>
      </c>
      <c r="M1577" s="22">
        <f t="shared" si="122"/>
        <v>134</v>
      </c>
      <c r="N1577" s="22" t="str">
        <f t="shared" si="123"/>
        <v>Low Value</v>
      </c>
      <c r="O1577" s="22" t="str">
        <f t="shared" si="124"/>
        <v>Aug-2025</v>
      </c>
      <c r="P1577" s="22" t="s">
        <v>1756</v>
      </c>
      <c r="Q1577" s="22" t="s">
        <v>1531</v>
      </c>
      <c r="R1577" s="22" t="s">
        <v>1056</v>
      </c>
      <c r="S1577" s="22"/>
      <c r="T1577" s="22"/>
      <c r="V1577" s="25" t="s">
        <v>647</v>
      </c>
      <c r="W1577" s="6">
        <v>15</v>
      </c>
    </row>
    <row r="1578" spans="1:23">
      <c r="A1578" t="s">
        <v>3515</v>
      </c>
      <c r="B1578" s="8">
        <v>45241</v>
      </c>
      <c r="C1578" t="s">
        <v>1462</v>
      </c>
      <c r="D1578" t="s">
        <v>1558</v>
      </c>
      <c r="E1578" t="s">
        <v>1883</v>
      </c>
      <c r="F1578">
        <v>3</v>
      </c>
      <c r="G1578" s="10">
        <v>598.82000000000005</v>
      </c>
      <c r="H1578" s="13">
        <v>0.19</v>
      </c>
      <c r="I1578" t="s">
        <v>1936</v>
      </c>
      <c r="J1578" s="16">
        <v>1455.1325999999999</v>
      </c>
      <c r="K1578" s="19">
        <f t="shared" si="120"/>
        <v>450132.89390000014</v>
      </c>
      <c r="L1578" s="22">
        <f t="shared" si="121"/>
        <v>1061.6341837264154</v>
      </c>
      <c r="M1578" s="22">
        <f t="shared" si="122"/>
        <v>133</v>
      </c>
      <c r="N1578" s="22" t="str">
        <f t="shared" si="123"/>
        <v>High Value</v>
      </c>
      <c r="O1578" s="22" t="str">
        <f t="shared" si="124"/>
        <v>Nov-2023</v>
      </c>
      <c r="P1578" s="22" t="s">
        <v>1559</v>
      </c>
      <c r="Q1578" s="22" t="s">
        <v>1560</v>
      </c>
      <c r="R1578" s="22" t="s">
        <v>3960</v>
      </c>
      <c r="S1578" s="22"/>
      <c r="T1578" s="22"/>
      <c r="V1578" s="26" t="s">
        <v>1936</v>
      </c>
      <c r="W1578" s="6">
        <v>7</v>
      </c>
    </row>
    <row r="1579" spans="1:23">
      <c r="A1579" t="s">
        <v>3516</v>
      </c>
      <c r="B1579" s="8">
        <v>45851</v>
      </c>
      <c r="C1579" t="s">
        <v>355</v>
      </c>
      <c r="D1579" t="s">
        <v>1607</v>
      </c>
      <c r="E1579" t="s">
        <v>1901</v>
      </c>
      <c r="F1579">
        <v>4</v>
      </c>
      <c r="G1579" s="10">
        <v>659.17</v>
      </c>
      <c r="H1579" s="13">
        <v>0.12</v>
      </c>
      <c r="I1579" t="s">
        <v>1931</v>
      </c>
      <c r="J1579" s="16">
        <v>2320.2784000000001</v>
      </c>
      <c r="K1579" s="19">
        <f t="shared" si="120"/>
        <v>448677.76130000019</v>
      </c>
      <c r="L1579" s="22">
        <f t="shared" si="121"/>
        <v>1060.7039274231684</v>
      </c>
      <c r="M1579" s="22">
        <f t="shared" si="122"/>
        <v>133</v>
      </c>
      <c r="N1579" s="22" t="str">
        <f t="shared" si="123"/>
        <v>High Value</v>
      </c>
      <c r="O1579" s="22" t="str">
        <f t="shared" si="124"/>
        <v>Jul-2025</v>
      </c>
      <c r="P1579" s="22" t="s">
        <v>1608</v>
      </c>
      <c r="Q1579" s="22" t="s">
        <v>1569</v>
      </c>
      <c r="R1579" s="22" t="s">
        <v>356</v>
      </c>
      <c r="S1579" s="22"/>
      <c r="T1579" s="22"/>
      <c r="V1579" s="26" t="s">
        <v>1931</v>
      </c>
      <c r="W1579" s="6">
        <v>4</v>
      </c>
    </row>
    <row r="1580" spans="1:23">
      <c r="A1580" t="s">
        <v>3517</v>
      </c>
      <c r="B1580" s="8">
        <v>45572</v>
      </c>
      <c r="C1580" t="s">
        <v>364</v>
      </c>
      <c r="D1580" t="s">
        <v>1690</v>
      </c>
      <c r="E1580" t="s">
        <v>1864</v>
      </c>
      <c r="F1580">
        <v>2</v>
      </c>
      <c r="G1580" s="10">
        <v>216.02</v>
      </c>
      <c r="H1580" s="13">
        <v>0.25</v>
      </c>
      <c r="I1580" t="s">
        <v>1931</v>
      </c>
      <c r="J1580" s="16">
        <v>324.02999999999997</v>
      </c>
      <c r="K1580" s="19">
        <f t="shared" si="120"/>
        <v>446357.48290000018</v>
      </c>
      <c r="L1580" s="22">
        <f t="shared" si="121"/>
        <v>1057.7191537914696</v>
      </c>
      <c r="M1580" s="22">
        <f t="shared" si="122"/>
        <v>133</v>
      </c>
      <c r="N1580" s="22" t="str">
        <f t="shared" si="123"/>
        <v>Low Value</v>
      </c>
      <c r="O1580" s="22" t="str">
        <f t="shared" si="124"/>
        <v>Oct-2024</v>
      </c>
      <c r="P1580" s="22" t="s">
        <v>1691</v>
      </c>
      <c r="Q1580" s="22" t="s">
        <v>1536</v>
      </c>
      <c r="R1580" s="22" t="s">
        <v>365</v>
      </c>
      <c r="S1580" s="22"/>
      <c r="T1580" s="22"/>
      <c r="V1580" s="26" t="s">
        <v>1933</v>
      </c>
      <c r="W1580" s="6">
        <v>4</v>
      </c>
    </row>
    <row r="1581" spans="1:23">
      <c r="A1581" t="s">
        <v>3518</v>
      </c>
      <c r="B1581" s="8">
        <v>45774</v>
      </c>
      <c r="C1581" t="s">
        <v>124</v>
      </c>
      <c r="D1581" t="s">
        <v>1642</v>
      </c>
      <c r="E1581" t="s">
        <v>1896</v>
      </c>
      <c r="F1581">
        <v>2</v>
      </c>
      <c r="G1581" s="10">
        <v>613.47</v>
      </c>
      <c r="H1581" s="13">
        <v>0.02</v>
      </c>
      <c r="I1581" t="s">
        <v>1933</v>
      </c>
      <c r="J1581" s="16">
        <v>1202.4012</v>
      </c>
      <c r="K1581" s="19">
        <f t="shared" si="120"/>
        <v>446033.45290000015</v>
      </c>
      <c r="L1581" s="22">
        <f t="shared" si="121"/>
        <v>1059.4618833729219</v>
      </c>
      <c r="M1581" s="22">
        <f t="shared" si="122"/>
        <v>133</v>
      </c>
      <c r="N1581" s="22" t="str">
        <f t="shared" si="123"/>
        <v>High Value</v>
      </c>
      <c r="O1581" s="22" t="str">
        <f t="shared" si="124"/>
        <v>Apr-2025</v>
      </c>
      <c r="P1581" s="22" t="s">
        <v>1643</v>
      </c>
      <c r="Q1581" s="22" t="s">
        <v>1569</v>
      </c>
      <c r="R1581" s="22" t="s">
        <v>125</v>
      </c>
      <c r="S1581" s="22"/>
      <c r="T1581" s="22"/>
      <c r="V1581" s="25" t="s">
        <v>206</v>
      </c>
      <c r="W1581" s="6">
        <v>11</v>
      </c>
    </row>
    <row r="1582" spans="1:23">
      <c r="A1582" t="s">
        <v>3519</v>
      </c>
      <c r="B1582" s="8">
        <v>45921</v>
      </c>
      <c r="C1582" t="s">
        <v>345</v>
      </c>
      <c r="D1582" t="s">
        <v>1728</v>
      </c>
      <c r="E1582" t="s">
        <v>1901</v>
      </c>
      <c r="F1582">
        <v>2</v>
      </c>
      <c r="G1582" s="10">
        <v>485.17</v>
      </c>
      <c r="H1582" s="13">
        <v>0.11</v>
      </c>
      <c r="I1582" t="s">
        <v>1933</v>
      </c>
      <c r="J1582" s="16">
        <v>863.60260000000005</v>
      </c>
      <c r="K1582" s="19">
        <f t="shared" si="120"/>
        <v>444831.05170000019</v>
      </c>
      <c r="L1582" s="22">
        <f t="shared" si="121"/>
        <v>1059.1215516666671</v>
      </c>
      <c r="M1582" s="22">
        <f t="shared" si="122"/>
        <v>132</v>
      </c>
      <c r="N1582" s="22" t="str">
        <f t="shared" si="123"/>
        <v>Low Value</v>
      </c>
      <c r="O1582" s="22" t="str">
        <f t="shared" si="124"/>
        <v>Sep-2025</v>
      </c>
      <c r="P1582" s="22" t="s">
        <v>1729</v>
      </c>
      <c r="Q1582" s="22" t="s">
        <v>1536</v>
      </c>
      <c r="R1582" s="22" t="s">
        <v>346</v>
      </c>
      <c r="S1582" s="22"/>
      <c r="T1582" s="22"/>
      <c r="V1582" s="26" t="s">
        <v>1936</v>
      </c>
      <c r="W1582" s="6">
        <v>11</v>
      </c>
    </row>
    <row r="1583" spans="1:23">
      <c r="A1583" t="s">
        <v>3520</v>
      </c>
      <c r="B1583" s="8">
        <v>45268</v>
      </c>
      <c r="C1583" t="s">
        <v>966</v>
      </c>
      <c r="D1583" t="s">
        <v>1690</v>
      </c>
      <c r="E1583" t="s">
        <v>1896</v>
      </c>
      <c r="F1583">
        <v>1</v>
      </c>
      <c r="G1583" s="10">
        <v>209.7</v>
      </c>
      <c r="H1583" s="13">
        <v>0.2</v>
      </c>
      <c r="I1583" t="s">
        <v>1933</v>
      </c>
      <c r="J1583" s="16">
        <v>167.76</v>
      </c>
      <c r="K1583" s="19">
        <f t="shared" si="120"/>
        <v>443967.4491000002</v>
      </c>
      <c r="L1583" s="22">
        <f t="shared" si="121"/>
        <v>1059.5881840095469</v>
      </c>
      <c r="M1583" s="22">
        <f t="shared" si="122"/>
        <v>131</v>
      </c>
      <c r="N1583" s="22" t="str">
        <f t="shared" si="123"/>
        <v>Low Value</v>
      </c>
      <c r="O1583" s="22" t="str">
        <f t="shared" si="124"/>
        <v>Dec-2023</v>
      </c>
      <c r="P1583" s="22" t="s">
        <v>1691</v>
      </c>
      <c r="Q1583" s="22" t="s">
        <v>1536</v>
      </c>
      <c r="R1583" s="22" t="s">
        <v>967</v>
      </c>
      <c r="S1583" s="22"/>
      <c r="T1583" s="22"/>
      <c r="V1583" s="25" t="s">
        <v>763</v>
      </c>
      <c r="W1583" s="6">
        <v>8</v>
      </c>
    </row>
    <row r="1584" spans="1:23">
      <c r="A1584" t="s">
        <v>3521</v>
      </c>
      <c r="B1584" s="8">
        <v>45402</v>
      </c>
      <c r="C1584" t="s">
        <v>1022</v>
      </c>
      <c r="D1584" t="s">
        <v>1831</v>
      </c>
      <c r="E1584" t="s">
        <v>1859</v>
      </c>
      <c r="F1584">
        <v>1</v>
      </c>
      <c r="G1584" s="10">
        <v>681.47</v>
      </c>
      <c r="H1584" s="13">
        <v>0.15</v>
      </c>
      <c r="I1584" t="s">
        <v>1931</v>
      </c>
      <c r="J1584" s="16">
        <v>579.24950000000001</v>
      </c>
      <c r="K1584" s="19">
        <f t="shared" si="120"/>
        <v>443799.68910000019</v>
      </c>
      <c r="L1584" s="22">
        <f t="shared" si="121"/>
        <v>1061.7217442583737</v>
      </c>
      <c r="M1584" s="22">
        <f t="shared" si="122"/>
        <v>130</v>
      </c>
      <c r="N1584" s="22" t="str">
        <f t="shared" si="123"/>
        <v>Low Value</v>
      </c>
      <c r="O1584" s="22" t="str">
        <f t="shared" si="124"/>
        <v>Apr-2024</v>
      </c>
      <c r="P1584" s="22" t="s">
        <v>1832</v>
      </c>
      <c r="Q1584" s="22" t="s">
        <v>1560</v>
      </c>
      <c r="R1584" s="22" t="s">
        <v>1023</v>
      </c>
      <c r="S1584" s="22"/>
      <c r="T1584" s="22"/>
      <c r="V1584" s="26" t="s">
        <v>1936</v>
      </c>
      <c r="W1584" s="6">
        <v>4</v>
      </c>
    </row>
    <row r="1585" spans="1:23">
      <c r="A1585" t="s">
        <v>3522</v>
      </c>
      <c r="B1585" s="8">
        <v>45667</v>
      </c>
      <c r="C1585" t="s">
        <v>1353</v>
      </c>
      <c r="D1585" t="s">
        <v>1783</v>
      </c>
      <c r="E1585" t="s">
        <v>1914</v>
      </c>
      <c r="F1585">
        <v>2</v>
      </c>
      <c r="G1585" s="10">
        <v>877.21</v>
      </c>
      <c r="H1585" s="13">
        <v>0.1</v>
      </c>
      <c r="I1585" t="s">
        <v>1931</v>
      </c>
      <c r="J1585" s="16">
        <v>1578.9780000000001</v>
      </c>
      <c r="K1585" s="19">
        <f t="shared" si="120"/>
        <v>443220.43960000022</v>
      </c>
      <c r="L1585" s="22">
        <f t="shared" si="121"/>
        <v>1062.8787520383698</v>
      </c>
      <c r="M1585" s="22">
        <f t="shared" si="122"/>
        <v>130</v>
      </c>
      <c r="N1585" s="22" t="str">
        <f t="shared" si="123"/>
        <v>High Value</v>
      </c>
      <c r="O1585" s="22" t="str">
        <f t="shared" si="124"/>
        <v>Jan-2025</v>
      </c>
      <c r="P1585" s="22" t="s">
        <v>1784</v>
      </c>
      <c r="Q1585" s="22" t="s">
        <v>1531</v>
      </c>
      <c r="R1585" s="22" t="s">
        <v>1354</v>
      </c>
      <c r="S1585" s="22"/>
      <c r="T1585" s="22"/>
      <c r="V1585" s="26" t="s">
        <v>1931</v>
      </c>
      <c r="W1585" s="6">
        <v>4</v>
      </c>
    </row>
    <row r="1586" spans="1:23">
      <c r="A1586" t="s">
        <v>3523</v>
      </c>
      <c r="B1586" s="8">
        <v>45902</v>
      </c>
      <c r="C1586" t="s">
        <v>999</v>
      </c>
      <c r="D1586" t="s">
        <v>1789</v>
      </c>
      <c r="E1586" t="s">
        <v>1880</v>
      </c>
      <c r="F1586">
        <v>2</v>
      </c>
      <c r="G1586" s="10">
        <v>479.77</v>
      </c>
      <c r="H1586" s="13">
        <v>0.21</v>
      </c>
      <c r="I1586" t="s">
        <v>1933</v>
      </c>
      <c r="J1586" s="16">
        <v>758.03660000000002</v>
      </c>
      <c r="K1586" s="19">
        <f t="shared" si="120"/>
        <v>441641.46160000016</v>
      </c>
      <c r="L1586" s="22">
        <f t="shared" si="121"/>
        <v>1061.6381288461541</v>
      </c>
      <c r="M1586" s="22">
        <f t="shared" si="122"/>
        <v>130</v>
      </c>
      <c r="N1586" s="22" t="str">
        <f t="shared" si="123"/>
        <v>Low Value</v>
      </c>
      <c r="O1586" s="22" t="str">
        <f t="shared" si="124"/>
        <v>Sep-2025</v>
      </c>
      <c r="P1586" s="22" t="s">
        <v>1790</v>
      </c>
      <c r="Q1586" s="22" t="s">
        <v>1560</v>
      </c>
      <c r="R1586" s="22" t="s">
        <v>1000</v>
      </c>
      <c r="S1586" s="22"/>
      <c r="T1586" s="22"/>
      <c r="V1586" s="25" t="s">
        <v>594</v>
      </c>
      <c r="W1586" s="6">
        <v>4</v>
      </c>
    </row>
    <row r="1587" spans="1:23">
      <c r="A1587" t="s">
        <v>3524</v>
      </c>
      <c r="B1587" s="8">
        <v>45589</v>
      </c>
      <c r="C1587" t="s">
        <v>1011</v>
      </c>
      <c r="D1587" t="s">
        <v>1804</v>
      </c>
      <c r="E1587" t="s">
        <v>1908</v>
      </c>
      <c r="F1587">
        <v>1</v>
      </c>
      <c r="G1587" s="10">
        <v>140.72</v>
      </c>
      <c r="H1587" s="13">
        <v>0</v>
      </c>
      <c r="I1587" t="s">
        <v>1936</v>
      </c>
      <c r="J1587" s="16">
        <v>140.72</v>
      </c>
      <c r="K1587" s="19">
        <f t="shared" si="120"/>
        <v>440883.42500000016</v>
      </c>
      <c r="L1587" s="22">
        <f t="shared" si="121"/>
        <v>1062.3696987951812</v>
      </c>
      <c r="M1587" s="22">
        <f t="shared" si="122"/>
        <v>129</v>
      </c>
      <c r="N1587" s="22" t="str">
        <f t="shared" si="123"/>
        <v>Low Value</v>
      </c>
      <c r="O1587" s="22" t="str">
        <f t="shared" si="124"/>
        <v>Oct-2024</v>
      </c>
      <c r="P1587" s="22" t="s">
        <v>1805</v>
      </c>
      <c r="Q1587" s="22" t="s">
        <v>1555</v>
      </c>
      <c r="R1587" s="22" t="s">
        <v>1012</v>
      </c>
      <c r="S1587" s="22"/>
      <c r="T1587" s="22"/>
      <c r="V1587" s="26" t="s">
        <v>1936</v>
      </c>
      <c r="W1587" s="6">
        <v>1</v>
      </c>
    </row>
    <row r="1588" spans="1:23">
      <c r="A1588" t="s">
        <v>3525</v>
      </c>
      <c r="B1588" s="8">
        <v>45668</v>
      </c>
      <c r="C1588" t="s">
        <v>114</v>
      </c>
      <c r="D1588" t="s">
        <v>1603</v>
      </c>
      <c r="E1588" t="s">
        <v>1883</v>
      </c>
      <c r="F1588">
        <v>2</v>
      </c>
      <c r="G1588" s="10">
        <v>764.25</v>
      </c>
      <c r="H1588" s="13">
        <v>0.23</v>
      </c>
      <c r="I1588" t="s">
        <v>1933</v>
      </c>
      <c r="J1588" s="16">
        <v>1176.9449999999999</v>
      </c>
      <c r="K1588" s="19">
        <f t="shared" si="120"/>
        <v>440742.70500000013</v>
      </c>
      <c r="L1588" s="22">
        <f t="shared" si="121"/>
        <v>1064.5959057971018</v>
      </c>
      <c r="M1588" s="22">
        <f t="shared" si="122"/>
        <v>129</v>
      </c>
      <c r="N1588" s="22" t="str">
        <f t="shared" si="123"/>
        <v>High Value</v>
      </c>
      <c r="O1588" s="22" t="str">
        <f t="shared" si="124"/>
        <v>Jan-2025</v>
      </c>
      <c r="P1588" s="22" t="s">
        <v>1604</v>
      </c>
      <c r="Q1588" s="22" t="s">
        <v>1569</v>
      </c>
      <c r="R1588" s="22" t="s">
        <v>115</v>
      </c>
      <c r="S1588" s="22"/>
      <c r="T1588" s="22"/>
      <c r="V1588" s="26" t="s">
        <v>1933</v>
      </c>
      <c r="W1588" s="6">
        <v>3</v>
      </c>
    </row>
    <row r="1589" spans="1:23">
      <c r="A1589" t="s">
        <v>3526</v>
      </c>
      <c r="B1589" s="8">
        <v>45300</v>
      </c>
      <c r="C1589" t="s">
        <v>719</v>
      </c>
      <c r="D1589" t="s">
        <v>1804</v>
      </c>
      <c r="E1589" t="s">
        <v>1880</v>
      </c>
      <c r="F1589">
        <v>3</v>
      </c>
      <c r="G1589" s="10">
        <v>107.8</v>
      </c>
      <c r="H1589" s="13">
        <v>0.28999999999999998</v>
      </c>
      <c r="I1589" t="s">
        <v>1933</v>
      </c>
      <c r="J1589" s="16">
        <v>229.614</v>
      </c>
      <c r="K1589" s="19">
        <f t="shared" si="120"/>
        <v>439565.76000000018</v>
      </c>
      <c r="L1589" s="22">
        <f t="shared" si="121"/>
        <v>1064.3238740920101</v>
      </c>
      <c r="M1589" s="22">
        <f t="shared" si="122"/>
        <v>128</v>
      </c>
      <c r="N1589" s="22" t="str">
        <f t="shared" si="123"/>
        <v>Low Value</v>
      </c>
      <c r="O1589" s="22" t="str">
        <f t="shared" si="124"/>
        <v>Jan-2024</v>
      </c>
      <c r="P1589" s="22" t="s">
        <v>1805</v>
      </c>
      <c r="Q1589" s="22" t="s">
        <v>1555</v>
      </c>
      <c r="R1589" s="22" t="s">
        <v>720</v>
      </c>
      <c r="S1589" s="22"/>
      <c r="T1589" s="22"/>
      <c r="V1589" s="25" t="s">
        <v>1381</v>
      </c>
      <c r="W1589" s="6">
        <v>7</v>
      </c>
    </row>
    <row r="1590" spans="1:23">
      <c r="A1590" t="s">
        <v>3527</v>
      </c>
      <c r="B1590" s="8">
        <v>45757</v>
      </c>
      <c r="C1590" t="s">
        <v>494</v>
      </c>
      <c r="D1590" t="s">
        <v>1614</v>
      </c>
      <c r="E1590" t="s">
        <v>1889</v>
      </c>
      <c r="F1590">
        <v>4</v>
      </c>
      <c r="G1590" s="10">
        <v>565.37</v>
      </c>
      <c r="H1590" s="13">
        <v>7.0000000000000007E-2</v>
      </c>
      <c r="I1590" t="s">
        <v>1933</v>
      </c>
      <c r="J1590" s="16">
        <v>2103.1763999999998</v>
      </c>
      <c r="K1590" s="19">
        <f t="shared" si="120"/>
        <v>439336.14600000018</v>
      </c>
      <c r="L1590" s="22">
        <f t="shared" si="121"/>
        <v>1066.3498689320393</v>
      </c>
      <c r="M1590" s="22">
        <f t="shared" si="122"/>
        <v>127</v>
      </c>
      <c r="N1590" s="22" t="str">
        <f t="shared" si="123"/>
        <v>High Value</v>
      </c>
      <c r="O1590" s="22" t="str">
        <f t="shared" si="124"/>
        <v>Apr-2025</v>
      </c>
      <c r="P1590" s="22" t="s">
        <v>1615</v>
      </c>
      <c r="Q1590" s="22" t="s">
        <v>1569</v>
      </c>
      <c r="R1590" s="22" t="s">
        <v>495</v>
      </c>
      <c r="S1590" s="22"/>
      <c r="T1590" s="22"/>
      <c r="V1590" s="26" t="s">
        <v>1931</v>
      </c>
      <c r="W1590" s="6">
        <v>1</v>
      </c>
    </row>
    <row r="1591" spans="1:23">
      <c r="A1591" t="s">
        <v>3528</v>
      </c>
      <c r="B1591" s="8">
        <v>45235</v>
      </c>
      <c r="C1591" t="s">
        <v>136</v>
      </c>
      <c r="D1591" t="s">
        <v>1658</v>
      </c>
      <c r="E1591" t="s">
        <v>1876</v>
      </c>
      <c r="F1591">
        <v>3</v>
      </c>
      <c r="G1591" s="10">
        <v>811.45</v>
      </c>
      <c r="H1591" s="13">
        <v>0.26</v>
      </c>
      <c r="I1591" t="s">
        <v>1931</v>
      </c>
      <c r="J1591" s="16">
        <v>1801.4190000000001</v>
      </c>
      <c r="K1591" s="19">
        <f t="shared" si="120"/>
        <v>437232.96960000013</v>
      </c>
      <c r="L1591" s="22">
        <f t="shared" si="121"/>
        <v>1063.8271766423361</v>
      </c>
      <c r="M1591" s="22">
        <f t="shared" si="122"/>
        <v>126</v>
      </c>
      <c r="N1591" s="22" t="str">
        <f t="shared" si="123"/>
        <v>High Value</v>
      </c>
      <c r="O1591" s="22" t="str">
        <f t="shared" si="124"/>
        <v>Nov-2023</v>
      </c>
      <c r="P1591" s="22" t="s">
        <v>1659</v>
      </c>
      <c r="Q1591" s="22" t="s">
        <v>1536</v>
      </c>
      <c r="R1591" s="22" t="s">
        <v>137</v>
      </c>
      <c r="S1591" s="22"/>
      <c r="T1591" s="22"/>
      <c r="V1591" s="26" t="s">
        <v>1933</v>
      </c>
      <c r="W1591" s="6">
        <v>6</v>
      </c>
    </row>
    <row r="1592" spans="1:23">
      <c r="A1592" t="s">
        <v>3529</v>
      </c>
      <c r="B1592" s="8">
        <v>45749</v>
      </c>
      <c r="C1592" t="s">
        <v>1268</v>
      </c>
      <c r="D1592" t="s">
        <v>1649</v>
      </c>
      <c r="E1592" t="s">
        <v>1920</v>
      </c>
      <c r="F1592">
        <v>4</v>
      </c>
      <c r="G1592" s="10">
        <v>62.25</v>
      </c>
      <c r="H1592" s="13">
        <v>0.11</v>
      </c>
      <c r="I1592" t="s">
        <v>1933</v>
      </c>
      <c r="J1592" s="16">
        <v>221.61</v>
      </c>
      <c r="K1592" s="19">
        <f t="shared" si="120"/>
        <v>435431.55060000019</v>
      </c>
      <c r="L1592" s="22">
        <f t="shared" si="121"/>
        <v>1062.0281721951224</v>
      </c>
      <c r="M1592" s="22">
        <f t="shared" si="122"/>
        <v>126</v>
      </c>
      <c r="N1592" s="22" t="str">
        <f t="shared" si="123"/>
        <v>Low Value</v>
      </c>
      <c r="O1592" s="22" t="str">
        <f t="shared" si="124"/>
        <v>Apr-2025</v>
      </c>
      <c r="P1592" s="22" t="s">
        <v>1650</v>
      </c>
      <c r="Q1592" s="22" t="s">
        <v>1560</v>
      </c>
      <c r="R1592" s="22" t="s">
        <v>1269</v>
      </c>
      <c r="S1592" s="22"/>
      <c r="T1592" s="22"/>
      <c r="V1592" s="25" t="s">
        <v>772</v>
      </c>
      <c r="W1592" s="6">
        <v>8</v>
      </c>
    </row>
    <row r="1593" spans="1:23">
      <c r="A1593" t="s">
        <v>3530</v>
      </c>
      <c r="B1593" s="8">
        <v>45807</v>
      </c>
      <c r="C1593" t="s">
        <v>107</v>
      </c>
      <c r="D1593" t="s">
        <v>1840</v>
      </c>
      <c r="E1593" t="s">
        <v>1896</v>
      </c>
      <c r="F1593">
        <v>1</v>
      </c>
      <c r="G1593" s="10">
        <v>749.78</v>
      </c>
      <c r="H1593" s="13">
        <v>0.03</v>
      </c>
      <c r="I1593" t="s">
        <v>1931</v>
      </c>
      <c r="J1593" s="16">
        <v>727.28659999999991</v>
      </c>
      <c r="K1593" s="19">
        <f t="shared" si="120"/>
        <v>435209.94060000021</v>
      </c>
      <c r="L1593" s="22">
        <f t="shared" si="121"/>
        <v>1064.0829843520787</v>
      </c>
      <c r="M1593" s="22">
        <f t="shared" si="122"/>
        <v>125</v>
      </c>
      <c r="N1593" s="22" t="str">
        <f t="shared" si="123"/>
        <v>Low Value</v>
      </c>
      <c r="O1593" s="22" t="str">
        <f t="shared" si="124"/>
        <v>May-2025</v>
      </c>
      <c r="P1593" s="22" t="s">
        <v>1841</v>
      </c>
      <c r="Q1593" s="22" t="s">
        <v>1569</v>
      </c>
      <c r="R1593" s="22" t="s">
        <v>108</v>
      </c>
      <c r="S1593" s="22"/>
      <c r="T1593" s="22"/>
      <c r="V1593" s="26" t="s">
        <v>1936</v>
      </c>
      <c r="W1593" s="6">
        <v>6</v>
      </c>
    </row>
    <row r="1594" spans="1:23">
      <c r="A1594" t="s">
        <v>3531</v>
      </c>
      <c r="B1594" s="8">
        <v>45496</v>
      </c>
      <c r="C1594" t="s">
        <v>1093</v>
      </c>
      <c r="D1594" t="s">
        <v>1731</v>
      </c>
      <c r="E1594" t="s">
        <v>1880</v>
      </c>
      <c r="F1594">
        <v>3</v>
      </c>
      <c r="G1594" s="10">
        <v>630.28</v>
      </c>
      <c r="H1594" s="13">
        <v>7.0000000000000007E-2</v>
      </c>
      <c r="I1594" t="s">
        <v>1936</v>
      </c>
      <c r="J1594" s="16">
        <v>1758.4811999999999</v>
      </c>
      <c r="K1594" s="19">
        <f t="shared" si="120"/>
        <v>434482.65400000021</v>
      </c>
      <c r="L1594" s="22">
        <f t="shared" si="121"/>
        <v>1064.9084656862751</v>
      </c>
      <c r="M1594" s="22">
        <f t="shared" si="122"/>
        <v>125</v>
      </c>
      <c r="N1594" s="22" t="str">
        <f t="shared" si="123"/>
        <v>High Value</v>
      </c>
      <c r="O1594" s="22" t="str">
        <f t="shared" si="124"/>
        <v>Jul-2024</v>
      </c>
      <c r="P1594" s="22" t="s">
        <v>1732</v>
      </c>
      <c r="Q1594" s="22" t="s">
        <v>1555</v>
      </c>
      <c r="R1594" s="22" t="s">
        <v>1094</v>
      </c>
      <c r="S1594" s="22"/>
      <c r="T1594" s="22"/>
      <c r="V1594" s="26" t="s">
        <v>1931</v>
      </c>
      <c r="W1594" s="6">
        <v>2</v>
      </c>
    </row>
    <row r="1595" spans="1:23">
      <c r="A1595" t="s">
        <v>3532</v>
      </c>
      <c r="B1595" s="8">
        <v>45355</v>
      </c>
      <c r="C1595" t="s">
        <v>482</v>
      </c>
      <c r="D1595" t="s">
        <v>1639</v>
      </c>
      <c r="E1595" t="s">
        <v>1911</v>
      </c>
      <c r="F1595">
        <v>1</v>
      </c>
      <c r="G1595" s="10">
        <v>101.84</v>
      </c>
      <c r="H1595" s="13">
        <v>0.17</v>
      </c>
      <c r="I1595" t="s">
        <v>1931</v>
      </c>
      <c r="J1595" s="16">
        <v>84.527199999999993</v>
      </c>
      <c r="K1595" s="19">
        <f t="shared" si="120"/>
        <v>432724.17280000023</v>
      </c>
      <c r="L1595" s="22">
        <f t="shared" si="121"/>
        <v>1063.2043557739564</v>
      </c>
      <c r="M1595" s="22">
        <f t="shared" si="122"/>
        <v>125</v>
      </c>
      <c r="N1595" s="22" t="str">
        <f t="shared" si="123"/>
        <v>Low Value</v>
      </c>
      <c r="O1595" s="22" t="str">
        <f t="shared" si="124"/>
        <v>Mar-2024</v>
      </c>
      <c r="P1595" s="22" t="s">
        <v>1640</v>
      </c>
      <c r="Q1595" s="22" t="s">
        <v>1560</v>
      </c>
      <c r="R1595" s="22" t="s">
        <v>483</v>
      </c>
      <c r="S1595" s="22"/>
      <c r="T1595" s="22"/>
      <c r="V1595" s="25" t="s">
        <v>778</v>
      </c>
      <c r="W1595" s="6">
        <v>5</v>
      </c>
    </row>
    <row r="1596" spans="1:23">
      <c r="A1596" t="s">
        <v>3533</v>
      </c>
      <c r="B1596" s="8">
        <v>45256</v>
      </c>
      <c r="C1596" t="s">
        <v>205</v>
      </c>
      <c r="D1596" t="s">
        <v>1620</v>
      </c>
      <c r="E1596" t="s">
        <v>1917</v>
      </c>
      <c r="F1596">
        <v>4</v>
      </c>
      <c r="G1596" s="10">
        <v>641.45000000000005</v>
      </c>
      <c r="H1596" s="13">
        <v>0.16</v>
      </c>
      <c r="I1596" t="s">
        <v>1936</v>
      </c>
      <c r="J1596" s="16">
        <v>2155.2719999999999</v>
      </c>
      <c r="K1596" s="19">
        <f t="shared" si="120"/>
        <v>432639.64560000022</v>
      </c>
      <c r="L1596" s="22">
        <f t="shared" si="121"/>
        <v>1065.6148906403946</v>
      </c>
      <c r="M1596" s="22">
        <f t="shared" si="122"/>
        <v>125</v>
      </c>
      <c r="N1596" s="22" t="str">
        <f t="shared" si="123"/>
        <v>High Value</v>
      </c>
      <c r="O1596" s="22" t="str">
        <f t="shared" si="124"/>
        <v>Nov-2023</v>
      </c>
      <c r="P1596" s="22" t="s">
        <v>1621</v>
      </c>
      <c r="Q1596" s="22" t="s">
        <v>1569</v>
      </c>
      <c r="R1596" s="22" t="s">
        <v>206</v>
      </c>
      <c r="S1596" s="22"/>
      <c r="T1596" s="22"/>
      <c r="V1596" s="26" t="s">
        <v>1933</v>
      </c>
      <c r="W1596" s="6">
        <v>5</v>
      </c>
    </row>
    <row r="1597" spans="1:23">
      <c r="A1597" t="s">
        <v>3534</v>
      </c>
      <c r="B1597" s="8">
        <v>45849</v>
      </c>
      <c r="C1597" t="s">
        <v>1442</v>
      </c>
      <c r="D1597" t="s">
        <v>1681</v>
      </c>
      <c r="E1597" t="s">
        <v>1864</v>
      </c>
      <c r="F1597">
        <v>1</v>
      </c>
      <c r="G1597" s="10">
        <v>135.87</v>
      </c>
      <c r="H1597" s="13">
        <v>0.23</v>
      </c>
      <c r="I1597" t="s">
        <v>1933</v>
      </c>
      <c r="J1597" s="16">
        <v>104.6199</v>
      </c>
      <c r="K1597" s="19">
        <f t="shared" si="120"/>
        <v>430484.37360000022</v>
      </c>
      <c r="L1597" s="22">
        <f t="shared" si="121"/>
        <v>1062.9243792592599</v>
      </c>
      <c r="M1597" s="22">
        <f t="shared" si="122"/>
        <v>125</v>
      </c>
      <c r="N1597" s="22" t="str">
        <f t="shared" si="123"/>
        <v>Low Value</v>
      </c>
      <c r="O1597" s="22" t="str">
        <f t="shared" si="124"/>
        <v>Jul-2025</v>
      </c>
      <c r="P1597" s="22" t="s">
        <v>1682</v>
      </c>
      <c r="Q1597" s="22" t="s">
        <v>1531</v>
      </c>
      <c r="R1597" s="22" t="s">
        <v>1443</v>
      </c>
      <c r="S1597" s="22"/>
      <c r="T1597" s="22"/>
      <c r="V1597" s="25" t="s">
        <v>164</v>
      </c>
      <c r="W1597" s="6">
        <v>9</v>
      </c>
    </row>
    <row r="1598" spans="1:23">
      <c r="A1598" t="s">
        <v>3535</v>
      </c>
      <c r="B1598" s="8">
        <v>45344</v>
      </c>
      <c r="C1598" t="s">
        <v>336</v>
      </c>
      <c r="D1598" t="s">
        <v>1610</v>
      </c>
      <c r="E1598" t="s">
        <v>1883</v>
      </c>
      <c r="F1598">
        <v>1</v>
      </c>
      <c r="G1598" s="10">
        <v>388.35</v>
      </c>
      <c r="H1598" s="13">
        <v>0.01</v>
      </c>
      <c r="I1598" t="s">
        <v>1933</v>
      </c>
      <c r="J1598" s="16">
        <v>384.4665</v>
      </c>
      <c r="K1598" s="19">
        <f t="shared" si="120"/>
        <v>430379.75370000018</v>
      </c>
      <c r="L1598" s="22">
        <f t="shared" si="121"/>
        <v>1065.2964200495053</v>
      </c>
      <c r="M1598" s="22">
        <f t="shared" si="122"/>
        <v>124</v>
      </c>
      <c r="N1598" s="22" t="str">
        <f t="shared" si="123"/>
        <v>Low Value</v>
      </c>
      <c r="O1598" s="22" t="str">
        <f t="shared" si="124"/>
        <v>Feb-2024</v>
      </c>
      <c r="P1598" s="22" t="s">
        <v>1611</v>
      </c>
      <c r="Q1598" s="22" t="s">
        <v>1560</v>
      </c>
      <c r="R1598" s="22" t="s">
        <v>337</v>
      </c>
      <c r="S1598" s="22"/>
      <c r="T1598" s="22"/>
      <c r="V1598" s="26" t="s">
        <v>1936</v>
      </c>
      <c r="W1598" s="6">
        <v>3</v>
      </c>
    </row>
    <row r="1599" spans="1:23">
      <c r="A1599" t="s">
        <v>3536</v>
      </c>
      <c r="B1599" s="8">
        <v>45367</v>
      </c>
      <c r="C1599" t="s">
        <v>2611</v>
      </c>
      <c r="D1599" t="s">
        <v>1665</v>
      </c>
      <c r="E1599" t="s">
        <v>1893</v>
      </c>
      <c r="F1599">
        <v>2</v>
      </c>
      <c r="G1599" s="10">
        <v>999.08</v>
      </c>
      <c r="H1599" s="13">
        <v>0.3</v>
      </c>
      <c r="I1599" t="s">
        <v>1933</v>
      </c>
      <c r="J1599" s="16">
        <v>1398.712</v>
      </c>
      <c r="K1599" s="19">
        <f t="shared" si="120"/>
        <v>429995.2872000002</v>
      </c>
      <c r="L1599" s="22">
        <f t="shared" si="121"/>
        <v>1066.9858243176184</v>
      </c>
      <c r="M1599" s="22">
        <f t="shared" si="122"/>
        <v>123</v>
      </c>
      <c r="N1599" s="22" t="str">
        <f t="shared" si="123"/>
        <v>High Value</v>
      </c>
      <c r="O1599" s="22" t="str">
        <f t="shared" si="124"/>
        <v>Mar-2024</v>
      </c>
      <c r="P1599" s="22" t="s">
        <v>1666</v>
      </c>
      <c r="Q1599" s="22" t="s">
        <v>1569</v>
      </c>
      <c r="R1599" s="22" t="s">
        <v>1484</v>
      </c>
      <c r="S1599" s="22"/>
      <c r="T1599" s="22"/>
      <c r="V1599" s="26" t="s">
        <v>1931</v>
      </c>
      <c r="W1599" s="6">
        <v>6</v>
      </c>
    </row>
    <row r="1600" spans="1:23">
      <c r="A1600" t="s">
        <v>3537</v>
      </c>
      <c r="B1600" s="8">
        <v>45887</v>
      </c>
      <c r="C1600" t="s">
        <v>563</v>
      </c>
      <c r="D1600" t="s">
        <v>1665</v>
      </c>
      <c r="E1600" t="s">
        <v>1914</v>
      </c>
      <c r="F1600">
        <v>3</v>
      </c>
      <c r="G1600" s="10">
        <v>453.19</v>
      </c>
      <c r="H1600" s="13">
        <v>0.08</v>
      </c>
      <c r="I1600" t="s">
        <v>1936</v>
      </c>
      <c r="J1600" s="16">
        <v>1250.8044</v>
      </c>
      <c r="K1600" s="19">
        <f t="shared" si="120"/>
        <v>428596.57520000014</v>
      </c>
      <c r="L1600" s="22">
        <f t="shared" si="121"/>
        <v>1066.1606348258711</v>
      </c>
      <c r="M1600" s="22">
        <f t="shared" si="122"/>
        <v>122</v>
      </c>
      <c r="N1600" s="22" t="str">
        <f t="shared" si="123"/>
        <v>High Value</v>
      </c>
      <c r="O1600" s="22" t="str">
        <f t="shared" si="124"/>
        <v>Aug-2025</v>
      </c>
      <c r="P1600" s="22" t="s">
        <v>1666</v>
      </c>
      <c r="Q1600" s="22" t="s">
        <v>1569</v>
      </c>
      <c r="R1600" s="22" t="s">
        <v>3948</v>
      </c>
      <c r="S1600" s="22"/>
      <c r="T1600" s="22"/>
      <c r="V1600" s="25" t="s">
        <v>991</v>
      </c>
      <c r="W1600" s="6">
        <v>1</v>
      </c>
    </row>
    <row r="1601" spans="1:23">
      <c r="A1601" t="s">
        <v>3538</v>
      </c>
      <c r="B1601" s="8">
        <v>45567</v>
      </c>
      <c r="C1601" t="s">
        <v>756</v>
      </c>
      <c r="D1601" t="s">
        <v>1795</v>
      </c>
      <c r="E1601" t="s">
        <v>1896</v>
      </c>
      <c r="F1601">
        <v>2</v>
      </c>
      <c r="G1601" s="10">
        <v>61.31</v>
      </c>
      <c r="H1601" s="13">
        <v>0.15</v>
      </c>
      <c r="I1601" t="s">
        <v>1936</v>
      </c>
      <c r="J1601" s="16">
        <v>104.227</v>
      </c>
      <c r="K1601" s="19">
        <f t="shared" si="120"/>
        <v>427345.77080000017</v>
      </c>
      <c r="L1601" s="22">
        <f t="shared" si="121"/>
        <v>1065.700176558604</v>
      </c>
      <c r="M1601" s="22">
        <f t="shared" si="122"/>
        <v>122</v>
      </c>
      <c r="N1601" s="22" t="str">
        <f t="shared" si="123"/>
        <v>Low Value</v>
      </c>
      <c r="O1601" s="22" t="str">
        <f t="shared" si="124"/>
        <v>Oct-2024</v>
      </c>
      <c r="P1601" s="22" t="s">
        <v>1796</v>
      </c>
      <c r="Q1601" s="22" t="s">
        <v>1560</v>
      </c>
      <c r="R1601" s="22" t="s">
        <v>757</v>
      </c>
      <c r="S1601" s="22"/>
      <c r="T1601" s="22"/>
      <c r="V1601" s="26" t="s">
        <v>1931</v>
      </c>
      <c r="W1601" s="6">
        <v>1</v>
      </c>
    </row>
    <row r="1602" spans="1:23">
      <c r="A1602" t="s">
        <v>3539</v>
      </c>
      <c r="B1602" s="8">
        <v>45223</v>
      </c>
      <c r="C1602" t="s">
        <v>1070</v>
      </c>
      <c r="D1602" t="s">
        <v>1798</v>
      </c>
      <c r="E1602" t="s">
        <v>1896</v>
      </c>
      <c r="F1602">
        <v>2</v>
      </c>
      <c r="G1602" s="10">
        <v>870.13</v>
      </c>
      <c r="H1602" s="13">
        <v>0.23</v>
      </c>
      <c r="I1602" t="s">
        <v>1931</v>
      </c>
      <c r="J1602" s="16">
        <v>1340.0001999999999</v>
      </c>
      <c r="K1602" s="19">
        <f t="shared" ref="K1602:K1665" si="125">SUM(J1602:J3601)</f>
        <v>427241.54380000016</v>
      </c>
      <c r="L1602" s="22">
        <f t="shared" ref="L1602:L1665" si="126">AVERAGE(J1602:J3601)</f>
        <v>1068.1038595000005</v>
      </c>
      <c r="M1602" s="22">
        <f t="shared" ref="M1602:M1665" si="127">COUNTIF(I1602:I3601,"PayPal")</f>
        <v>122</v>
      </c>
      <c r="N1602" s="22" t="str">
        <f t="shared" ref="N1602:N1665" si="128">IF(J1602&gt;=1000,"High Value","Low Value")</f>
        <v>High Value</v>
      </c>
      <c r="O1602" s="22" t="str">
        <f t="shared" ref="O1602:O1665" si="129">TEXT(B1602,"mmm-yyyy")</f>
        <v>Oct-2023</v>
      </c>
      <c r="P1602" s="22" t="s">
        <v>1799</v>
      </c>
      <c r="Q1602" s="22" t="s">
        <v>1569</v>
      </c>
      <c r="R1602" s="22" t="s">
        <v>1071</v>
      </c>
      <c r="S1602" s="22"/>
      <c r="T1602" s="22"/>
      <c r="V1602" s="25" t="s">
        <v>1490</v>
      </c>
      <c r="W1602" s="6">
        <v>6</v>
      </c>
    </row>
    <row r="1603" spans="1:23">
      <c r="A1603" t="s">
        <v>3540</v>
      </c>
      <c r="B1603" s="8">
        <v>45664</v>
      </c>
      <c r="C1603" t="s">
        <v>244</v>
      </c>
      <c r="D1603" t="s">
        <v>1590</v>
      </c>
      <c r="E1603" t="s">
        <v>1920</v>
      </c>
      <c r="F1603">
        <v>1</v>
      </c>
      <c r="G1603" s="10">
        <v>336.51</v>
      </c>
      <c r="H1603" s="13">
        <v>0.11</v>
      </c>
      <c r="I1603" t="s">
        <v>1933</v>
      </c>
      <c r="J1603" s="16">
        <v>299.4939</v>
      </c>
      <c r="K1603" s="19">
        <f t="shared" si="125"/>
        <v>425901.54360000021</v>
      </c>
      <c r="L1603" s="22">
        <f t="shared" si="126"/>
        <v>1067.4224150375944</v>
      </c>
      <c r="M1603" s="22">
        <f t="shared" si="127"/>
        <v>122</v>
      </c>
      <c r="N1603" s="22" t="str">
        <f t="shared" si="128"/>
        <v>Low Value</v>
      </c>
      <c r="O1603" s="22" t="str">
        <f t="shared" si="129"/>
        <v>Jan-2025</v>
      </c>
      <c r="P1603" s="22" t="s">
        <v>1591</v>
      </c>
      <c r="Q1603" s="22" t="s">
        <v>1531</v>
      </c>
      <c r="R1603" s="22" t="s">
        <v>245</v>
      </c>
      <c r="S1603" s="22"/>
      <c r="T1603" s="22"/>
      <c r="V1603" s="26" t="s">
        <v>1936</v>
      </c>
      <c r="W1603" s="6">
        <v>1</v>
      </c>
    </row>
    <row r="1604" spans="1:23">
      <c r="A1604" t="s">
        <v>3541</v>
      </c>
      <c r="B1604" s="8">
        <v>45313</v>
      </c>
      <c r="C1604" t="s">
        <v>596</v>
      </c>
      <c r="D1604" t="s">
        <v>1755</v>
      </c>
      <c r="E1604" t="s">
        <v>1859</v>
      </c>
      <c r="F1604">
        <v>1</v>
      </c>
      <c r="G1604" s="10">
        <v>305.70999999999998</v>
      </c>
      <c r="H1604" s="13">
        <v>0.26</v>
      </c>
      <c r="I1604" t="s">
        <v>1936</v>
      </c>
      <c r="J1604" s="16">
        <v>226.22540000000001</v>
      </c>
      <c r="K1604" s="19">
        <f t="shared" si="125"/>
        <v>425602.04970000021</v>
      </c>
      <c r="L1604" s="22">
        <f t="shared" si="126"/>
        <v>1069.3518836683422</v>
      </c>
      <c r="M1604" s="22">
        <f t="shared" si="127"/>
        <v>121</v>
      </c>
      <c r="N1604" s="22" t="str">
        <f t="shared" si="128"/>
        <v>Low Value</v>
      </c>
      <c r="O1604" s="22" t="str">
        <f t="shared" si="129"/>
        <v>Jan-2024</v>
      </c>
      <c r="P1604" s="22" t="s">
        <v>1756</v>
      </c>
      <c r="Q1604" s="22" t="s">
        <v>1531</v>
      </c>
      <c r="R1604" s="22" t="s">
        <v>597</v>
      </c>
      <c r="S1604" s="22"/>
      <c r="T1604" s="22"/>
      <c r="V1604" s="26" t="s">
        <v>1933</v>
      </c>
      <c r="W1604" s="6">
        <v>5</v>
      </c>
    </row>
    <row r="1605" spans="1:23">
      <c r="A1605" t="s">
        <v>3542</v>
      </c>
      <c r="B1605" s="8">
        <v>45224</v>
      </c>
      <c r="C1605" t="s">
        <v>415</v>
      </c>
      <c r="D1605" t="s">
        <v>1572</v>
      </c>
      <c r="E1605" t="s">
        <v>1917</v>
      </c>
      <c r="F1605">
        <v>2</v>
      </c>
      <c r="G1605" s="10">
        <v>635.39</v>
      </c>
      <c r="H1605" s="13">
        <v>0.28999999999999998</v>
      </c>
      <c r="I1605" t="s">
        <v>1936</v>
      </c>
      <c r="J1605" s="16">
        <v>902.25379999999996</v>
      </c>
      <c r="K1605" s="19">
        <f t="shared" si="125"/>
        <v>425375.82430000015</v>
      </c>
      <c r="L1605" s="22">
        <f t="shared" si="126"/>
        <v>1071.4756279596982</v>
      </c>
      <c r="M1605" s="22">
        <f t="shared" si="127"/>
        <v>121</v>
      </c>
      <c r="N1605" s="22" t="str">
        <f t="shared" si="128"/>
        <v>Low Value</v>
      </c>
      <c r="O1605" s="22" t="str">
        <f t="shared" si="129"/>
        <v>Oct-2023</v>
      </c>
      <c r="P1605" s="22" t="s">
        <v>1573</v>
      </c>
      <c r="Q1605" s="22" t="s">
        <v>1560</v>
      </c>
      <c r="R1605" s="22" t="s">
        <v>416</v>
      </c>
      <c r="S1605" s="22"/>
      <c r="T1605" s="22"/>
      <c r="V1605" s="25" t="s">
        <v>3968</v>
      </c>
      <c r="W1605" s="6"/>
    </row>
    <row r="1606" spans="1:23">
      <c r="A1606" t="s">
        <v>3543</v>
      </c>
      <c r="B1606" s="8">
        <v>45491</v>
      </c>
      <c r="C1606" t="s">
        <v>400</v>
      </c>
      <c r="D1606" t="s">
        <v>1831</v>
      </c>
      <c r="E1606" t="s">
        <v>1920</v>
      </c>
      <c r="F1606">
        <v>2</v>
      </c>
      <c r="G1606" s="10">
        <v>253.87</v>
      </c>
      <c r="H1606" s="13">
        <v>0.23</v>
      </c>
      <c r="I1606" t="s">
        <v>1936</v>
      </c>
      <c r="J1606" s="16">
        <v>390.95979999999997</v>
      </c>
      <c r="K1606" s="19">
        <f t="shared" si="125"/>
        <v>424473.57050000021</v>
      </c>
      <c r="L1606" s="22">
        <f t="shared" si="126"/>
        <v>1071.9029558080813</v>
      </c>
      <c r="M1606" s="22">
        <f t="shared" si="127"/>
        <v>121</v>
      </c>
      <c r="N1606" s="22" t="str">
        <f t="shared" si="128"/>
        <v>Low Value</v>
      </c>
      <c r="O1606" s="22" t="str">
        <f t="shared" si="129"/>
        <v>Jul-2024</v>
      </c>
      <c r="P1606" s="22" t="s">
        <v>1832</v>
      </c>
      <c r="Q1606" s="22" t="s">
        <v>1560</v>
      </c>
      <c r="R1606" s="22" t="s">
        <v>401</v>
      </c>
      <c r="S1606" s="22"/>
      <c r="T1606" s="22"/>
      <c r="V1606" s="26" t="s">
        <v>3968</v>
      </c>
      <c r="W1606" s="6"/>
    </row>
    <row r="1607" spans="1:23">
      <c r="A1607" t="s">
        <v>3544</v>
      </c>
      <c r="B1607" s="8">
        <v>45472</v>
      </c>
      <c r="C1607" t="s">
        <v>1478</v>
      </c>
      <c r="D1607" t="s">
        <v>1783</v>
      </c>
      <c r="E1607" t="s">
        <v>1914</v>
      </c>
      <c r="F1607">
        <v>3</v>
      </c>
      <c r="G1607" s="10">
        <v>915.81</v>
      </c>
      <c r="H1607" s="13">
        <v>0.17</v>
      </c>
      <c r="I1607" t="s">
        <v>1936</v>
      </c>
      <c r="J1607" s="16">
        <v>2280.3669</v>
      </c>
      <c r="K1607" s="19">
        <f t="shared" si="125"/>
        <v>424082.61070000019</v>
      </c>
      <c r="L1607" s="22">
        <f t="shared" si="126"/>
        <v>1073.6268625316461</v>
      </c>
      <c r="M1607" s="22">
        <f t="shared" si="127"/>
        <v>121</v>
      </c>
      <c r="N1607" s="22" t="str">
        <f t="shared" si="128"/>
        <v>High Value</v>
      </c>
      <c r="O1607" s="22" t="str">
        <f t="shared" si="129"/>
        <v>Jun-2024</v>
      </c>
      <c r="P1607" s="22" t="s">
        <v>1784</v>
      </c>
      <c r="Q1607" s="22" t="s">
        <v>1531</v>
      </c>
      <c r="R1607" s="22" t="s">
        <v>1479</v>
      </c>
      <c r="S1607" s="22"/>
      <c r="T1607" s="22"/>
      <c r="V1607" s="25" t="s">
        <v>3969</v>
      </c>
      <c r="W1607" s="6">
        <v>4964</v>
      </c>
    </row>
    <row r="1608" spans="1:23">
      <c r="A1608" t="s">
        <v>3545</v>
      </c>
      <c r="B1608" s="8">
        <v>45795</v>
      </c>
      <c r="C1608" t="s">
        <v>679</v>
      </c>
      <c r="D1608" t="s">
        <v>1678</v>
      </c>
      <c r="E1608" t="s">
        <v>1889</v>
      </c>
      <c r="F1608">
        <v>3</v>
      </c>
      <c r="G1608" s="10">
        <v>779.5</v>
      </c>
      <c r="H1608" s="13">
        <v>0.02</v>
      </c>
      <c r="I1608" t="s">
        <v>1931</v>
      </c>
      <c r="J1608" s="16">
        <v>2291.73</v>
      </c>
      <c r="K1608" s="19">
        <f t="shared" si="125"/>
        <v>421802.24380000023</v>
      </c>
      <c r="L1608" s="22">
        <f t="shared" si="126"/>
        <v>1070.5640705583762</v>
      </c>
      <c r="M1608" s="22">
        <f t="shared" si="127"/>
        <v>121</v>
      </c>
      <c r="N1608" s="22" t="str">
        <f t="shared" si="128"/>
        <v>High Value</v>
      </c>
      <c r="O1608" s="22" t="str">
        <f t="shared" si="129"/>
        <v>May-2025</v>
      </c>
      <c r="P1608" s="22" t="s">
        <v>1679</v>
      </c>
      <c r="Q1608" s="22" t="s">
        <v>1531</v>
      </c>
      <c r="R1608" s="22" t="s">
        <v>680</v>
      </c>
      <c r="S1608" s="22"/>
      <c r="T1608" s="22"/>
    </row>
    <row r="1609" spans="1:23">
      <c r="A1609" t="s">
        <v>3546</v>
      </c>
      <c r="B1609" s="8">
        <v>45470</v>
      </c>
      <c r="C1609" t="s">
        <v>1436</v>
      </c>
      <c r="D1609" t="s">
        <v>1737</v>
      </c>
      <c r="E1609" t="s">
        <v>1911</v>
      </c>
      <c r="F1609">
        <v>2</v>
      </c>
      <c r="G1609" s="10">
        <v>780.57</v>
      </c>
      <c r="H1609" s="13">
        <v>0.26</v>
      </c>
      <c r="I1609" t="s">
        <v>1931</v>
      </c>
      <c r="J1609" s="16">
        <v>1155.2436</v>
      </c>
      <c r="K1609" s="19">
        <f t="shared" si="125"/>
        <v>419510.51380000025</v>
      </c>
      <c r="L1609" s="22">
        <f t="shared" si="126"/>
        <v>1067.456778117049</v>
      </c>
      <c r="M1609" s="22">
        <f t="shared" si="127"/>
        <v>121</v>
      </c>
      <c r="N1609" s="22" t="str">
        <f t="shared" si="128"/>
        <v>High Value</v>
      </c>
      <c r="O1609" s="22" t="str">
        <f t="shared" si="129"/>
        <v>Jun-2024</v>
      </c>
      <c r="P1609" s="22" t="s">
        <v>1738</v>
      </c>
      <c r="Q1609" s="22" t="s">
        <v>1569</v>
      </c>
      <c r="R1609" s="22" t="s">
        <v>1437</v>
      </c>
      <c r="S1609" s="22"/>
      <c r="T1609" s="22"/>
    </row>
    <row r="1610" spans="1:23">
      <c r="A1610" t="s">
        <v>3547</v>
      </c>
      <c r="B1610" s="8">
        <v>45390</v>
      </c>
      <c r="C1610" t="s">
        <v>1190</v>
      </c>
      <c r="D1610" t="s">
        <v>1840</v>
      </c>
      <c r="E1610" t="s">
        <v>1920</v>
      </c>
      <c r="F1610">
        <v>1</v>
      </c>
      <c r="G1610" s="10">
        <v>511.35</v>
      </c>
      <c r="H1610" s="13">
        <v>0</v>
      </c>
      <c r="I1610" t="s">
        <v>1931</v>
      </c>
      <c r="J1610" s="16">
        <v>511.35</v>
      </c>
      <c r="K1610" s="19">
        <f t="shared" si="125"/>
        <v>418355.2702000002</v>
      </c>
      <c r="L1610" s="22">
        <f t="shared" si="126"/>
        <v>1067.2328321428577</v>
      </c>
      <c r="M1610" s="22">
        <f t="shared" si="127"/>
        <v>121</v>
      </c>
      <c r="N1610" s="22" t="str">
        <f t="shared" si="128"/>
        <v>Low Value</v>
      </c>
      <c r="O1610" s="22" t="str">
        <f t="shared" si="129"/>
        <v>Apr-2024</v>
      </c>
      <c r="P1610" s="22" t="s">
        <v>1841</v>
      </c>
      <c r="Q1610" s="22" t="s">
        <v>1569</v>
      </c>
      <c r="R1610" s="22" t="s">
        <v>1191</v>
      </c>
      <c r="S1610" s="22"/>
      <c r="T1610" s="22"/>
    </row>
    <row r="1611" spans="1:23">
      <c r="A1611" t="s">
        <v>3548</v>
      </c>
      <c r="B1611" s="8">
        <v>45803</v>
      </c>
      <c r="C1611" t="s">
        <v>75</v>
      </c>
      <c r="D1611" t="s">
        <v>1846</v>
      </c>
      <c r="E1611" t="s">
        <v>1873</v>
      </c>
      <c r="F1611">
        <v>4</v>
      </c>
      <c r="G1611" s="10">
        <v>44.07</v>
      </c>
      <c r="H1611" s="13">
        <v>0.28999999999999998</v>
      </c>
      <c r="I1611" t="s">
        <v>1936</v>
      </c>
      <c r="J1611" s="16">
        <v>125.1588</v>
      </c>
      <c r="K1611" s="19">
        <f t="shared" si="125"/>
        <v>417843.92020000017</v>
      </c>
      <c r="L1611" s="22">
        <f t="shared" si="126"/>
        <v>1068.6545273657293</v>
      </c>
      <c r="M1611" s="22">
        <f t="shared" si="127"/>
        <v>121</v>
      </c>
      <c r="N1611" s="22" t="str">
        <f t="shared" si="128"/>
        <v>Low Value</v>
      </c>
      <c r="O1611" s="22" t="str">
        <f t="shared" si="129"/>
        <v>May-2025</v>
      </c>
      <c r="P1611" s="22" t="s">
        <v>1847</v>
      </c>
      <c r="Q1611" s="22" t="s">
        <v>1569</v>
      </c>
      <c r="R1611" s="22" t="s">
        <v>76</v>
      </c>
      <c r="S1611" s="22"/>
      <c r="T1611" s="22"/>
    </row>
    <row r="1612" spans="1:23">
      <c r="A1612" t="s">
        <v>3549</v>
      </c>
      <c r="B1612" s="8">
        <v>45320</v>
      </c>
      <c r="C1612" t="s">
        <v>644</v>
      </c>
      <c r="D1612" t="s">
        <v>1762</v>
      </c>
      <c r="E1612" t="s">
        <v>1899</v>
      </c>
      <c r="F1612">
        <v>2</v>
      </c>
      <c r="G1612" s="10">
        <v>895.92</v>
      </c>
      <c r="H1612" s="13">
        <v>0.15</v>
      </c>
      <c r="I1612" t="s">
        <v>1931</v>
      </c>
      <c r="J1612" s="16">
        <v>1523.0640000000001</v>
      </c>
      <c r="K1612" s="19">
        <f t="shared" si="125"/>
        <v>417718.76140000019</v>
      </c>
      <c r="L1612" s="22">
        <f t="shared" si="126"/>
        <v>1071.0737471794878</v>
      </c>
      <c r="M1612" s="22">
        <f t="shared" si="127"/>
        <v>121</v>
      </c>
      <c r="N1612" s="22" t="str">
        <f t="shared" si="128"/>
        <v>High Value</v>
      </c>
      <c r="O1612" s="22" t="str">
        <f t="shared" si="129"/>
        <v>Jan-2024</v>
      </c>
      <c r="P1612" s="22" t="s">
        <v>1763</v>
      </c>
      <c r="Q1612" s="22" t="s">
        <v>1536</v>
      </c>
      <c r="R1612" s="22" t="s">
        <v>645</v>
      </c>
      <c r="S1612" s="22"/>
      <c r="T1612" s="22"/>
    </row>
    <row r="1613" spans="1:23">
      <c r="A1613" t="s">
        <v>3550</v>
      </c>
      <c r="B1613" s="8">
        <v>45619</v>
      </c>
      <c r="C1613" t="s">
        <v>960</v>
      </c>
      <c r="D1613" t="s">
        <v>1713</v>
      </c>
      <c r="E1613" t="s">
        <v>1868</v>
      </c>
      <c r="F1613">
        <v>4</v>
      </c>
      <c r="G1613" s="10">
        <v>456.32</v>
      </c>
      <c r="H1613" s="13">
        <v>0.22</v>
      </c>
      <c r="I1613" t="s">
        <v>1936</v>
      </c>
      <c r="J1613" s="16">
        <v>1423.7184</v>
      </c>
      <c r="K1613" s="19">
        <f t="shared" si="125"/>
        <v>416195.69740000018</v>
      </c>
      <c r="L1613" s="22">
        <f t="shared" si="126"/>
        <v>1069.9118185089978</v>
      </c>
      <c r="M1613" s="22">
        <f t="shared" si="127"/>
        <v>121</v>
      </c>
      <c r="N1613" s="22" t="str">
        <f t="shared" si="128"/>
        <v>High Value</v>
      </c>
      <c r="O1613" s="22" t="str">
        <f t="shared" si="129"/>
        <v>Nov-2024</v>
      </c>
      <c r="P1613" s="22" t="s">
        <v>1714</v>
      </c>
      <c r="Q1613" s="22" t="s">
        <v>1536</v>
      </c>
      <c r="R1613" s="22" t="s">
        <v>961</v>
      </c>
      <c r="S1613" s="22"/>
      <c r="T1613" s="22"/>
    </row>
    <row r="1614" spans="1:23">
      <c r="A1614" t="s">
        <v>3551</v>
      </c>
      <c r="B1614" s="8">
        <v>45777</v>
      </c>
      <c r="C1614" t="s">
        <v>1297</v>
      </c>
      <c r="D1614" t="s">
        <v>1652</v>
      </c>
      <c r="E1614" t="s">
        <v>1859</v>
      </c>
      <c r="F1614">
        <v>1</v>
      </c>
      <c r="G1614" s="10">
        <v>905.5</v>
      </c>
      <c r="H1614" s="13">
        <v>0.28999999999999998</v>
      </c>
      <c r="I1614" t="s">
        <v>1936</v>
      </c>
      <c r="J1614" s="16">
        <v>642.90499999999997</v>
      </c>
      <c r="K1614" s="19">
        <f t="shared" si="125"/>
        <v>414771.97900000022</v>
      </c>
      <c r="L1614" s="22">
        <f t="shared" si="126"/>
        <v>1068.9999458762893</v>
      </c>
      <c r="M1614" s="22">
        <f t="shared" si="127"/>
        <v>121</v>
      </c>
      <c r="N1614" s="22" t="str">
        <f t="shared" si="128"/>
        <v>Low Value</v>
      </c>
      <c r="O1614" s="22" t="str">
        <f t="shared" si="129"/>
        <v>Apr-2025</v>
      </c>
      <c r="P1614" s="22" t="s">
        <v>1653</v>
      </c>
      <c r="Q1614" s="22" t="s">
        <v>1531</v>
      </c>
      <c r="R1614" s="22" t="s">
        <v>3958</v>
      </c>
      <c r="S1614" s="22"/>
      <c r="T1614" s="22"/>
    </row>
    <row r="1615" spans="1:23">
      <c r="A1615" t="s">
        <v>3552</v>
      </c>
      <c r="B1615" s="8">
        <v>45523</v>
      </c>
      <c r="C1615" t="s">
        <v>664</v>
      </c>
      <c r="D1615" t="s">
        <v>1970</v>
      </c>
      <c r="E1615" t="s">
        <v>1904</v>
      </c>
      <c r="F1615">
        <v>3</v>
      </c>
      <c r="G1615" s="10">
        <v>63.19</v>
      </c>
      <c r="H1615" s="13">
        <v>0.08</v>
      </c>
      <c r="I1615" t="s">
        <v>1931</v>
      </c>
      <c r="J1615" s="16">
        <v>174.40440000000001</v>
      </c>
      <c r="K1615" s="19">
        <f t="shared" si="125"/>
        <v>414129.0740000002</v>
      </c>
      <c r="L1615" s="22">
        <f t="shared" si="126"/>
        <v>1070.1009664082692</v>
      </c>
      <c r="M1615" s="22">
        <f t="shared" si="127"/>
        <v>121</v>
      </c>
      <c r="N1615" s="22" t="str">
        <f t="shared" si="128"/>
        <v>Low Value</v>
      </c>
      <c r="O1615" s="22" t="str">
        <f t="shared" si="129"/>
        <v>Aug-2024</v>
      </c>
      <c r="P1615" s="22" t="s">
        <v>1594</v>
      </c>
      <c r="Q1615" s="22" t="s">
        <v>1555</v>
      </c>
      <c r="R1615" s="22" t="s">
        <v>665</v>
      </c>
      <c r="S1615" s="22"/>
      <c r="T1615" s="22"/>
    </row>
    <row r="1616" spans="1:23">
      <c r="A1616" t="s">
        <v>3553</v>
      </c>
      <c r="B1616" s="8">
        <v>45628</v>
      </c>
      <c r="C1616" t="s">
        <v>188</v>
      </c>
      <c r="D1616" t="s">
        <v>1765</v>
      </c>
      <c r="E1616" t="s">
        <v>1886</v>
      </c>
      <c r="F1616">
        <v>3</v>
      </c>
      <c r="G1616" s="10">
        <v>687.66</v>
      </c>
      <c r="H1616" s="13">
        <v>0.06</v>
      </c>
      <c r="I1616" t="s">
        <v>1933</v>
      </c>
      <c r="J1616" s="16">
        <v>1939.2012</v>
      </c>
      <c r="K1616" s="19">
        <f t="shared" si="125"/>
        <v>413954.6696000002</v>
      </c>
      <c r="L1616" s="22">
        <f t="shared" si="126"/>
        <v>1072.4214238341974</v>
      </c>
      <c r="M1616" s="22">
        <f t="shared" si="127"/>
        <v>121</v>
      </c>
      <c r="N1616" s="22" t="str">
        <f t="shared" si="128"/>
        <v>High Value</v>
      </c>
      <c r="O1616" s="22" t="str">
        <f t="shared" si="129"/>
        <v>Dec-2024</v>
      </c>
      <c r="P1616" s="22" t="s">
        <v>1766</v>
      </c>
      <c r="Q1616" s="22" t="s">
        <v>1560</v>
      </c>
      <c r="R1616" s="22" t="s">
        <v>189</v>
      </c>
      <c r="S1616" s="22"/>
      <c r="T1616" s="22"/>
    </row>
    <row r="1617" spans="1:20">
      <c r="A1617" t="s">
        <v>3554</v>
      </c>
      <c r="B1617" s="8">
        <v>45742</v>
      </c>
      <c r="C1617" t="s">
        <v>709</v>
      </c>
      <c r="D1617" t="s">
        <v>1681</v>
      </c>
      <c r="E1617" t="s">
        <v>1893</v>
      </c>
      <c r="F1617">
        <v>4</v>
      </c>
      <c r="G1617" s="10">
        <v>639.05999999999995</v>
      </c>
      <c r="H1617" s="13">
        <v>0.12</v>
      </c>
      <c r="I1617" t="s">
        <v>1933</v>
      </c>
      <c r="J1617" s="16">
        <v>2249.4911999999999</v>
      </c>
      <c r="K1617" s="19">
        <f t="shared" si="125"/>
        <v>412015.46840000019</v>
      </c>
      <c r="L1617" s="22">
        <f t="shared" si="126"/>
        <v>1070.1700477922084</v>
      </c>
      <c r="M1617" s="22">
        <f t="shared" si="127"/>
        <v>120</v>
      </c>
      <c r="N1617" s="22" t="str">
        <f t="shared" si="128"/>
        <v>High Value</v>
      </c>
      <c r="O1617" s="22" t="str">
        <f t="shared" si="129"/>
        <v>Mar-2025</v>
      </c>
      <c r="P1617" s="22" t="s">
        <v>1682</v>
      </c>
      <c r="Q1617" s="22" t="s">
        <v>1531</v>
      </c>
      <c r="R1617" s="22" t="s">
        <v>710</v>
      </c>
      <c r="S1617" s="22"/>
      <c r="T1617" s="22"/>
    </row>
    <row r="1618" spans="1:20">
      <c r="A1618" t="s">
        <v>3555</v>
      </c>
      <c r="B1618" s="8">
        <v>45456</v>
      </c>
      <c r="C1618" t="s">
        <v>244</v>
      </c>
      <c r="D1618" t="s">
        <v>1768</v>
      </c>
      <c r="E1618" t="s">
        <v>1886</v>
      </c>
      <c r="F1618">
        <v>1</v>
      </c>
      <c r="G1618" s="10">
        <v>475.15</v>
      </c>
      <c r="H1618" s="13">
        <v>0.04</v>
      </c>
      <c r="I1618" t="s">
        <v>1936</v>
      </c>
      <c r="J1618" s="16">
        <v>456.14399999999989</v>
      </c>
      <c r="K1618" s="19">
        <f t="shared" si="125"/>
        <v>409765.9772000002</v>
      </c>
      <c r="L1618" s="22">
        <f t="shared" si="126"/>
        <v>1067.0988989583338</v>
      </c>
      <c r="M1618" s="22">
        <f t="shared" si="127"/>
        <v>119</v>
      </c>
      <c r="N1618" s="22" t="str">
        <f t="shared" si="128"/>
        <v>Low Value</v>
      </c>
      <c r="O1618" s="22" t="str">
        <f t="shared" si="129"/>
        <v>Jun-2024</v>
      </c>
      <c r="P1618" s="22" t="s">
        <v>1769</v>
      </c>
      <c r="Q1618" s="22" t="s">
        <v>1555</v>
      </c>
      <c r="R1618" s="22" t="s">
        <v>245</v>
      </c>
      <c r="S1618" s="22"/>
      <c r="T1618" s="22"/>
    </row>
    <row r="1619" spans="1:20">
      <c r="A1619" t="s">
        <v>3556</v>
      </c>
      <c r="B1619" s="8">
        <v>45534</v>
      </c>
      <c r="C1619" t="s">
        <v>623</v>
      </c>
      <c r="D1619" t="s">
        <v>1684</v>
      </c>
      <c r="E1619" t="s">
        <v>1883</v>
      </c>
      <c r="F1619">
        <v>1</v>
      </c>
      <c r="G1619" s="10">
        <v>62.38</v>
      </c>
      <c r="H1619" s="13">
        <v>0.08</v>
      </c>
      <c r="I1619" t="s">
        <v>1936</v>
      </c>
      <c r="J1619" s="16">
        <v>57.389600000000002</v>
      </c>
      <c r="K1619" s="19">
        <f t="shared" si="125"/>
        <v>409309.83320000017</v>
      </c>
      <c r="L1619" s="22">
        <f t="shared" si="126"/>
        <v>1068.6940814621414</v>
      </c>
      <c r="M1619" s="22">
        <f t="shared" si="127"/>
        <v>119</v>
      </c>
      <c r="N1619" s="22" t="str">
        <f t="shared" si="128"/>
        <v>Low Value</v>
      </c>
      <c r="O1619" s="22" t="str">
        <f t="shared" si="129"/>
        <v>Aug-2024</v>
      </c>
      <c r="P1619" s="22" t="s">
        <v>1685</v>
      </c>
      <c r="Q1619" s="22" t="s">
        <v>1569</v>
      </c>
      <c r="R1619" s="22" t="s">
        <v>624</v>
      </c>
      <c r="S1619" s="22"/>
      <c r="T1619" s="22"/>
    </row>
    <row r="1620" spans="1:20">
      <c r="A1620" t="s">
        <v>3557</v>
      </c>
      <c r="B1620" s="8">
        <v>45375</v>
      </c>
      <c r="C1620" t="s">
        <v>1104</v>
      </c>
      <c r="D1620" t="s">
        <v>1590</v>
      </c>
      <c r="E1620" t="s">
        <v>1886</v>
      </c>
      <c r="F1620">
        <v>1</v>
      </c>
      <c r="G1620" s="10">
        <v>977.02</v>
      </c>
      <c r="H1620" s="13">
        <v>0.2</v>
      </c>
      <c r="I1620" t="s">
        <v>1936</v>
      </c>
      <c r="J1620" s="16">
        <v>781.61599999999999</v>
      </c>
      <c r="K1620" s="19">
        <f t="shared" si="125"/>
        <v>409252.44360000017</v>
      </c>
      <c r="L1620" s="22">
        <f t="shared" si="126"/>
        <v>1071.3414753926706</v>
      </c>
      <c r="M1620" s="22">
        <f t="shared" si="127"/>
        <v>119</v>
      </c>
      <c r="N1620" s="22" t="str">
        <f t="shared" si="128"/>
        <v>Low Value</v>
      </c>
      <c r="O1620" s="22" t="str">
        <f t="shared" si="129"/>
        <v>Mar-2024</v>
      </c>
      <c r="P1620" s="22" t="s">
        <v>1591</v>
      </c>
      <c r="Q1620" s="22" t="s">
        <v>1531</v>
      </c>
      <c r="R1620" s="22" t="s">
        <v>1105</v>
      </c>
      <c r="S1620" s="22"/>
      <c r="T1620" s="22"/>
    </row>
    <row r="1621" spans="1:20">
      <c r="A1621" t="s">
        <v>3558</v>
      </c>
      <c r="B1621" s="8">
        <v>45546</v>
      </c>
      <c r="C1621" t="s">
        <v>268</v>
      </c>
      <c r="D1621" t="s">
        <v>1804</v>
      </c>
      <c r="E1621" t="s">
        <v>1876</v>
      </c>
      <c r="F1621">
        <v>2</v>
      </c>
      <c r="G1621" s="10">
        <v>898.81</v>
      </c>
      <c r="H1621" s="13">
        <v>0.25</v>
      </c>
      <c r="I1621" t="s">
        <v>1931</v>
      </c>
      <c r="J1621" s="16">
        <v>1348.2149999999999</v>
      </c>
      <c r="K1621" s="19">
        <f t="shared" si="125"/>
        <v>408470.82760000019</v>
      </c>
      <c r="L1621" s="22">
        <f t="shared" si="126"/>
        <v>1072.1019097112867</v>
      </c>
      <c r="M1621" s="22">
        <f t="shared" si="127"/>
        <v>119</v>
      </c>
      <c r="N1621" s="22" t="str">
        <f t="shared" si="128"/>
        <v>High Value</v>
      </c>
      <c r="O1621" s="22" t="str">
        <f t="shared" si="129"/>
        <v>Sep-2024</v>
      </c>
      <c r="P1621" s="22" t="s">
        <v>1805</v>
      </c>
      <c r="Q1621" s="22" t="s">
        <v>1555</v>
      </c>
      <c r="R1621" s="22" t="s">
        <v>269</v>
      </c>
      <c r="S1621" s="22"/>
      <c r="T1621" s="22"/>
    </row>
    <row r="1622" spans="1:20">
      <c r="A1622" t="s">
        <v>3559</v>
      </c>
      <c r="B1622" s="8">
        <v>45769</v>
      </c>
      <c r="C1622" t="s">
        <v>1096</v>
      </c>
      <c r="D1622" t="s">
        <v>1725</v>
      </c>
      <c r="E1622" t="s">
        <v>1873</v>
      </c>
      <c r="F1622">
        <v>2</v>
      </c>
      <c r="G1622" s="10">
        <v>422.13</v>
      </c>
      <c r="H1622" s="13">
        <v>0.28000000000000003</v>
      </c>
      <c r="I1622" t="s">
        <v>1931</v>
      </c>
      <c r="J1622" s="16">
        <v>607.86720000000003</v>
      </c>
      <c r="K1622" s="19">
        <f t="shared" si="125"/>
        <v>407122.61260000023</v>
      </c>
      <c r="L1622" s="22">
        <f t="shared" si="126"/>
        <v>1071.3752963157901</v>
      </c>
      <c r="M1622" s="22">
        <f t="shared" si="127"/>
        <v>119</v>
      </c>
      <c r="N1622" s="22" t="str">
        <f t="shared" si="128"/>
        <v>Low Value</v>
      </c>
      <c r="O1622" s="22" t="str">
        <f t="shared" si="129"/>
        <v>Apr-2025</v>
      </c>
      <c r="P1622" s="22" t="s">
        <v>1726</v>
      </c>
      <c r="Q1622" s="22" t="s">
        <v>1569</v>
      </c>
      <c r="R1622" s="22" t="s">
        <v>1097</v>
      </c>
      <c r="S1622" s="22"/>
      <c r="T1622" s="22"/>
    </row>
    <row r="1623" spans="1:20">
      <c r="A1623" t="s">
        <v>3560</v>
      </c>
      <c r="B1623" s="8">
        <v>45524</v>
      </c>
      <c r="C1623" t="s">
        <v>188</v>
      </c>
      <c r="D1623" t="s">
        <v>1652</v>
      </c>
      <c r="E1623" t="s">
        <v>1899</v>
      </c>
      <c r="F1623">
        <v>1</v>
      </c>
      <c r="G1623" s="10">
        <v>324.56</v>
      </c>
      <c r="H1623" s="13">
        <v>0.03</v>
      </c>
      <c r="I1623" t="s">
        <v>1936</v>
      </c>
      <c r="J1623" s="16">
        <v>314.82319999999999</v>
      </c>
      <c r="K1623" s="19">
        <f t="shared" si="125"/>
        <v>406514.74540000019</v>
      </c>
      <c r="L1623" s="22">
        <f t="shared" si="126"/>
        <v>1072.5982728232195</v>
      </c>
      <c r="M1623" s="22">
        <f t="shared" si="127"/>
        <v>119</v>
      </c>
      <c r="N1623" s="22" t="str">
        <f t="shared" si="128"/>
        <v>Low Value</v>
      </c>
      <c r="O1623" s="22" t="str">
        <f t="shared" si="129"/>
        <v>Aug-2024</v>
      </c>
      <c r="P1623" s="22" t="s">
        <v>1653</v>
      </c>
      <c r="Q1623" s="22" t="s">
        <v>1531</v>
      </c>
      <c r="R1623" s="22" t="s">
        <v>189</v>
      </c>
      <c r="S1623" s="22"/>
      <c r="T1623" s="22"/>
    </row>
    <row r="1624" spans="1:20">
      <c r="A1624" t="s">
        <v>3561</v>
      </c>
      <c r="B1624" s="8">
        <v>45531</v>
      </c>
      <c r="C1624" t="s">
        <v>1433</v>
      </c>
      <c r="D1624" t="s">
        <v>1719</v>
      </c>
      <c r="E1624" t="s">
        <v>1911</v>
      </c>
      <c r="F1624">
        <v>4</v>
      </c>
      <c r="G1624" s="10">
        <v>570.38</v>
      </c>
      <c r="H1624" s="13">
        <v>0.26</v>
      </c>
      <c r="I1624" t="s">
        <v>1933</v>
      </c>
      <c r="J1624" s="16">
        <v>1688.3248000000001</v>
      </c>
      <c r="K1624" s="19">
        <f t="shared" si="125"/>
        <v>406199.9222000002</v>
      </c>
      <c r="L1624" s="22">
        <f t="shared" si="126"/>
        <v>1074.6029687830694</v>
      </c>
      <c r="M1624" s="22">
        <f t="shared" si="127"/>
        <v>119</v>
      </c>
      <c r="N1624" s="22" t="str">
        <f t="shared" si="128"/>
        <v>High Value</v>
      </c>
      <c r="O1624" s="22" t="str">
        <f t="shared" si="129"/>
        <v>Aug-2024</v>
      </c>
      <c r="P1624" s="22" t="s">
        <v>1720</v>
      </c>
      <c r="Q1624" s="22" t="s">
        <v>1560</v>
      </c>
      <c r="R1624" s="22" t="s">
        <v>1434</v>
      </c>
      <c r="S1624" s="22"/>
      <c r="T1624" s="22"/>
    </row>
    <row r="1625" spans="1:20">
      <c r="A1625" t="s">
        <v>3562</v>
      </c>
      <c r="B1625" s="8">
        <v>45479</v>
      </c>
      <c r="C1625" t="s">
        <v>1223</v>
      </c>
      <c r="D1625" t="s">
        <v>1652</v>
      </c>
      <c r="E1625" t="s">
        <v>1908</v>
      </c>
      <c r="F1625">
        <v>2</v>
      </c>
      <c r="G1625" s="10">
        <v>223.73</v>
      </c>
      <c r="H1625" s="13">
        <v>0.11</v>
      </c>
      <c r="I1625" t="s">
        <v>1933</v>
      </c>
      <c r="J1625" s="16">
        <v>398.23939999999999</v>
      </c>
      <c r="K1625" s="19">
        <f t="shared" si="125"/>
        <v>404511.5974000002</v>
      </c>
      <c r="L1625" s="22">
        <f t="shared" si="126"/>
        <v>1072.9750594164461</v>
      </c>
      <c r="M1625" s="22">
        <f t="shared" si="127"/>
        <v>118</v>
      </c>
      <c r="N1625" s="22" t="str">
        <f t="shared" si="128"/>
        <v>Low Value</v>
      </c>
      <c r="O1625" s="22" t="str">
        <f t="shared" si="129"/>
        <v>Jul-2024</v>
      </c>
      <c r="P1625" s="22" t="s">
        <v>1653</v>
      </c>
      <c r="Q1625" s="22" t="s">
        <v>1531</v>
      </c>
      <c r="R1625" s="22" t="s">
        <v>1224</v>
      </c>
      <c r="S1625" s="22"/>
      <c r="T1625" s="22"/>
    </row>
    <row r="1626" spans="1:20">
      <c r="A1626" t="s">
        <v>3563</v>
      </c>
      <c r="B1626" s="8">
        <v>45868</v>
      </c>
      <c r="C1626" t="s">
        <v>1096</v>
      </c>
      <c r="D1626" t="s">
        <v>1813</v>
      </c>
      <c r="E1626" t="s">
        <v>1911</v>
      </c>
      <c r="F1626">
        <v>4</v>
      </c>
      <c r="G1626" s="10">
        <v>164.93</v>
      </c>
      <c r="H1626" s="13">
        <v>0.11</v>
      </c>
      <c r="I1626" t="s">
        <v>1931</v>
      </c>
      <c r="J1626" s="16">
        <v>587.1508</v>
      </c>
      <c r="K1626" s="19">
        <f t="shared" si="125"/>
        <v>404113.35800000018</v>
      </c>
      <c r="L1626" s="22">
        <f t="shared" si="126"/>
        <v>1074.7695691489366</v>
      </c>
      <c r="M1626" s="22">
        <f t="shared" si="127"/>
        <v>117</v>
      </c>
      <c r="N1626" s="22" t="str">
        <f t="shared" si="128"/>
        <v>Low Value</v>
      </c>
      <c r="O1626" s="22" t="str">
        <f t="shared" si="129"/>
        <v>Jul-2025</v>
      </c>
      <c r="P1626" s="22" t="s">
        <v>1814</v>
      </c>
      <c r="Q1626" s="22" t="s">
        <v>1560</v>
      </c>
      <c r="R1626" s="22" t="s">
        <v>1097</v>
      </c>
      <c r="S1626" s="22"/>
      <c r="T1626" s="22"/>
    </row>
    <row r="1627" spans="1:20">
      <c r="A1627" t="s">
        <v>3564</v>
      </c>
      <c r="B1627" s="8">
        <v>45569</v>
      </c>
      <c r="C1627" t="s">
        <v>798</v>
      </c>
      <c r="D1627" t="s">
        <v>1590</v>
      </c>
      <c r="E1627" t="s">
        <v>1886</v>
      </c>
      <c r="F1627">
        <v>3</v>
      </c>
      <c r="G1627" s="10">
        <v>326.66000000000003</v>
      </c>
      <c r="H1627" s="13">
        <v>0.28000000000000003</v>
      </c>
      <c r="I1627" t="s">
        <v>1936</v>
      </c>
      <c r="J1627" s="16">
        <v>705.5856</v>
      </c>
      <c r="K1627" s="19">
        <f t="shared" si="125"/>
        <v>403526.20720000018</v>
      </c>
      <c r="L1627" s="22">
        <f t="shared" si="126"/>
        <v>1076.0698858666672</v>
      </c>
      <c r="M1627" s="22">
        <f t="shared" si="127"/>
        <v>117</v>
      </c>
      <c r="N1627" s="22" t="str">
        <f t="shared" si="128"/>
        <v>Low Value</v>
      </c>
      <c r="O1627" s="22" t="str">
        <f t="shared" si="129"/>
        <v>Oct-2024</v>
      </c>
      <c r="P1627" s="22" t="s">
        <v>1591</v>
      </c>
      <c r="Q1627" s="22" t="s">
        <v>1531</v>
      </c>
      <c r="R1627" s="22" t="s">
        <v>799</v>
      </c>
      <c r="S1627" s="22"/>
      <c r="T1627" s="22"/>
    </row>
    <row r="1628" spans="1:20">
      <c r="A1628" t="s">
        <v>3565</v>
      </c>
      <c r="B1628" s="8">
        <v>45382</v>
      </c>
      <c r="C1628" t="s">
        <v>599</v>
      </c>
      <c r="D1628" t="s">
        <v>1534</v>
      </c>
      <c r="E1628" t="s">
        <v>1908</v>
      </c>
      <c r="F1628">
        <v>2</v>
      </c>
      <c r="G1628" s="10">
        <v>462.93</v>
      </c>
      <c r="H1628" s="13">
        <v>0.17</v>
      </c>
      <c r="I1628" t="s">
        <v>1933</v>
      </c>
      <c r="J1628" s="16">
        <v>768.46379999999999</v>
      </c>
      <c r="K1628" s="19">
        <f t="shared" si="125"/>
        <v>402820.62160000019</v>
      </c>
      <c r="L1628" s="22">
        <f t="shared" si="126"/>
        <v>1077.0604855614979</v>
      </c>
      <c r="M1628" s="22">
        <f t="shared" si="127"/>
        <v>117</v>
      </c>
      <c r="N1628" s="22" t="str">
        <f t="shared" si="128"/>
        <v>Low Value</v>
      </c>
      <c r="O1628" s="22" t="str">
        <f t="shared" si="129"/>
        <v>Mar-2024</v>
      </c>
      <c r="P1628" s="22" t="s">
        <v>1535</v>
      </c>
      <c r="Q1628" s="22" t="s">
        <v>1536</v>
      </c>
      <c r="R1628" s="22" t="s">
        <v>600</v>
      </c>
      <c r="S1628" s="22"/>
      <c r="T1628" s="22"/>
    </row>
    <row r="1629" spans="1:20">
      <c r="A1629" t="s">
        <v>3566</v>
      </c>
      <c r="B1629" s="8">
        <v>45885</v>
      </c>
      <c r="C1629" t="s">
        <v>494</v>
      </c>
      <c r="D1629" t="s">
        <v>1529</v>
      </c>
      <c r="E1629" t="s">
        <v>1911</v>
      </c>
      <c r="F1629">
        <v>3</v>
      </c>
      <c r="G1629" s="10">
        <v>60.26</v>
      </c>
      <c r="H1629" s="13">
        <v>0.04</v>
      </c>
      <c r="I1629" t="s">
        <v>1931</v>
      </c>
      <c r="J1629" s="16">
        <v>173.5488</v>
      </c>
      <c r="K1629" s="19">
        <f t="shared" si="125"/>
        <v>402052.15780000016</v>
      </c>
      <c r="L1629" s="22">
        <f t="shared" si="126"/>
        <v>1077.8878225201076</v>
      </c>
      <c r="M1629" s="22">
        <f t="shared" si="127"/>
        <v>116</v>
      </c>
      <c r="N1629" s="22" t="str">
        <f t="shared" si="128"/>
        <v>Low Value</v>
      </c>
      <c r="O1629" s="22" t="str">
        <f t="shared" si="129"/>
        <v>Aug-2025</v>
      </c>
      <c r="P1629" s="22" t="s">
        <v>1530</v>
      </c>
      <c r="Q1629" s="22" t="s">
        <v>1531</v>
      </c>
      <c r="R1629" s="22" t="s">
        <v>495</v>
      </c>
      <c r="S1629" s="22"/>
      <c r="T1629" s="22"/>
    </row>
    <row r="1630" spans="1:20">
      <c r="A1630" t="s">
        <v>3567</v>
      </c>
      <c r="B1630" s="8">
        <v>45829</v>
      </c>
      <c r="C1630" t="s">
        <v>258</v>
      </c>
      <c r="D1630" t="s">
        <v>1652</v>
      </c>
      <c r="E1630" t="s">
        <v>1893</v>
      </c>
      <c r="F1630">
        <v>3</v>
      </c>
      <c r="G1630" s="10">
        <v>109.5</v>
      </c>
      <c r="H1630" s="13">
        <v>0.06</v>
      </c>
      <c r="I1630" t="s">
        <v>1936</v>
      </c>
      <c r="J1630" s="16">
        <v>308.79000000000002</v>
      </c>
      <c r="K1630" s="19">
        <f t="shared" si="125"/>
        <v>401878.60900000017</v>
      </c>
      <c r="L1630" s="22">
        <f t="shared" si="126"/>
        <v>1080.3188413978498</v>
      </c>
      <c r="M1630" s="22">
        <f t="shared" si="127"/>
        <v>116</v>
      </c>
      <c r="N1630" s="22" t="str">
        <f t="shared" si="128"/>
        <v>Low Value</v>
      </c>
      <c r="O1630" s="22" t="str">
        <f t="shared" si="129"/>
        <v>Jun-2025</v>
      </c>
      <c r="P1630" s="22" t="s">
        <v>1653</v>
      </c>
      <c r="Q1630" s="22" t="s">
        <v>1531</v>
      </c>
      <c r="R1630" s="22" t="s">
        <v>259</v>
      </c>
      <c r="S1630" s="22"/>
      <c r="T1630" s="22"/>
    </row>
    <row r="1631" spans="1:20">
      <c r="A1631" t="s">
        <v>3568</v>
      </c>
      <c r="B1631" s="8">
        <v>45721</v>
      </c>
      <c r="C1631" t="s">
        <v>1187</v>
      </c>
      <c r="D1631" t="s">
        <v>1765</v>
      </c>
      <c r="E1631" t="s">
        <v>1911</v>
      </c>
      <c r="F1631">
        <v>1</v>
      </c>
      <c r="G1631" s="10">
        <v>505.83</v>
      </c>
      <c r="H1631" s="13">
        <v>0.14000000000000001</v>
      </c>
      <c r="I1631" t="s">
        <v>1936</v>
      </c>
      <c r="J1631" s="16">
        <v>435.0138</v>
      </c>
      <c r="K1631" s="19">
        <f t="shared" si="125"/>
        <v>401569.81900000019</v>
      </c>
      <c r="L1631" s="22">
        <f t="shared" si="126"/>
        <v>1082.3984339622646</v>
      </c>
      <c r="M1631" s="22">
        <f t="shared" si="127"/>
        <v>116</v>
      </c>
      <c r="N1631" s="22" t="str">
        <f t="shared" si="128"/>
        <v>Low Value</v>
      </c>
      <c r="O1631" s="22" t="str">
        <f t="shared" si="129"/>
        <v>Mar-2025</v>
      </c>
      <c r="P1631" s="22" t="s">
        <v>1766</v>
      </c>
      <c r="Q1631" s="22" t="s">
        <v>1560</v>
      </c>
      <c r="R1631" s="22" t="s">
        <v>1188</v>
      </c>
      <c r="S1631" s="22"/>
      <c r="T1631" s="22"/>
    </row>
    <row r="1632" spans="1:20">
      <c r="A1632" t="s">
        <v>3569</v>
      </c>
      <c r="B1632" s="8">
        <v>45511</v>
      </c>
      <c r="C1632" t="s">
        <v>542</v>
      </c>
      <c r="D1632" t="s">
        <v>1849</v>
      </c>
      <c r="E1632" t="s">
        <v>1896</v>
      </c>
      <c r="F1632">
        <v>2</v>
      </c>
      <c r="G1632" s="10">
        <v>443.15</v>
      </c>
      <c r="H1632" s="13">
        <v>0.27</v>
      </c>
      <c r="I1632" t="s">
        <v>1933</v>
      </c>
      <c r="J1632" s="16">
        <v>646.99899999999991</v>
      </c>
      <c r="K1632" s="19">
        <f t="shared" si="125"/>
        <v>401134.80520000018</v>
      </c>
      <c r="L1632" s="22">
        <f t="shared" si="126"/>
        <v>1084.1481221621627</v>
      </c>
      <c r="M1632" s="22">
        <f t="shared" si="127"/>
        <v>116</v>
      </c>
      <c r="N1632" s="22" t="str">
        <f t="shared" si="128"/>
        <v>Low Value</v>
      </c>
      <c r="O1632" s="22" t="str">
        <f t="shared" si="129"/>
        <v>Aug-2024</v>
      </c>
      <c r="P1632" s="22" t="s">
        <v>1850</v>
      </c>
      <c r="Q1632" s="22" t="s">
        <v>1531</v>
      </c>
      <c r="R1632" s="22" t="s">
        <v>543</v>
      </c>
      <c r="S1632" s="22"/>
      <c r="T1632" s="22"/>
    </row>
    <row r="1633" spans="1:20">
      <c r="A1633" t="s">
        <v>3570</v>
      </c>
      <c r="B1633" s="8">
        <v>45739</v>
      </c>
      <c r="C1633" t="s">
        <v>1514</v>
      </c>
      <c r="D1633" t="s">
        <v>1558</v>
      </c>
      <c r="E1633" t="s">
        <v>1886</v>
      </c>
      <c r="F1633">
        <v>2</v>
      </c>
      <c r="G1633" s="10">
        <v>784.26</v>
      </c>
      <c r="H1633" s="13">
        <v>0.23</v>
      </c>
      <c r="I1633" t="s">
        <v>1933</v>
      </c>
      <c r="J1633" s="16">
        <v>1207.7603999999999</v>
      </c>
      <c r="K1633" s="19">
        <f t="shared" si="125"/>
        <v>400487.80620000017</v>
      </c>
      <c r="L1633" s="22">
        <f t="shared" si="126"/>
        <v>1085.3328081300817</v>
      </c>
      <c r="M1633" s="22">
        <f t="shared" si="127"/>
        <v>115</v>
      </c>
      <c r="N1633" s="22" t="str">
        <f t="shared" si="128"/>
        <v>High Value</v>
      </c>
      <c r="O1633" s="22" t="str">
        <f t="shared" si="129"/>
        <v>Mar-2025</v>
      </c>
      <c r="P1633" s="22" t="s">
        <v>1559</v>
      </c>
      <c r="Q1633" s="22" t="s">
        <v>1560</v>
      </c>
      <c r="R1633" s="22" t="s">
        <v>1515</v>
      </c>
      <c r="S1633" s="22"/>
      <c r="T1633" s="22"/>
    </row>
    <row r="1634" spans="1:20">
      <c r="A1634" t="s">
        <v>3571</v>
      </c>
      <c r="B1634" s="8">
        <v>45533</v>
      </c>
      <c r="C1634" t="s">
        <v>1396</v>
      </c>
      <c r="D1634" t="s">
        <v>1668</v>
      </c>
      <c r="E1634" t="s">
        <v>1899</v>
      </c>
      <c r="F1634">
        <v>3</v>
      </c>
      <c r="G1634" s="10">
        <v>590.30999999999995</v>
      </c>
      <c r="H1634" s="13">
        <v>0.17</v>
      </c>
      <c r="I1634" t="s">
        <v>1933</v>
      </c>
      <c r="J1634" s="16">
        <v>1469.8719000000001</v>
      </c>
      <c r="K1634" s="19">
        <f t="shared" si="125"/>
        <v>399280.04580000014</v>
      </c>
      <c r="L1634" s="22">
        <f t="shared" si="126"/>
        <v>1085.0001244565221</v>
      </c>
      <c r="M1634" s="22">
        <f t="shared" si="127"/>
        <v>114</v>
      </c>
      <c r="N1634" s="22" t="str">
        <f t="shared" si="128"/>
        <v>High Value</v>
      </c>
      <c r="O1634" s="22" t="str">
        <f t="shared" si="129"/>
        <v>Aug-2024</v>
      </c>
      <c r="P1634" s="22" t="s">
        <v>1669</v>
      </c>
      <c r="Q1634" s="22" t="s">
        <v>1531</v>
      </c>
      <c r="R1634" s="22" t="s">
        <v>1397</v>
      </c>
      <c r="S1634" s="22"/>
      <c r="T1634" s="22"/>
    </row>
    <row r="1635" spans="1:20">
      <c r="A1635" t="s">
        <v>3572</v>
      </c>
      <c r="B1635" s="8">
        <v>45553</v>
      </c>
      <c r="C1635" t="s">
        <v>412</v>
      </c>
      <c r="D1635" t="s">
        <v>1762</v>
      </c>
      <c r="E1635" t="s">
        <v>1911</v>
      </c>
      <c r="F1635">
        <v>1</v>
      </c>
      <c r="G1635" s="10">
        <v>696.13</v>
      </c>
      <c r="H1635" s="13">
        <v>0.06</v>
      </c>
      <c r="I1635" t="s">
        <v>1936</v>
      </c>
      <c r="J1635" s="16">
        <v>654.36219999999992</v>
      </c>
      <c r="K1635" s="19">
        <f t="shared" si="125"/>
        <v>397810.17390000017</v>
      </c>
      <c r="L1635" s="22">
        <f t="shared" si="126"/>
        <v>1083.9514275204365</v>
      </c>
      <c r="M1635" s="22">
        <f t="shared" si="127"/>
        <v>113</v>
      </c>
      <c r="N1635" s="22" t="str">
        <f t="shared" si="128"/>
        <v>Low Value</v>
      </c>
      <c r="O1635" s="22" t="str">
        <f t="shared" si="129"/>
        <v>Sep-2024</v>
      </c>
      <c r="P1635" s="22" t="s">
        <v>1763</v>
      </c>
      <c r="Q1635" s="22" t="s">
        <v>1536</v>
      </c>
      <c r="R1635" s="22" t="s">
        <v>413</v>
      </c>
      <c r="S1635" s="22"/>
      <c r="T1635" s="22"/>
    </row>
    <row r="1636" spans="1:20">
      <c r="A1636" t="s">
        <v>3573</v>
      </c>
      <c r="B1636" s="8">
        <v>45341</v>
      </c>
      <c r="C1636" t="s">
        <v>364</v>
      </c>
      <c r="D1636" t="s">
        <v>1707</v>
      </c>
      <c r="E1636" t="s">
        <v>1883</v>
      </c>
      <c r="F1636">
        <v>4</v>
      </c>
      <c r="G1636" s="10">
        <v>194.39</v>
      </c>
      <c r="H1636" s="13">
        <v>0.25</v>
      </c>
      <c r="I1636" t="s">
        <v>1931</v>
      </c>
      <c r="J1636" s="16">
        <v>583.16999999999996</v>
      </c>
      <c r="K1636" s="19">
        <f t="shared" si="125"/>
        <v>397155.81170000014</v>
      </c>
      <c r="L1636" s="22">
        <f t="shared" si="126"/>
        <v>1085.1251685792354</v>
      </c>
      <c r="M1636" s="22">
        <f t="shared" si="127"/>
        <v>113</v>
      </c>
      <c r="N1636" s="22" t="str">
        <f t="shared" si="128"/>
        <v>Low Value</v>
      </c>
      <c r="O1636" s="22" t="str">
        <f t="shared" si="129"/>
        <v>Feb-2024</v>
      </c>
      <c r="P1636" s="22" t="s">
        <v>1708</v>
      </c>
      <c r="Q1636" s="22" t="s">
        <v>1531</v>
      </c>
      <c r="R1636" s="22" t="s">
        <v>365</v>
      </c>
      <c r="S1636" s="22"/>
      <c r="T1636" s="22"/>
    </row>
    <row r="1637" spans="1:20">
      <c r="A1637" t="s">
        <v>3574</v>
      </c>
      <c r="B1637" s="8">
        <v>45430</v>
      </c>
      <c r="C1637" t="s">
        <v>1034</v>
      </c>
      <c r="D1637" t="s">
        <v>1649</v>
      </c>
      <c r="E1637" t="s">
        <v>1864</v>
      </c>
      <c r="F1637">
        <v>1</v>
      </c>
      <c r="G1637" s="10">
        <v>339.7</v>
      </c>
      <c r="H1637" s="13">
        <v>0.1</v>
      </c>
      <c r="I1637" t="s">
        <v>1931</v>
      </c>
      <c r="J1637" s="16">
        <v>305.73</v>
      </c>
      <c r="K1637" s="19">
        <f t="shared" si="125"/>
        <v>396572.64170000015</v>
      </c>
      <c r="L1637" s="22">
        <f t="shared" si="126"/>
        <v>1086.5003882191786</v>
      </c>
      <c r="M1637" s="22">
        <f t="shared" si="127"/>
        <v>113</v>
      </c>
      <c r="N1637" s="22" t="str">
        <f t="shared" si="128"/>
        <v>Low Value</v>
      </c>
      <c r="O1637" s="22" t="str">
        <f t="shared" si="129"/>
        <v>May-2024</v>
      </c>
      <c r="P1637" s="22" t="s">
        <v>1650</v>
      </c>
      <c r="Q1637" s="22" t="s">
        <v>1560</v>
      </c>
      <c r="R1637" s="22" t="s">
        <v>1035</v>
      </c>
      <c r="S1637" s="22"/>
      <c r="T1637" s="22"/>
    </row>
    <row r="1638" spans="1:20">
      <c r="A1638" t="s">
        <v>3575</v>
      </c>
      <c r="B1638" s="8">
        <v>45912</v>
      </c>
      <c r="C1638" t="s">
        <v>182</v>
      </c>
      <c r="D1638" t="s">
        <v>1758</v>
      </c>
      <c r="E1638" t="s">
        <v>1904</v>
      </c>
      <c r="F1638">
        <v>4</v>
      </c>
      <c r="G1638" s="10">
        <v>463.16</v>
      </c>
      <c r="H1638" s="13">
        <v>0.27</v>
      </c>
      <c r="I1638" t="s">
        <v>1933</v>
      </c>
      <c r="J1638" s="16">
        <v>1352.4272000000001</v>
      </c>
      <c r="K1638" s="19">
        <f t="shared" si="125"/>
        <v>396266.91170000017</v>
      </c>
      <c r="L1638" s="22">
        <f t="shared" si="126"/>
        <v>1088.6453618131873</v>
      </c>
      <c r="M1638" s="22">
        <f t="shared" si="127"/>
        <v>113</v>
      </c>
      <c r="N1638" s="22" t="str">
        <f t="shared" si="128"/>
        <v>High Value</v>
      </c>
      <c r="O1638" s="22" t="str">
        <f t="shared" si="129"/>
        <v>Sep-2025</v>
      </c>
      <c r="P1638" s="22" t="s">
        <v>1759</v>
      </c>
      <c r="Q1638" s="22" t="s">
        <v>1560</v>
      </c>
      <c r="R1638" s="22" t="s">
        <v>183</v>
      </c>
      <c r="S1638" s="22"/>
      <c r="T1638" s="22"/>
    </row>
    <row r="1639" spans="1:20">
      <c r="A1639" t="s">
        <v>3576</v>
      </c>
      <c r="B1639" s="8">
        <v>45709</v>
      </c>
      <c r="C1639" t="s">
        <v>373</v>
      </c>
      <c r="D1639" t="s">
        <v>1549</v>
      </c>
      <c r="E1639" t="s">
        <v>1896</v>
      </c>
      <c r="F1639">
        <v>2</v>
      </c>
      <c r="G1639" s="10">
        <v>824.91</v>
      </c>
      <c r="H1639" s="13">
        <v>0.09</v>
      </c>
      <c r="I1639" t="s">
        <v>1931</v>
      </c>
      <c r="J1639" s="16">
        <v>1501.3362</v>
      </c>
      <c r="K1639" s="19">
        <f t="shared" si="125"/>
        <v>394914.48450000014</v>
      </c>
      <c r="L1639" s="22">
        <f t="shared" si="126"/>
        <v>1087.9186900826451</v>
      </c>
      <c r="M1639" s="22">
        <f t="shared" si="127"/>
        <v>112</v>
      </c>
      <c r="N1639" s="22" t="str">
        <f t="shared" si="128"/>
        <v>High Value</v>
      </c>
      <c r="O1639" s="22" t="str">
        <f t="shared" si="129"/>
        <v>Feb-2025</v>
      </c>
      <c r="P1639" s="22" t="s">
        <v>1550</v>
      </c>
      <c r="Q1639" s="22" t="s">
        <v>1536</v>
      </c>
      <c r="R1639" s="22" t="s">
        <v>374</v>
      </c>
      <c r="S1639" s="22"/>
      <c r="T1639" s="22"/>
    </row>
    <row r="1640" spans="1:20">
      <c r="A1640" t="s">
        <v>3577</v>
      </c>
      <c r="B1640" s="8">
        <v>45520</v>
      </c>
      <c r="C1640" t="s">
        <v>255</v>
      </c>
      <c r="D1640" t="s">
        <v>1549</v>
      </c>
      <c r="E1640" t="s">
        <v>1868</v>
      </c>
      <c r="F1640">
        <v>4</v>
      </c>
      <c r="G1640" s="10">
        <v>796.89</v>
      </c>
      <c r="H1640" s="13">
        <v>0.17</v>
      </c>
      <c r="I1640" t="s">
        <v>1931</v>
      </c>
      <c r="J1640" s="16">
        <v>2645.6747999999998</v>
      </c>
      <c r="K1640" s="19">
        <f t="shared" si="125"/>
        <v>393413.14830000012</v>
      </c>
      <c r="L1640" s="22">
        <f t="shared" si="126"/>
        <v>1086.7766527624312</v>
      </c>
      <c r="M1640" s="22">
        <f t="shared" si="127"/>
        <v>112</v>
      </c>
      <c r="N1640" s="22" t="str">
        <f t="shared" si="128"/>
        <v>High Value</v>
      </c>
      <c r="O1640" s="22" t="str">
        <f t="shared" si="129"/>
        <v>Aug-2024</v>
      </c>
      <c r="P1640" s="22" t="s">
        <v>1550</v>
      </c>
      <c r="Q1640" s="22" t="s">
        <v>1536</v>
      </c>
      <c r="R1640" s="22" t="s">
        <v>256</v>
      </c>
      <c r="S1640" s="22"/>
      <c r="T1640" s="22"/>
    </row>
    <row r="1641" spans="1:20">
      <c r="A1641" t="s">
        <v>3578</v>
      </c>
      <c r="B1641" s="8">
        <v>45478</v>
      </c>
      <c r="C1641" t="s">
        <v>771</v>
      </c>
      <c r="D1641" t="s">
        <v>1627</v>
      </c>
      <c r="E1641" t="s">
        <v>1914</v>
      </c>
      <c r="F1641">
        <v>3</v>
      </c>
      <c r="G1641" s="10">
        <v>543.92999999999995</v>
      </c>
      <c r="H1641" s="13">
        <v>0.3</v>
      </c>
      <c r="I1641" t="s">
        <v>1936</v>
      </c>
      <c r="J1641" s="16">
        <v>1142.2529999999999</v>
      </c>
      <c r="K1641" s="19">
        <f t="shared" si="125"/>
        <v>390767.47350000014</v>
      </c>
      <c r="L1641" s="22">
        <f t="shared" si="126"/>
        <v>1082.4583753462607</v>
      </c>
      <c r="M1641" s="22">
        <f t="shared" si="127"/>
        <v>112</v>
      </c>
      <c r="N1641" s="22" t="str">
        <f t="shared" si="128"/>
        <v>High Value</v>
      </c>
      <c r="O1641" s="22" t="str">
        <f t="shared" si="129"/>
        <v>Jul-2024</v>
      </c>
      <c r="P1641" s="22" t="s">
        <v>1628</v>
      </c>
      <c r="Q1641" s="22" t="s">
        <v>1531</v>
      </c>
      <c r="R1641" s="22" t="s">
        <v>772</v>
      </c>
      <c r="S1641" s="22"/>
      <c r="T1641" s="22"/>
    </row>
    <row r="1642" spans="1:20">
      <c r="A1642" t="s">
        <v>3579</v>
      </c>
      <c r="B1642" s="8">
        <v>45496</v>
      </c>
      <c r="C1642" t="s">
        <v>571</v>
      </c>
      <c r="D1642" t="s">
        <v>1586</v>
      </c>
      <c r="E1642" t="s">
        <v>1886</v>
      </c>
      <c r="F1642">
        <v>2</v>
      </c>
      <c r="G1642" s="10">
        <v>44.65</v>
      </c>
      <c r="H1642" s="13">
        <v>0.03</v>
      </c>
      <c r="I1642" t="s">
        <v>1933</v>
      </c>
      <c r="J1642" s="16">
        <v>86.620999999999995</v>
      </c>
      <c r="K1642" s="19">
        <f t="shared" si="125"/>
        <v>389625.22050000005</v>
      </c>
      <c r="L1642" s="22">
        <f t="shared" si="126"/>
        <v>1082.2922791666667</v>
      </c>
      <c r="M1642" s="22">
        <f t="shared" si="127"/>
        <v>112</v>
      </c>
      <c r="N1642" s="22" t="str">
        <f t="shared" si="128"/>
        <v>Low Value</v>
      </c>
      <c r="O1642" s="22" t="str">
        <f t="shared" si="129"/>
        <v>Jul-2024</v>
      </c>
      <c r="P1642" s="22" t="s">
        <v>1587</v>
      </c>
      <c r="Q1642" s="22" t="s">
        <v>1560</v>
      </c>
      <c r="R1642" s="22" t="s">
        <v>572</v>
      </c>
      <c r="S1642" s="22"/>
      <c r="T1642" s="22"/>
    </row>
    <row r="1643" spans="1:20">
      <c r="A1643" t="s">
        <v>3580</v>
      </c>
      <c r="B1643" s="8">
        <v>45742</v>
      </c>
      <c r="C1643" t="s">
        <v>801</v>
      </c>
      <c r="D1643" t="s">
        <v>1722</v>
      </c>
      <c r="E1643" t="s">
        <v>1859</v>
      </c>
      <c r="F1643">
        <v>4</v>
      </c>
      <c r="G1643" s="10">
        <v>827.39</v>
      </c>
      <c r="H1643" s="13">
        <v>0.06</v>
      </c>
      <c r="I1643" t="s">
        <v>1936</v>
      </c>
      <c r="J1643" s="16">
        <v>3110.9863999999998</v>
      </c>
      <c r="K1643" s="19">
        <f t="shared" si="125"/>
        <v>389538.59950000007</v>
      </c>
      <c r="L1643" s="22">
        <f t="shared" si="126"/>
        <v>1085.0657367688025</v>
      </c>
      <c r="M1643" s="22">
        <f t="shared" si="127"/>
        <v>111</v>
      </c>
      <c r="N1643" s="22" t="str">
        <f t="shared" si="128"/>
        <v>High Value</v>
      </c>
      <c r="O1643" s="22" t="str">
        <f t="shared" si="129"/>
        <v>Mar-2025</v>
      </c>
      <c r="P1643" s="22" t="s">
        <v>1723</v>
      </c>
      <c r="Q1643" s="22" t="s">
        <v>1560</v>
      </c>
      <c r="R1643" s="22" t="s">
        <v>802</v>
      </c>
      <c r="S1643" s="22"/>
      <c r="T1643" s="22"/>
    </row>
    <row r="1644" spans="1:20">
      <c r="A1644" t="s">
        <v>3581</v>
      </c>
      <c r="B1644" s="8">
        <v>45301</v>
      </c>
      <c r="C1644" t="s">
        <v>969</v>
      </c>
      <c r="D1644" t="s">
        <v>1586</v>
      </c>
      <c r="E1644" t="s">
        <v>1901</v>
      </c>
      <c r="F1644">
        <v>2</v>
      </c>
      <c r="G1644" s="10">
        <v>403.2</v>
      </c>
      <c r="H1644" s="13">
        <v>0.21</v>
      </c>
      <c r="I1644" t="s">
        <v>1933</v>
      </c>
      <c r="J1644" s="16">
        <v>637.05600000000004</v>
      </c>
      <c r="K1644" s="19">
        <f t="shared" si="125"/>
        <v>386427.61310000008</v>
      </c>
      <c r="L1644" s="22">
        <f t="shared" si="126"/>
        <v>1079.4067405027936</v>
      </c>
      <c r="M1644" s="22">
        <f t="shared" si="127"/>
        <v>111</v>
      </c>
      <c r="N1644" s="22" t="str">
        <f t="shared" si="128"/>
        <v>Low Value</v>
      </c>
      <c r="O1644" s="22" t="str">
        <f t="shared" si="129"/>
        <v>Jan-2024</v>
      </c>
      <c r="P1644" s="22" t="s">
        <v>1587</v>
      </c>
      <c r="Q1644" s="22" t="s">
        <v>1560</v>
      </c>
      <c r="R1644" s="22" t="s">
        <v>970</v>
      </c>
      <c r="S1644" s="22"/>
      <c r="T1644" s="22"/>
    </row>
    <row r="1645" spans="1:20">
      <c r="A1645" t="s">
        <v>3582</v>
      </c>
      <c r="B1645" s="8">
        <v>45547</v>
      </c>
      <c r="C1645" t="s">
        <v>78</v>
      </c>
      <c r="D1645" t="s">
        <v>1813</v>
      </c>
      <c r="E1645" t="s">
        <v>1904</v>
      </c>
      <c r="F1645">
        <v>4</v>
      </c>
      <c r="G1645" s="10">
        <v>292.31</v>
      </c>
      <c r="H1645" s="13">
        <v>0.27</v>
      </c>
      <c r="I1645" t="s">
        <v>1933</v>
      </c>
      <c r="J1645" s="16">
        <v>853.54520000000002</v>
      </c>
      <c r="K1645" s="19">
        <f t="shared" si="125"/>
        <v>385790.55710000003</v>
      </c>
      <c r="L1645" s="22">
        <f t="shared" si="126"/>
        <v>1080.6458182072829</v>
      </c>
      <c r="M1645" s="22">
        <f t="shared" si="127"/>
        <v>110</v>
      </c>
      <c r="N1645" s="22" t="str">
        <f t="shared" si="128"/>
        <v>Low Value</v>
      </c>
      <c r="O1645" s="22" t="str">
        <f t="shared" si="129"/>
        <v>Sep-2024</v>
      </c>
      <c r="P1645" s="22" t="s">
        <v>1814</v>
      </c>
      <c r="Q1645" s="22" t="s">
        <v>1560</v>
      </c>
      <c r="R1645" s="22" t="s">
        <v>79</v>
      </c>
      <c r="S1645" s="22"/>
      <c r="T1645" s="22"/>
    </row>
    <row r="1646" spans="1:20">
      <c r="A1646" t="s">
        <v>3583</v>
      </c>
      <c r="B1646" s="8">
        <v>45806</v>
      </c>
      <c r="C1646" t="s">
        <v>1500</v>
      </c>
      <c r="D1646" t="s">
        <v>1539</v>
      </c>
      <c r="E1646" t="s">
        <v>1896</v>
      </c>
      <c r="F1646">
        <v>1</v>
      </c>
      <c r="G1646" s="10">
        <v>948.33</v>
      </c>
      <c r="H1646" s="13">
        <v>0.11</v>
      </c>
      <c r="I1646" t="s">
        <v>1931</v>
      </c>
      <c r="J1646" s="16">
        <v>844.01370000000009</v>
      </c>
      <c r="K1646" s="19">
        <f t="shared" si="125"/>
        <v>384937.01189999998</v>
      </c>
      <c r="L1646" s="22">
        <f t="shared" si="126"/>
        <v>1081.2837412921349</v>
      </c>
      <c r="M1646" s="22">
        <f t="shared" si="127"/>
        <v>109</v>
      </c>
      <c r="N1646" s="22" t="str">
        <f t="shared" si="128"/>
        <v>Low Value</v>
      </c>
      <c r="O1646" s="22" t="str">
        <f t="shared" si="129"/>
        <v>May-2025</v>
      </c>
      <c r="P1646" s="22" t="s">
        <v>1540</v>
      </c>
      <c r="Q1646" s="22" t="s">
        <v>1536</v>
      </c>
      <c r="R1646" s="22" t="s">
        <v>1501</v>
      </c>
      <c r="S1646" s="22"/>
      <c r="T1646" s="22"/>
    </row>
    <row r="1647" spans="1:20">
      <c r="A1647" t="s">
        <v>3584</v>
      </c>
      <c r="B1647" s="8">
        <v>45294</v>
      </c>
      <c r="C1647" t="s">
        <v>1073</v>
      </c>
      <c r="D1647" t="s">
        <v>1668</v>
      </c>
      <c r="E1647" t="s">
        <v>1880</v>
      </c>
      <c r="F1647">
        <v>1</v>
      </c>
      <c r="G1647" s="10">
        <v>702.27</v>
      </c>
      <c r="H1647" s="13">
        <v>0.17</v>
      </c>
      <c r="I1647" t="s">
        <v>1936</v>
      </c>
      <c r="J1647" s="16">
        <v>582.88409999999999</v>
      </c>
      <c r="K1647" s="19">
        <f t="shared" si="125"/>
        <v>384092.99819999997</v>
      </c>
      <c r="L1647" s="22">
        <f t="shared" si="126"/>
        <v>1081.9521076056337</v>
      </c>
      <c r="M1647" s="22">
        <f t="shared" si="127"/>
        <v>109</v>
      </c>
      <c r="N1647" s="22" t="str">
        <f t="shared" si="128"/>
        <v>Low Value</v>
      </c>
      <c r="O1647" s="22" t="str">
        <f t="shared" si="129"/>
        <v>Jan-2024</v>
      </c>
      <c r="P1647" s="22" t="s">
        <v>1669</v>
      </c>
      <c r="Q1647" s="22" t="s">
        <v>1531</v>
      </c>
      <c r="R1647" s="22" t="s">
        <v>1074</v>
      </c>
      <c r="S1647" s="22"/>
      <c r="T1647" s="22"/>
    </row>
    <row r="1648" spans="1:20">
      <c r="A1648" t="s">
        <v>3585</v>
      </c>
      <c r="B1648" s="8">
        <v>45875</v>
      </c>
      <c r="C1648" t="s">
        <v>159</v>
      </c>
      <c r="D1648" t="s">
        <v>1639</v>
      </c>
      <c r="E1648" t="s">
        <v>1873</v>
      </c>
      <c r="F1648">
        <v>2</v>
      </c>
      <c r="G1648" s="10">
        <v>379.28</v>
      </c>
      <c r="H1648" s="13">
        <v>0.26</v>
      </c>
      <c r="I1648" t="s">
        <v>1931</v>
      </c>
      <c r="J1648" s="16">
        <v>561.33439999999996</v>
      </c>
      <c r="K1648" s="19">
        <f t="shared" si="125"/>
        <v>383510.11410000001</v>
      </c>
      <c r="L1648" s="22">
        <f t="shared" si="126"/>
        <v>1083.3619042372882</v>
      </c>
      <c r="M1648" s="22">
        <f t="shared" si="127"/>
        <v>109</v>
      </c>
      <c r="N1648" s="22" t="str">
        <f t="shared" si="128"/>
        <v>Low Value</v>
      </c>
      <c r="O1648" s="22" t="str">
        <f t="shared" si="129"/>
        <v>Aug-2025</v>
      </c>
      <c r="P1648" s="22" t="s">
        <v>1640</v>
      </c>
      <c r="Q1648" s="22" t="s">
        <v>1560</v>
      </c>
      <c r="R1648" s="22" t="s">
        <v>160</v>
      </c>
      <c r="S1648" s="22"/>
      <c r="T1648" s="22"/>
    </row>
    <row r="1649" spans="1:20">
      <c r="A1649" t="s">
        <v>3586</v>
      </c>
      <c r="B1649" s="8">
        <v>45669</v>
      </c>
      <c r="C1649" t="s">
        <v>450</v>
      </c>
      <c r="D1649" t="s">
        <v>1693</v>
      </c>
      <c r="E1649" t="s">
        <v>1859</v>
      </c>
      <c r="F1649">
        <v>4</v>
      </c>
      <c r="G1649" s="10">
        <v>92.35</v>
      </c>
      <c r="H1649" s="13">
        <v>0.15</v>
      </c>
      <c r="I1649" t="s">
        <v>1931</v>
      </c>
      <c r="J1649" s="16">
        <v>313.99</v>
      </c>
      <c r="K1649" s="19">
        <f t="shared" si="125"/>
        <v>382948.77970000001</v>
      </c>
      <c r="L1649" s="22">
        <f t="shared" si="126"/>
        <v>1084.8407356940511</v>
      </c>
      <c r="M1649" s="22">
        <f t="shared" si="127"/>
        <v>109</v>
      </c>
      <c r="N1649" s="22" t="str">
        <f t="shared" si="128"/>
        <v>Low Value</v>
      </c>
      <c r="O1649" s="22" t="str">
        <f t="shared" si="129"/>
        <v>Jan-2025</v>
      </c>
      <c r="P1649" s="22" t="s">
        <v>1694</v>
      </c>
      <c r="Q1649" s="22" t="s">
        <v>1555</v>
      </c>
      <c r="R1649" s="22" t="s">
        <v>451</v>
      </c>
      <c r="S1649" s="22"/>
      <c r="T1649" s="22"/>
    </row>
    <row r="1650" spans="1:20">
      <c r="A1650" t="s">
        <v>3587</v>
      </c>
      <c r="B1650" s="8">
        <v>45606</v>
      </c>
      <c r="C1650" t="s">
        <v>709</v>
      </c>
      <c r="D1650" t="s">
        <v>1668</v>
      </c>
      <c r="E1650" t="s">
        <v>1901</v>
      </c>
      <c r="F1650">
        <v>4</v>
      </c>
      <c r="G1650" s="10">
        <v>721.54</v>
      </c>
      <c r="H1650" s="13">
        <v>0.21</v>
      </c>
      <c r="I1650" t="s">
        <v>1931</v>
      </c>
      <c r="J1650" s="16">
        <v>2280.0664000000002</v>
      </c>
      <c r="K1650" s="19">
        <f t="shared" si="125"/>
        <v>382634.78970000002</v>
      </c>
      <c r="L1650" s="22">
        <f t="shared" si="126"/>
        <v>1087.0306525568183</v>
      </c>
      <c r="M1650" s="22">
        <f t="shared" si="127"/>
        <v>109</v>
      </c>
      <c r="N1650" s="22" t="str">
        <f t="shared" si="128"/>
        <v>High Value</v>
      </c>
      <c r="O1650" s="22" t="str">
        <f t="shared" si="129"/>
        <v>Nov-2024</v>
      </c>
      <c r="P1650" s="22" t="s">
        <v>1669</v>
      </c>
      <c r="Q1650" s="22" t="s">
        <v>1531</v>
      </c>
      <c r="R1650" s="22" t="s">
        <v>710</v>
      </c>
      <c r="S1650" s="22"/>
      <c r="T1650" s="22"/>
    </row>
    <row r="1651" spans="1:20">
      <c r="A1651" t="s">
        <v>3588</v>
      </c>
      <c r="B1651" s="8">
        <v>45787</v>
      </c>
      <c r="C1651" t="s">
        <v>199</v>
      </c>
      <c r="D1651" t="s">
        <v>1665</v>
      </c>
      <c r="E1651" t="s">
        <v>1893</v>
      </c>
      <c r="F1651">
        <v>1</v>
      </c>
      <c r="G1651" s="10">
        <v>228.69</v>
      </c>
      <c r="H1651" s="13">
        <v>0.14000000000000001</v>
      </c>
      <c r="I1651" t="s">
        <v>1931</v>
      </c>
      <c r="J1651" s="16">
        <v>196.67339999999999</v>
      </c>
      <c r="K1651" s="19">
        <f t="shared" si="125"/>
        <v>380354.72330000001</v>
      </c>
      <c r="L1651" s="22">
        <f t="shared" si="126"/>
        <v>1083.6316903133904</v>
      </c>
      <c r="M1651" s="22">
        <f t="shared" si="127"/>
        <v>109</v>
      </c>
      <c r="N1651" s="22" t="str">
        <f t="shared" si="128"/>
        <v>Low Value</v>
      </c>
      <c r="O1651" s="22" t="str">
        <f t="shared" si="129"/>
        <v>May-2025</v>
      </c>
      <c r="P1651" s="22" t="s">
        <v>1666</v>
      </c>
      <c r="Q1651" s="22" t="s">
        <v>1569</v>
      </c>
      <c r="R1651" s="22" t="s">
        <v>200</v>
      </c>
      <c r="S1651" s="22"/>
      <c r="T1651" s="22"/>
    </row>
    <row r="1652" spans="1:20">
      <c r="A1652" t="s">
        <v>3589</v>
      </c>
      <c r="B1652" s="8">
        <v>45929</v>
      </c>
      <c r="C1652" t="s">
        <v>1107</v>
      </c>
      <c r="D1652" t="s">
        <v>1713</v>
      </c>
      <c r="E1652" t="s">
        <v>1896</v>
      </c>
      <c r="F1652">
        <v>1</v>
      </c>
      <c r="G1652" s="10">
        <v>899.09</v>
      </c>
      <c r="H1652" s="13">
        <v>0.2</v>
      </c>
      <c r="I1652" t="s">
        <v>1933</v>
      </c>
      <c r="J1652" s="16">
        <v>719.27200000000005</v>
      </c>
      <c r="K1652" s="19">
        <f t="shared" si="125"/>
        <v>380158.04989999998</v>
      </c>
      <c r="L1652" s="22">
        <f t="shared" si="126"/>
        <v>1086.1658568571429</v>
      </c>
      <c r="M1652" s="22">
        <f t="shared" si="127"/>
        <v>109</v>
      </c>
      <c r="N1652" s="22" t="str">
        <f t="shared" si="128"/>
        <v>Low Value</v>
      </c>
      <c r="O1652" s="22" t="str">
        <f t="shared" si="129"/>
        <v>Sep-2025</v>
      </c>
      <c r="P1652" s="22" t="s">
        <v>1714</v>
      </c>
      <c r="Q1652" s="22" t="s">
        <v>1536</v>
      </c>
      <c r="R1652" s="22" t="s">
        <v>1108</v>
      </c>
      <c r="S1652" s="22"/>
      <c r="T1652" s="22"/>
    </row>
    <row r="1653" spans="1:20">
      <c r="A1653" t="s">
        <v>3590</v>
      </c>
      <c r="B1653" s="8">
        <v>45379</v>
      </c>
      <c r="C1653" t="s">
        <v>1193</v>
      </c>
      <c r="D1653" t="s">
        <v>1563</v>
      </c>
      <c r="E1653" t="s">
        <v>1889</v>
      </c>
      <c r="F1653">
        <v>4</v>
      </c>
      <c r="G1653" s="10">
        <v>195.75</v>
      </c>
      <c r="H1653" s="13">
        <v>0.17</v>
      </c>
      <c r="I1653" t="s">
        <v>1931</v>
      </c>
      <c r="J1653" s="16">
        <v>649.89</v>
      </c>
      <c r="K1653" s="19">
        <f t="shared" si="125"/>
        <v>379438.77789999999</v>
      </c>
      <c r="L1653" s="22">
        <f t="shared" si="126"/>
        <v>1087.217128653295</v>
      </c>
      <c r="M1653" s="22">
        <f t="shared" si="127"/>
        <v>108</v>
      </c>
      <c r="N1653" s="22" t="str">
        <f t="shared" si="128"/>
        <v>Low Value</v>
      </c>
      <c r="O1653" s="22" t="str">
        <f t="shared" si="129"/>
        <v>Mar-2024</v>
      </c>
      <c r="P1653" s="22" t="s">
        <v>1564</v>
      </c>
      <c r="Q1653" s="22" t="s">
        <v>1531</v>
      </c>
      <c r="R1653" s="22" t="s">
        <v>1194</v>
      </c>
      <c r="S1653" s="22"/>
      <c r="T1653" s="22"/>
    </row>
    <row r="1654" spans="1:20">
      <c r="A1654" t="s">
        <v>3591</v>
      </c>
      <c r="B1654" s="8">
        <v>45532</v>
      </c>
      <c r="C1654" t="s">
        <v>1313</v>
      </c>
      <c r="D1654" t="s">
        <v>1834</v>
      </c>
      <c r="E1654" t="s">
        <v>1908</v>
      </c>
      <c r="F1654">
        <v>3</v>
      </c>
      <c r="G1654" s="10">
        <v>199.13</v>
      </c>
      <c r="H1654" s="13">
        <v>0.24</v>
      </c>
      <c r="I1654" t="s">
        <v>1931</v>
      </c>
      <c r="J1654" s="16">
        <v>454.01639999999998</v>
      </c>
      <c r="K1654" s="19">
        <f t="shared" si="125"/>
        <v>378788.88790000003</v>
      </c>
      <c r="L1654" s="22">
        <f t="shared" si="126"/>
        <v>1088.4738158045977</v>
      </c>
      <c r="M1654" s="22">
        <f t="shared" si="127"/>
        <v>108</v>
      </c>
      <c r="N1654" s="22" t="str">
        <f t="shared" si="128"/>
        <v>Low Value</v>
      </c>
      <c r="O1654" s="22" t="str">
        <f t="shared" si="129"/>
        <v>Aug-2024</v>
      </c>
      <c r="P1654" s="22" t="s">
        <v>1835</v>
      </c>
      <c r="Q1654" s="22" t="s">
        <v>1531</v>
      </c>
      <c r="R1654" s="22" t="s">
        <v>1314</v>
      </c>
      <c r="S1654" s="22"/>
      <c r="T1654" s="22"/>
    </row>
    <row r="1655" spans="1:20">
      <c r="A1655" t="s">
        <v>3592</v>
      </c>
      <c r="B1655" s="8">
        <v>45466</v>
      </c>
      <c r="C1655" t="s">
        <v>533</v>
      </c>
      <c r="D1655" t="s">
        <v>1614</v>
      </c>
      <c r="E1655" t="s">
        <v>1906</v>
      </c>
      <c r="F1655">
        <v>2</v>
      </c>
      <c r="G1655" s="10">
        <v>833.62</v>
      </c>
      <c r="H1655" s="13">
        <v>0.18</v>
      </c>
      <c r="I1655" t="s">
        <v>1931</v>
      </c>
      <c r="J1655" s="16">
        <v>1367.1368</v>
      </c>
      <c r="K1655" s="19">
        <f t="shared" si="125"/>
        <v>378334.87150000001</v>
      </c>
      <c r="L1655" s="22">
        <f t="shared" si="126"/>
        <v>1090.3022233429394</v>
      </c>
      <c r="M1655" s="22">
        <f t="shared" si="127"/>
        <v>108</v>
      </c>
      <c r="N1655" s="22" t="str">
        <f t="shared" si="128"/>
        <v>High Value</v>
      </c>
      <c r="O1655" s="22" t="str">
        <f t="shared" si="129"/>
        <v>Jun-2024</v>
      </c>
      <c r="P1655" s="22" t="s">
        <v>1615</v>
      </c>
      <c r="Q1655" s="22" t="s">
        <v>1569</v>
      </c>
      <c r="R1655" s="22" t="s">
        <v>534</v>
      </c>
      <c r="S1655" s="22"/>
      <c r="T1655" s="22"/>
    </row>
    <row r="1656" spans="1:20">
      <c r="A1656" t="s">
        <v>3593</v>
      </c>
      <c r="B1656" s="8">
        <v>45395</v>
      </c>
      <c r="C1656" t="s">
        <v>1478</v>
      </c>
      <c r="D1656" t="s">
        <v>1780</v>
      </c>
      <c r="E1656" t="s">
        <v>1859</v>
      </c>
      <c r="F1656">
        <v>1</v>
      </c>
      <c r="G1656" s="10">
        <v>676.26</v>
      </c>
      <c r="H1656" s="13">
        <v>0.14000000000000001</v>
      </c>
      <c r="I1656" t="s">
        <v>1931</v>
      </c>
      <c r="J1656" s="16">
        <v>581.58359999999993</v>
      </c>
      <c r="K1656" s="19">
        <f t="shared" si="125"/>
        <v>376967.73470000009</v>
      </c>
      <c r="L1656" s="22">
        <f t="shared" si="126"/>
        <v>1089.5021234104049</v>
      </c>
      <c r="M1656" s="22">
        <f t="shared" si="127"/>
        <v>108</v>
      </c>
      <c r="N1656" s="22" t="str">
        <f t="shared" si="128"/>
        <v>Low Value</v>
      </c>
      <c r="O1656" s="22" t="str">
        <f t="shared" si="129"/>
        <v>Apr-2024</v>
      </c>
      <c r="P1656" s="22" t="s">
        <v>1781</v>
      </c>
      <c r="Q1656" s="22" t="s">
        <v>1536</v>
      </c>
      <c r="R1656" s="22" t="s">
        <v>1479</v>
      </c>
      <c r="S1656" s="22"/>
      <c r="T1656" s="22"/>
    </row>
    <row r="1657" spans="1:20">
      <c r="A1657" t="s">
        <v>3594</v>
      </c>
      <c r="B1657" s="8">
        <v>45708</v>
      </c>
      <c r="C1657" t="s">
        <v>130</v>
      </c>
      <c r="D1657" t="s">
        <v>1734</v>
      </c>
      <c r="E1657" t="s">
        <v>1893</v>
      </c>
      <c r="F1657">
        <v>2</v>
      </c>
      <c r="G1657" s="10">
        <v>666.49</v>
      </c>
      <c r="H1657" s="13">
        <v>0.06</v>
      </c>
      <c r="I1657" t="s">
        <v>1931</v>
      </c>
      <c r="J1657" s="16">
        <v>1253.0011999999999</v>
      </c>
      <c r="K1657" s="19">
        <f t="shared" si="125"/>
        <v>376386.15110000008</v>
      </c>
      <c r="L1657" s="22">
        <f t="shared" si="126"/>
        <v>1090.9743510144929</v>
      </c>
      <c r="M1657" s="22">
        <f t="shared" si="127"/>
        <v>108</v>
      </c>
      <c r="N1657" s="22" t="str">
        <f t="shared" si="128"/>
        <v>High Value</v>
      </c>
      <c r="O1657" s="22" t="str">
        <f t="shared" si="129"/>
        <v>Feb-2025</v>
      </c>
      <c r="P1657" s="22" t="s">
        <v>1735</v>
      </c>
      <c r="Q1657" s="22" t="s">
        <v>1555</v>
      </c>
      <c r="R1657" s="22" t="s">
        <v>131</v>
      </c>
      <c r="S1657" s="22"/>
      <c r="T1657" s="22"/>
    </row>
    <row r="1658" spans="1:20">
      <c r="A1658" t="s">
        <v>3595</v>
      </c>
      <c r="B1658" s="8">
        <v>45735</v>
      </c>
      <c r="C1658" t="s">
        <v>1410</v>
      </c>
      <c r="D1658" t="s">
        <v>1590</v>
      </c>
      <c r="E1658" t="s">
        <v>1876</v>
      </c>
      <c r="F1658">
        <v>3</v>
      </c>
      <c r="G1658" s="10">
        <v>471.19</v>
      </c>
      <c r="H1658" s="13">
        <v>0.28000000000000003</v>
      </c>
      <c r="I1658" t="s">
        <v>1936</v>
      </c>
      <c r="J1658" s="16">
        <v>1017.7704</v>
      </c>
      <c r="K1658" s="19">
        <f t="shared" si="125"/>
        <v>375133.14990000013</v>
      </c>
      <c r="L1658" s="22">
        <f t="shared" si="126"/>
        <v>1090.5033427325586</v>
      </c>
      <c r="M1658" s="22">
        <f t="shared" si="127"/>
        <v>108</v>
      </c>
      <c r="N1658" s="22" t="str">
        <f t="shared" si="128"/>
        <v>High Value</v>
      </c>
      <c r="O1658" s="22" t="str">
        <f t="shared" si="129"/>
        <v>Mar-2025</v>
      </c>
      <c r="P1658" s="22" t="s">
        <v>1591</v>
      </c>
      <c r="Q1658" s="22" t="s">
        <v>1531</v>
      </c>
      <c r="R1658" s="22" t="s">
        <v>1411</v>
      </c>
      <c r="S1658" s="22"/>
      <c r="T1658" s="22"/>
    </row>
    <row r="1659" spans="1:20">
      <c r="A1659" t="s">
        <v>3596</v>
      </c>
      <c r="B1659" s="8">
        <v>45237</v>
      </c>
      <c r="C1659" t="s">
        <v>409</v>
      </c>
      <c r="D1659" t="s">
        <v>1563</v>
      </c>
      <c r="E1659" t="s">
        <v>1873</v>
      </c>
      <c r="F1659">
        <v>4</v>
      </c>
      <c r="G1659" s="10">
        <v>555.65</v>
      </c>
      <c r="H1659" s="13">
        <v>0.25</v>
      </c>
      <c r="I1659" t="s">
        <v>1936</v>
      </c>
      <c r="J1659" s="16">
        <v>1666.95</v>
      </c>
      <c r="K1659" s="19">
        <f t="shared" si="125"/>
        <v>374115.3795000001</v>
      </c>
      <c r="L1659" s="22">
        <f t="shared" si="126"/>
        <v>1090.7153921282802</v>
      </c>
      <c r="M1659" s="22">
        <f t="shared" si="127"/>
        <v>108</v>
      </c>
      <c r="N1659" s="22" t="str">
        <f t="shared" si="128"/>
        <v>High Value</v>
      </c>
      <c r="O1659" s="22" t="str">
        <f t="shared" si="129"/>
        <v>Nov-2023</v>
      </c>
      <c r="P1659" s="22" t="s">
        <v>1564</v>
      </c>
      <c r="Q1659" s="22" t="s">
        <v>1531</v>
      </c>
      <c r="R1659" s="22" t="s">
        <v>410</v>
      </c>
      <c r="S1659" s="22"/>
      <c r="T1659" s="22"/>
    </row>
    <row r="1660" spans="1:20">
      <c r="A1660" t="s">
        <v>3597</v>
      </c>
      <c r="B1660" s="8">
        <v>45282</v>
      </c>
      <c r="C1660" t="s">
        <v>140</v>
      </c>
      <c r="D1660" t="s">
        <v>1840</v>
      </c>
      <c r="E1660" t="s">
        <v>1906</v>
      </c>
      <c r="F1660">
        <v>2</v>
      </c>
      <c r="G1660" s="10">
        <v>100.42</v>
      </c>
      <c r="H1660" s="13">
        <v>0.06</v>
      </c>
      <c r="I1660" t="s">
        <v>1931</v>
      </c>
      <c r="J1660" s="16">
        <v>188.78960000000001</v>
      </c>
      <c r="K1660" s="19">
        <f t="shared" si="125"/>
        <v>372448.42950000014</v>
      </c>
      <c r="L1660" s="22">
        <f t="shared" si="126"/>
        <v>1089.0304956140355</v>
      </c>
      <c r="M1660" s="22">
        <f t="shared" si="127"/>
        <v>108</v>
      </c>
      <c r="N1660" s="22" t="str">
        <f t="shared" si="128"/>
        <v>Low Value</v>
      </c>
      <c r="O1660" s="22" t="str">
        <f t="shared" si="129"/>
        <v>Dec-2023</v>
      </c>
      <c r="P1660" s="22" t="s">
        <v>1841</v>
      </c>
      <c r="Q1660" s="22" t="s">
        <v>1569</v>
      </c>
      <c r="R1660" s="22" t="s">
        <v>141</v>
      </c>
      <c r="S1660" s="22"/>
      <c r="T1660" s="22"/>
    </row>
    <row r="1661" spans="1:20">
      <c r="A1661" t="s">
        <v>3598</v>
      </c>
      <c r="B1661" s="8">
        <v>45337</v>
      </c>
      <c r="C1661" t="s">
        <v>188</v>
      </c>
      <c r="D1661" t="s">
        <v>1849</v>
      </c>
      <c r="E1661" t="s">
        <v>1917</v>
      </c>
      <c r="F1661">
        <v>3</v>
      </c>
      <c r="G1661" s="10">
        <v>981.69</v>
      </c>
      <c r="H1661" s="13">
        <v>0.05</v>
      </c>
      <c r="I1661" t="s">
        <v>1936</v>
      </c>
      <c r="J1661" s="16">
        <v>2797.8164999999999</v>
      </c>
      <c r="K1661" s="19">
        <f t="shared" si="125"/>
        <v>372259.63990000013</v>
      </c>
      <c r="L1661" s="22">
        <f t="shared" si="126"/>
        <v>1091.6704982404697</v>
      </c>
      <c r="M1661" s="22">
        <f t="shared" si="127"/>
        <v>108</v>
      </c>
      <c r="N1661" s="22" t="str">
        <f t="shared" si="128"/>
        <v>High Value</v>
      </c>
      <c r="O1661" s="22" t="str">
        <f t="shared" si="129"/>
        <v>Feb-2024</v>
      </c>
      <c r="P1661" s="22" t="s">
        <v>1850</v>
      </c>
      <c r="Q1661" s="22" t="s">
        <v>1531</v>
      </c>
      <c r="R1661" s="22" t="s">
        <v>189</v>
      </c>
      <c r="S1661" s="22"/>
      <c r="T1661" s="22"/>
    </row>
    <row r="1662" spans="1:20">
      <c r="A1662" t="s">
        <v>3599</v>
      </c>
      <c r="B1662" s="8">
        <v>45310</v>
      </c>
      <c r="C1662" t="s">
        <v>1025</v>
      </c>
      <c r="D1662" t="s">
        <v>1572</v>
      </c>
      <c r="E1662" t="s">
        <v>1911</v>
      </c>
      <c r="F1662">
        <v>2</v>
      </c>
      <c r="G1662" s="10">
        <v>848.87</v>
      </c>
      <c r="H1662" s="13">
        <v>0.09</v>
      </c>
      <c r="I1662" t="s">
        <v>1936</v>
      </c>
      <c r="J1662" s="16">
        <v>1544.9434000000001</v>
      </c>
      <c r="K1662" s="19">
        <f t="shared" si="125"/>
        <v>369461.82340000017</v>
      </c>
      <c r="L1662" s="22">
        <f t="shared" si="126"/>
        <v>1086.6524217647063</v>
      </c>
      <c r="M1662" s="22">
        <f t="shared" si="127"/>
        <v>108</v>
      </c>
      <c r="N1662" s="22" t="str">
        <f t="shared" si="128"/>
        <v>High Value</v>
      </c>
      <c r="O1662" s="22" t="str">
        <f t="shared" si="129"/>
        <v>Jan-2024</v>
      </c>
      <c r="P1662" s="22" t="s">
        <v>1573</v>
      </c>
      <c r="Q1662" s="22" t="s">
        <v>1560</v>
      </c>
      <c r="R1662" s="22" t="s">
        <v>1026</v>
      </c>
      <c r="S1662" s="22"/>
      <c r="T1662" s="22"/>
    </row>
    <row r="1663" spans="1:20">
      <c r="A1663" t="s">
        <v>3600</v>
      </c>
      <c r="B1663" s="8">
        <v>45230</v>
      </c>
      <c r="C1663" t="s">
        <v>1166</v>
      </c>
      <c r="D1663" t="s">
        <v>1843</v>
      </c>
      <c r="E1663" t="s">
        <v>1896</v>
      </c>
      <c r="F1663">
        <v>3</v>
      </c>
      <c r="G1663" s="10">
        <v>582.32000000000005</v>
      </c>
      <c r="H1663" s="13">
        <v>0</v>
      </c>
      <c r="I1663" t="s">
        <v>1933</v>
      </c>
      <c r="J1663" s="16">
        <v>1746.96</v>
      </c>
      <c r="K1663" s="19">
        <f t="shared" si="125"/>
        <v>367916.88000000018</v>
      </c>
      <c r="L1663" s="22">
        <f t="shared" si="126"/>
        <v>1085.3005309734519</v>
      </c>
      <c r="M1663" s="22">
        <f t="shared" si="127"/>
        <v>108</v>
      </c>
      <c r="N1663" s="22" t="str">
        <f t="shared" si="128"/>
        <v>High Value</v>
      </c>
      <c r="O1663" s="22" t="str">
        <f t="shared" si="129"/>
        <v>Oct-2023</v>
      </c>
      <c r="P1663" s="22" t="s">
        <v>1844</v>
      </c>
      <c r="Q1663" s="22" t="s">
        <v>1536</v>
      </c>
      <c r="R1663" s="22" t="s">
        <v>1167</v>
      </c>
      <c r="S1663" s="22"/>
      <c r="T1663" s="22"/>
    </row>
    <row r="1664" spans="1:20">
      <c r="A1664" t="s">
        <v>3601</v>
      </c>
      <c r="B1664" s="8">
        <v>45341</v>
      </c>
      <c r="C1664" t="s">
        <v>565</v>
      </c>
      <c r="D1664" t="s">
        <v>1700</v>
      </c>
      <c r="E1664" t="s">
        <v>1914</v>
      </c>
      <c r="F1664">
        <v>2</v>
      </c>
      <c r="G1664" s="10">
        <v>869.43</v>
      </c>
      <c r="H1664" s="13">
        <v>0.24</v>
      </c>
      <c r="I1664" t="s">
        <v>1936</v>
      </c>
      <c r="J1664" s="16">
        <v>1321.5336</v>
      </c>
      <c r="K1664" s="19">
        <f t="shared" si="125"/>
        <v>366169.92000000016</v>
      </c>
      <c r="L1664" s="22">
        <f t="shared" si="126"/>
        <v>1083.3429585798822</v>
      </c>
      <c r="M1664" s="22">
        <f t="shared" si="127"/>
        <v>107</v>
      </c>
      <c r="N1664" s="22" t="str">
        <f t="shared" si="128"/>
        <v>High Value</v>
      </c>
      <c r="O1664" s="22" t="str">
        <f t="shared" si="129"/>
        <v>Feb-2024</v>
      </c>
      <c r="P1664" s="22" t="s">
        <v>1701</v>
      </c>
      <c r="Q1664" s="22" t="s">
        <v>1555</v>
      </c>
      <c r="R1664" s="22" t="s">
        <v>566</v>
      </c>
      <c r="S1664" s="22"/>
      <c r="T1664" s="22"/>
    </row>
    <row r="1665" spans="1:20">
      <c r="A1665" t="s">
        <v>3602</v>
      </c>
      <c r="B1665" s="8">
        <v>45440</v>
      </c>
      <c r="C1665" t="s">
        <v>93</v>
      </c>
      <c r="D1665" t="s">
        <v>1716</v>
      </c>
      <c r="E1665" t="s">
        <v>1876</v>
      </c>
      <c r="F1665">
        <v>1</v>
      </c>
      <c r="G1665" s="10">
        <v>62.26</v>
      </c>
      <c r="H1665" s="13">
        <v>0.03</v>
      </c>
      <c r="I1665" t="s">
        <v>1936</v>
      </c>
      <c r="J1665" s="16">
        <v>60.392200000000003</v>
      </c>
      <c r="K1665" s="19">
        <f t="shared" si="125"/>
        <v>364848.38640000013</v>
      </c>
      <c r="L1665" s="22">
        <f t="shared" si="126"/>
        <v>1082.6361614243328</v>
      </c>
      <c r="M1665" s="22">
        <f t="shared" si="127"/>
        <v>107</v>
      </c>
      <c r="N1665" s="22" t="str">
        <f t="shared" si="128"/>
        <v>Low Value</v>
      </c>
      <c r="O1665" s="22" t="str">
        <f t="shared" si="129"/>
        <v>May-2024</v>
      </c>
      <c r="P1665" s="22" t="s">
        <v>1717</v>
      </c>
      <c r="Q1665" s="22" t="s">
        <v>1569</v>
      </c>
      <c r="R1665" s="22" t="s">
        <v>94</v>
      </c>
      <c r="S1665" s="22"/>
      <c r="T1665" s="22"/>
    </row>
    <row r="1666" spans="1:20">
      <c r="A1666" t="s">
        <v>3603</v>
      </c>
      <c r="B1666" s="8">
        <v>45798</v>
      </c>
      <c r="C1666" t="s">
        <v>509</v>
      </c>
      <c r="D1666" t="s">
        <v>1668</v>
      </c>
      <c r="E1666" t="s">
        <v>1906</v>
      </c>
      <c r="F1666">
        <v>3</v>
      </c>
      <c r="G1666" s="10">
        <v>343.97</v>
      </c>
      <c r="H1666" s="13">
        <v>0.04</v>
      </c>
      <c r="I1666" t="s">
        <v>1936</v>
      </c>
      <c r="J1666" s="16">
        <v>990.6336</v>
      </c>
      <c r="K1666" s="19">
        <f t="shared" ref="K1666:K1729" si="130">SUM(J1666:J3665)</f>
        <v>364787.99420000013</v>
      </c>
      <c r="L1666" s="22">
        <f t="shared" ref="L1666:L1729" si="131">AVERAGE(J1666:J3665)</f>
        <v>1085.678554166667</v>
      </c>
      <c r="M1666" s="22">
        <f t="shared" ref="M1666:M1729" si="132">COUNTIF(I1666:I3665,"PayPal")</f>
        <v>107</v>
      </c>
      <c r="N1666" s="22" t="str">
        <f t="shared" ref="N1666:N1729" si="133">IF(J1666&gt;=1000,"High Value","Low Value")</f>
        <v>Low Value</v>
      </c>
      <c r="O1666" s="22" t="str">
        <f t="shared" ref="O1666:O1729" si="134">TEXT(B1666,"mmm-yyyy")</f>
        <v>May-2025</v>
      </c>
      <c r="P1666" s="22" t="s">
        <v>1669</v>
      </c>
      <c r="Q1666" s="22" t="s">
        <v>1531</v>
      </c>
      <c r="R1666" s="22" t="s">
        <v>510</v>
      </c>
      <c r="S1666" s="22"/>
      <c r="T1666" s="22"/>
    </row>
    <row r="1667" spans="1:20">
      <c r="A1667" t="s">
        <v>3604</v>
      </c>
      <c r="B1667" s="8">
        <v>45293</v>
      </c>
      <c r="C1667" t="s">
        <v>955</v>
      </c>
      <c r="D1667" t="s">
        <v>1620</v>
      </c>
      <c r="E1667" t="s">
        <v>1901</v>
      </c>
      <c r="F1667">
        <v>3</v>
      </c>
      <c r="G1667" s="10">
        <v>304.67</v>
      </c>
      <c r="H1667" s="13">
        <v>0.11</v>
      </c>
      <c r="I1667" t="s">
        <v>1931</v>
      </c>
      <c r="J1667" s="16">
        <v>813.46889999999996</v>
      </c>
      <c r="K1667" s="19">
        <f t="shared" si="130"/>
        <v>363797.36060000013</v>
      </c>
      <c r="L1667" s="22">
        <f t="shared" si="131"/>
        <v>1085.9622704477615</v>
      </c>
      <c r="M1667" s="22">
        <f t="shared" si="132"/>
        <v>107</v>
      </c>
      <c r="N1667" s="22" t="str">
        <f t="shared" si="133"/>
        <v>Low Value</v>
      </c>
      <c r="O1667" s="22" t="str">
        <f t="shared" si="134"/>
        <v>Jan-2024</v>
      </c>
      <c r="P1667" s="22" t="s">
        <v>1621</v>
      </c>
      <c r="Q1667" s="22" t="s">
        <v>1569</v>
      </c>
      <c r="R1667" s="22" t="s">
        <v>956</v>
      </c>
      <c r="S1667" s="22"/>
      <c r="T1667" s="22"/>
    </row>
    <row r="1668" spans="1:20">
      <c r="A1668" t="s">
        <v>3605</v>
      </c>
      <c r="B1668" s="8">
        <v>45296</v>
      </c>
      <c r="C1668" t="s">
        <v>1136</v>
      </c>
      <c r="D1668" t="s">
        <v>1630</v>
      </c>
      <c r="E1668" t="s">
        <v>1893</v>
      </c>
      <c r="F1668">
        <v>4</v>
      </c>
      <c r="G1668" s="10">
        <v>208.34</v>
      </c>
      <c r="H1668" s="13">
        <v>0.01</v>
      </c>
      <c r="I1668" t="s">
        <v>1933</v>
      </c>
      <c r="J1668" s="16">
        <v>825.02639999999997</v>
      </c>
      <c r="K1668" s="19">
        <f t="shared" si="130"/>
        <v>362983.89170000015</v>
      </c>
      <c r="L1668" s="22">
        <f t="shared" si="131"/>
        <v>1086.778118862276</v>
      </c>
      <c r="M1668" s="22">
        <f t="shared" si="132"/>
        <v>107</v>
      </c>
      <c r="N1668" s="22" t="str">
        <f t="shared" si="133"/>
        <v>Low Value</v>
      </c>
      <c r="O1668" s="22" t="str">
        <f t="shared" si="134"/>
        <v>Jan-2024</v>
      </c>
      <c r="P1668" s="22" t="s">
        <v>1631</v>
      </c>
      <c r="Q1668" s="22" t="s">
        <v>1560</v>
      </c>
      <c r="R1668" s="22" t="s">
        <v>1137</v>
      </c>
      <c r="S1668" s="22"/>
      <c r="T1668" s="22"/>
    </row>
    <row r="1669" spans="1:20">
      <c r="A1669" t="s">
        <v>3606</v>
      </c>
      <c r="B1669" s="8">
        <v>45860</v>
      </c>
      <c r="C1669" t="s">
        <v>981</v>
      </c>
      <c r="D1669" t="s">
        <v>1813</v>
      </c>
      <c r="E1669" t="s">
        <v>1864</v>
      </c>
      <c r="F1669">
        <v>1</v>
      </c>
      <c r="G1669" s="10">
        <v>119.04</v>
      </c>
      <c r="H1669" s="13">
        <v>0.13</v>
      </c>
      <c r="I1669" t="s">
        <v>1936</v>
      </c>
      <c r="J1669" s="16">
        <v>103.56480000000001</v>
      </c>
      <c r="K1669" s="19">
        <f t="shared" si="130"/>
        <v>362158.86530000012</v>
      </c>
      <c r="L1669" s="22">
        <f t="shared" si="131"/>
        <v>1087.5641600600604</v>
      </c>
      <c r="M1669" s="22">
        <f t="shared" si="132"/>
        <v>106</v>
      </c>
      <c r="N1669" s="22" t="str">
        <f t="shared" si="133"/>
        <v>Low Value</v>
      </c>
      <c r="O1669" s="22" t="str">
        <f t="shared" si="134"/>
        <v>Jul-2025</v>
      </c>
      <c r="P1669" s="22" t="s">
        <v>1814</v>
      </c>
      <c r="Q1669" s="22" t="s">
        <v>1560</v>
      </c>
      <c r="R1669" s="22" t="s">
        <v>982</v>
      </c>
      <c r="S1669" s="22"/>
      <c r="T1669" s="22"/>
    </row>
    <row r="1670" spans="1:20">
      <c r="A1670" t="s">
        <v>3607</v>
      </c>
      <c r="B1670" s="8">
        <v>45843</v>
      </c>
      <c r="C1670" t="s">
        <v>1008</v>
      </c>
      <c r="D1670" t="s">
        <v>1684</v>
      </c>
      <c r="E1670" t="s">
        <v>1893</v>
      </c>
      <c r="F1670">
        <v>4</v>
      </c>
      <c r="G1670" s="10">
        <v>791.65</v>
      </c>
      <c r="H1670" s="13">
        <v>0.06</v>
      </c>
      <c r="I1670" t="s">
        <v>1936</v>
      </c>
      <c r="J1670" s="16">
        <v>2976.6039999999998</v>
      </c>
      <c r="K1670" s="19">
        <f t="shared" si="130"/>
        <v>362055.30050000013</v>
      </c>
      <c r="L1670" s="22">
        <f t="shared" si="131"/>
        <v>1090.5280135542173</v>
      </c>
      <c r="M1670" s="22">
        <f t="shared" si="132"/>
        <v>106</v>
      </c>
      <c r="N1670" s="22" t="str">
        <f t="shared" si="133"/>
        <v>High Value</v>
      </c>
      <c r="O1670" s="22" t="str">
        <f t="shared" si="134"/>
        <v>Jul-2025</v>
      </c>
      <c r="P1670" s="22" t="s">
        <v>1685</v>
      </c>
      <c r="Q1670" s="22" t="s">
        <v>1569</v>
      </c>
      <c r="R1670" s="22" t="s">
        <v>1009</v>
      </c>
      <c r="S1670" s="22"/>
      <c r="T1670" s="22"/>
    </row>
    <row r="1671" spans="1:20">
      <c r="A1671" t="s">
        <v>3608</v>
      </c>
      <c r="B1671" s="8">
        <v>45862</v>
      </c>
      <c r="C1671" t="s">
        <v>195</v>
      </c>
      <c r="D1671" t="s">
        <v>1586</v>
      </c>
      <c r="E1671" t="s">
        <v>1868</v>
      </c>
      <c r="F1671">
        <v>2</v>
      </c>
      <c r="G1671" s="10">
        <v>414.86</v>
      </c>
      <c r="H1671" s="13">
        <v>0.23</v>
      </c>
      <c r="I1671" t="s">
        <v>1931</v>
      </c>
      <c r="J1671" s="16">
        <v>638.88440000000003</v>
      </c>
      <c r="K1671" s="19">
        <f t="shared" si="130"/>
        <v>359078.69650000014</v>
      </c>
      <c r="L1671" s="22">
        <f t="shared" si="131"/>
        <v>1084.8298987915412</v>
      </c>
      <c r="M1671" s="22">
        <f t="shared" si="132"/>
        <v>106</v>
      </c>
      <c r="N1671" s="22" t="str">
        <f t="shared" si="133"/>
        <v>Low Value</v>
      </c>
      <c r="O1671" s="22" t="str">
        <f t="shared" si="134"/>
        <v>Jul-2025</v>
      </c>
      <c r="P1671" s="22" t="s">
        <v>1587</v>
      </c>
      <c r="Q1671" s="22" t="s">
        <v>1560</v>
      </c>
      <c r="R1671" s="22" t="s">
        <v>196</v>
      </c>
      <c r="S1671" s="22"/>
      <c r="T1671" s="22"/>
    </row>
    <row r="1672" spans="1:20">
      <c r="A1672" t="s">
        <v>3609</v>
      </c>
      <c r="B1672" s="8">
        <v>45385</v>
      </c>
      <c r="C1672" t="s">
        <v>1462</v>
      </c>
      <c r="D1672" t="s">
        <v>1665</v>
      </c>
      <c r="E1672" t="s">
        <v>1901</v>
      </c>
      <c r="F1672">
        <v>2</v>
      </c>
      <c r="G1672" s="10">
        <v>960.81</v>
      </c>
      <c r="H1672" s="13">
        <v>0.28000000000000003</v>
      </c>
      <c r="I1672" t="s">
        <v>1933</v>
      </c>
      <c r="J1672" s="16">
        <v>1383.5663999999999</v>
      </c>
      <c r="K1672" s="19">
        <f t="shared" si="130"/>
        <v>358439.8121000001</v>
      </c>
      <c r="L1672" s="22">
        <f t="shared" si="131"/>
        <v>1086.181248787879</v>
      </c>
      <c r="M1672" s="22">
        <f t="shared" si="132"/>
        <v>106</v>
      </c>
      <c r="N1672" s="22" t="str">
        <f t="shared" si="133"/>
        <v>High Value</v>
      </c>
      <c r="O1672" s="22" t="str">
        <f t="shared" si="134"/>
        <v>Apr-2024</v>
      </c>
      <c r="P1672" s="22" t="s">
        <v>1666</v>
      </c>
      <c r="Q1672" s="22" t="s">
        <v>1569</v>
      </c>
      <c r="R1672" s="22" t="s">
        <v>3960</v>
      </c>
      <c r="S1672" s="22"/>
      <c r="T1672" s="22"/>
    </row>
    <row r="1673" spans="1:20">
      <c r="A1673" t="s">
        <v>3610</v>
      </c>
      <c r="B1673" s="8">
        <v>45668</v>
      </c>
      <c r="C1673" t="s">
        <v>688</v>
      </c>
      <c r="D1673" t="s">
        <v>1704</v>
      </c>
      <c r="E1673" t="s">
        <v>1876</v>
      </c>
      <c r="F1673">
        <v>4</v>
      </c>
      <c r="G1673" s="10">
        <v>943.36</v>
      </c>
      <c r="H1673" s="13">
        <v>0.18</v>
      </c>
      <c r="I1673" t="s">
        <v>1933</v>
      </c>
      <c r="J1673" s="16">
        <v>3094.2208000000001</v>
      </c>
      <c r="K1673" s="19">
        <f t="shared" si="130"/>
        <v>357056.24570000015</v>
      </c>
      <c r="L1673" s="22">
        <f t="shared" si="131"/>
        <v>1085.2773425531918</v>
      </c>
      <c r="M1673" s="22">
        <f t="shared" si="132"/>
        <v>105</v>
      </c>
      <c r="N1673" s="22" t="str">
        <f t="shared" si="133"/>
        <v>High Value</v>
      </c>
      <c r="O1673" s="22" t="str">
        <f t="shared" si="134"/>
        <v>Jan-2025</v>
      </c>
      <c r="P1673" s="22" t="s">
        <v>1705</v>
      </c>
      <c r="Q1673" s="22" t="s">
        <v>1569</v>
      </c>
      <c r="R1673" s="22" t="s">
        <v>689</v>
      </c>
      <c r="S1673" s="22"/>
      <c r="T1673" s="22"/>
    </row>
    <row r="1674" spans="1:20">
      <c r="A1674" t="s">
        <v>3611</v>
      </c>
      <c r="B1674" s="8">
        <v>45561</v>
      </c>
      <c r="C1674" t="s">
        <v>691</v>
      </c>
      <c r="D1674" t="s">
        <v>2033</v>
      </c>
      <c r="E1674" t="s">
        <v>1904</v>
      </c>
      <c r="F1674">
        <v>1</v>
      </c>
      <c r="G1674" s="10">
        <v>830.42</v>
      </c>
      <c r="H1674" s="13">
        <v>0.26</v>
      </c>
      <c r="I1674" t="s">
        <v>1936</v>
      </c>
      <c r="J1674" s="16">
        <v>614.51080000000002</v>
      </c>
      <c r="K1674" s="19">
        <f t="shared" si="130"/>
        <v>353962.02490000013</v>
      </c>
      <c r="L1674" s="22">
        <f t="shared" si="131"/>
        <v>1079.1525149390247</v>
      </c>
      <c r="M1674" s="22">
        <f t="shared" si="132"/>
        <v>104</v>
      </c>
      <c r="N1674" s="22" t="str">
        <f t="shared" si="133"/>
        <v>Low Value</v>
      </c>
      <c r="O1674" s="22" t="str">
        <f t="shared" si="134"/>
        <v>Sep-2024</v>
      </c>
      <c r="P1674" s="22" t="s">
        <v>1543</v>
      </c>
      <c r="Q1674" s="22" t="s">
        <v>1536</v>
      </c>
      <c r="R1674" s="22" t="s">
        <v>692</v>
      </c>
      <c r="S1674" s="22"/>
      <c r="T1674" s="22"/>
    </row>
    <row r="1675" spans="1:20">
      <c r="A1675" t="s">
        <v>3612</v>
      </c>
      <c r="B1675" s="8">
        <v>45637</v>
      </c>
      <c r="C1675" t="s">
        <v>1102</v>
      </c>
      <c r="D1675" t="s">
        <v>1755</v>
      </c>
      <c r="E1675" t="s">
        <v>1914</v>
      </c>
      <c r="F1675">
        <v>1</v>
      </c>
      <c r="G1675" s="10">
        <v>762.55</v>
      </c>
      <c r="H1675" s="13">
        <v>0.19</v>
      </c>
      <c r="I1675" t="s">
        <v>1931</v>
      </c>
      <c r="J1675" s="16">
        <v>617.66549999999995</v>
      </c>
      <c r="K1675" s="19">
        <f t="shared" si="130"/>
        <v>353347.51410000009</v>
      </c>
      <c r="L1675" s="22">
        <f t="shared" si="131"/>
        <v>1080.5734376146793</v>
      </c>
      <c r="M1675" s="22">
        <f t="shared" si="132"/>
        <v>104</v>
      </c>
      <c r="N1675" s="22" t="str">
        <f t="shared" si="133"/>
        <v>Low Value</v>
      </c>
      <c r="O1675" s="22" t="str">
        <f t="shared" si="134"/>
        <v>Dec-2024</v>
      </c>
      <c r="P1675" s="22" t="s">
        <v>1756</v>
      </c>
      <c r="Q1675" s="22" t="s">
        <v>1531</v>
      </c>
      <c r="R1675" s="22" t="s">
        <v>3955</v>
      </c>
      <c r="S1675" s="22"/>
      <c r="T1675" s="22"/>
    </row>
    <row r="1676" spans="1:20">
      <c r="A1676" t="s">
        <v>3613</v>
      </c>
      <c r="B1676" s="8">
        <v>45839</v>
      </c>
      <c r="C1676" t="s">
        <v>1073</v>
      </c>
      <c r="D1676" t="s">
        <v>1777</v>
      </c>
      <c r="E1676" t="s">
        <v>1917</v>
      </c>
      <c r="F1676">
        <v>2</v>
      </c>
      <c r="G1676" s="10">
        <v>464.43</v>
      </c>
      <c r="H1676" s="13">
        <v>0.24</v>
      </c>
      <c r="I1676" t="s">
        <v>1936</v>
      </c>
      <c r="J1676" s="16">
        <v>705.93360000000007</v>
      </c>
      <c r="K1676" s="19">
        <f t="shared" si="130"/>
        <v>352729.84860000008</v>
      </c>
      <c r="L1676" s="22">
        <f t="shared" si="131"/>
        <v>1081.9934006134972</v>
      </c>
      <c r="M1676" s="22">
        <f t="shared" si="132"/>
        <v>104</v>
      </c>
      <c r="N1676" s="22" t="str">
        <f t="shared" si="133"/>
        <v>Low Value</v>
      </c>
      <c r="O1676" s="22" t="str">
        <f t="shared" si="134"/>
        <v>Jul-2025</v>
      </c>
      <c r="P1676" s="22" t="s">
        <v>1778</v>
      </c>
      <c r="Q1676" s="22" t="s">
        <v>1531</v>
      </c>
      <c r="R1676" s="22" t="s">
        <v>1074</v>
      </c>
      <c r="S1676" s="22"/>
      <c r="T1676" s="22"/>
    </row>
    <row r="1677" spans="1:20">
      <c r="A1677" t="s">
        <v>3614</v>
      </c>
      <c r="B1677" s="8">
        <v>45851</v>
      </c>
      <c r="C1677" t="s">
        <v>75</v>
      </c>
      <c r="D1677" t="s">
        <v>1746</v>
      </c>
      <c r="E1677" t="s">
        <v>1917</v>
      </c>
      <c r="F1677">
        <v>1</v>
      </c>
      <c r="G1677" s="10">
        <v>711.08</v>
      </c>
      <c r="H1677" s="13">
        <v>0.24</v>
      </c>
      <c r="I1677" t="s">
        <v>1933</v>
      </c>
      <c r="J1677" s="16">
        <v>540.42079999999999</v>
      </c>
      <c r="K1677" s="19">
        <f t="shared" si="130"/>
        <v>352023.91500000004</v>
      </c>
      <c r="L1677" s="22">
        <f t="shared" si="131"/>
        <v>1083.1505076923079</v>
      </c>
      <c r="M1677" s="22">
        <f t="shared" si="132"/>
        <v>104</v>
      </c>
      <c r="N1677" s="22" t="str">
        <f t="shared" si="133"/>
        <v>Low Value</v>
      </c>
      <c r="O1677" s="22" t="str">
        <f t="shared" si="134"/>
        <v>Jul-2025</v>
      </c>
      <c r="P1677" s="22" t="s">
        <v>1747</v>
      </c>
      <c r="Q1677" s="22" t="s">
        <v>1555</v>
      </c>
      <c r="R1677" s="22" t="s">
        <v>76</v>
      </c>
      <c r="S1677" s="22"/>
      <c r="T1677" s="22"/>
    </row>
    <row r="1678" spans="1:20">
      <c r="A1678" t="s">
        <v>3615</v>
      </c>
      <c r="B1678" s="8">
        <v>45656</v>
      </c>
      <c r="C1678" t="s">
        <v>804</v>
      </c>
      <c r="D1678" t="s">
        <v>1687</v>
      </c>
      <c r="E1678" t="s">
        <v>1906</v>
      </c>
      <c r="F1678">
        <v>2</v>
      </c>
      <c r="G1678" s="10">
        <v>984.96</v>
      </c>
      <c r="H1678" s="13">
        <v>0.16</v>
      </c>
      <c r="I1678" t="s">
        <v>1933</v>
      </c>
      <c r="J1678" s="16">
        <v>1654.7328</v>
      </c>
      <c r="K1678" s="19">
        <f t="shared" si="130"/>
        <v>351483.49420000007</v>
      </c>
      <c r="L1678" s="22">
        <f t="shared" si="131"/>
        <v>1084.8255993827163</v>
      </c>
      <c r="M1678" s="22">
        <f t="shared" si="132"/>
        <v>103</v>
      </c>
      <c r="N1678" s="22" t="str">
        <f t="shared" si="133"/>
        <v>High Value</v>
      </c>
      <c r="O1678" s="22" t="str">
        <f t="shared" si="134"/>
        <v>Dec-2024</v>
      </c>
      <c r="P1678" s="22" t="s">
        <v>1688</v>
      </c>
      <c r="Q1678" s="22" t="s">
        <v>1569</v>
      </c>
      <c r="R1678" s="22" t="s">
        <v>805</v>
      </c>
      <c r="S1678" s="22"/>
      <c r="T1678" s="22"/>
    </row>
    <row r="1679" spans="1:20">
      <c r="A1679" t="s">
        <v>3616</v>
      </c>
      <c r="B1679" s="8">
        <v>45759</v>
      </c>
      <c r="C1679" t="s">
        <v>1073</v>
      </c>
      <c r="D1679" t="s">
        <v>1665</v>
      </c>
      <c r="E1679" t="s">
        <v>1901</v>
      </c>
      <c r="F1679">
        <v>1</v>
      </c>
      <c r="G1679" s="10">
        <v>21.14</v>
      </c>
      <c r="H1679" s="13">
        <v>0.06</v>
      </c>
      <c r="I1679" t="s">
        <v>1936</v>
      </c>
      <c r="J1679" s="16">
        <v>19.871600000000001</v>
      </c>
      <c r="K1679" s="19">
        <f t="shared" si="130"/>
        <v>349828.76140000002</v>
      </c>
      <c r="L1679" s="22">
        <f t="shared" si="131"/>
        <v>1083.0611808049537</v>
      </c>
      <c r="M1679" s="22">
        <f t="shared" si="132"/>
        <v>102</v>
      </c>
      <c r="N1679" s="22" t="str">
        <f t="shared" si="133"/>
        <v>Low Value</v>
      </c>
      <c r="O1679" s="22" t="str">
        <f t="shared" si="134"/>
        <v>Apr-2025</v>
      </c>
      <c r="P1679" s="22" t="s">
        <v>1666</v>
      </c>
      <c r="Q1679" s="22" t="s">
        <v>1569</v>
      </c>
      <c r="R1679" s="22" t="s">
        <v>1074</v>
      </c>
      <c r="S1679" s="22"/>
      <c r="T1679" s="22"/>
    </row>
    <row r="1680" spans="1:20">
      <c r="A1680" t="s">
        <v>3617</v>
      </c>
      <c r="B1680" s="8">
        <v>45679</v>
      </c>
      <c r="C1680" t="s">
        <v>370</v>
      </c>
      <c r="D1680" t="s">
        <v>1849</v>
      </c>
      <c r="E1680" t="s">
        <v>1889</v>
      </c>
      <c r="F1680">
        <v>1</v>
      </c>
      <c r="G1680" s="10">
        <v>343.03</v>
      </c>
      <c r="H1680" s="13">
        <v>0.16</v>
      </c>
      <c r="I1680" t="s">
        <v>1931</v>
      </c>
      <c r="J1680" s="16">
        <v>288.14519999999999</v>
      </c>
      <c r="K1680" s="19">
        <f t="shared" si="130"/>
        <v>349808.8898</v>
      </c>
      <c r="L1680" s="22">
        <f t="shared" si="131"/>
        <v>1086.3630118012422</v>
      </c>
      <c r="M1680" s="22">
        <f t="shared" si="132"/>
        <v>102</v>
      </c>
      <c r="N1680" s="22" t="str">
        <f t="shared" si="133"/>
        <v>Low Value</v>
      </c>
      <c r="O1680" s="22" t="str">
        <f t="shared" si="134"/>
        <v>Jan-2025</v>
      </c>
      <c r="P1680" s="22" t="s">
        <v>1850</v>
      </c>
      <c r="Q1680" s="22" t="s">
        <v>1531</v>
      </c>
      <c r="R1680" s="22" t="s">
        <v>371</v>
      </c>
      <c r="S1680" s="22"/>
      <c r="T1680" s="22"/>
    </row>
    <row r="1681" spans="1:20">
      <c r="A1681" t="s">
        <v>3618</v>
      </c>
      <c r="B1681" s="8">
        <v>45237</v>
      </c>
      <c r="C1681" t="s">
        <v>792</v>
      </c>
      <c r="D1681" t="s">
        <v>1607</v>
      </c>
      <c r="E1681" t="s">
        <v>1917</v>
      </c>
      <c r="F1681">
        <v>3</v>
      </c>
      <c r="G1681" s="10">
        <v>94.83</v>
      </c>
      <c r="H1681" s="13">
        <v>0.16</v>
      </c>
      <c r="I1681" t="s">
        <v>1936</v>
      </c>
      <c r="J1681" s="16">
        <v>238.9716</v>
      </c>
      <c r="K1681" s="19">
        <f t="shared" si="130"/>
        <v>349520.74460000003</v>
      </c>
      <c r="L1681" s="22">
        <f t="shared" si="131"/>
        <v>1088.8496716510904</v>
      </c>
      <c r="M1681" s="22">
        <f t="shared" si="132"/>
        <v>102</v>
      </c>
      <c r="N1681" s="22" t="str">
        <f t="shared" si="133"/>
        <v>Low Value</v>
      </c>
      <c r="O1681" s="22" t="str">
        <f t="shared" si="134"/>
        <v>Nov-2023</v>
      </c>
      <c r="P1681" s="22" t="s">
        <v>1608</v>
      </c>
      <c r="Q1681" s="22" t="s">
        <v>1569</v>
      </c>
      <c r="R1681" s="22" t="s">
        <v>793</v>
      </c>
      <c r="S1681" s="22"/>
      <c r="T1681" s="22"/>
    </row>
    <row r="1682" spans="1:20">
      <c r="A1682" t="s">
        <v>3619</v>
      </c>
      <c r="B1682" s="8">
        <v>45790</v>
      </c>
      <c r="C1682" t="s">
        <v>82</v>
      </c>
      <c r="D1682" t="s">
        <v>1762</v>
      </c>
      <c r="E1682" t="s">
        <v>1920</v>
      </c>
      <c r="F1682">
        <v>3</v>
      </c>
      <c r="G1682" s="10">
        <v>74.66</v>
      </c>
      <c r="H1682" s="13">
        <v>0.03</v>
      </c>
      <c r="I1682" t="s">
        <v>1933</v>
      </c>
      <c r="J1682" s="16">
        <v>217.26060000000001</v>
      </c>
      <c r="K1682" s="19">
        <f t="shared" si="130"/>
        <v>349281.77299999999</v>
      </c>
      <c r="L1682" s="22">
        <f t="shared" si="131"/>
        <v>1091.5055406249999</v>
      </c>
      <c r="M1682" s="22">
        <f t="shared" si="132"/>
        <v>102</v>
      </c>
      <c r="N1682" s="22" t="str">
        <f t="shared" si="133"/>
        <v>Low Value</v>
      </c>
      <c r="O1682" s="22" t="str">
        <f t="shared" si="134"/>
        <v>May-2025</v>
      </c>
      <c r="P1682" s="22" t="s">
        <v>1763</v>
      </c>
      <c r="Q1682" s="22" t="s">
        <v>1536</v>
      </c>
      <c r="R1682" s="22" t="s">
        <v>83</v>
      </c>
      <c r="S1682" s="22"/>
      <c r="T1682" s="22"/>
    </row>
    <row r="1683" spans="1:20">
      <c r="A1683" t="s">
        <v>3620</v>
      </c>
      <c r="B1683" s="8">
        <v>45268</v>
      </c>
      <c r="C1683" t="s">
        <v>462</v>
      </c>
      <c r="D1683" t="s">
        <v>1661</v>
      </c>
      <c r="E1683" t="s">
        <v>1908</v>
      </c>
      <c r="F1683">
        <v>3</v>
      </c>
      <c r="G1683" s="10">
        <v>281.95999999999998</v>
      </c>
      <c r="H1683" s="13">
        <v>0.01</v>
      </c>
      <c r="I1683" t="s">
        <v>1936</v>
      </c>
      <c r="J1683" s="16">
        <v>837.42119999999989</v>
      </c>
      <c r="K1683" s="19">
        <f t="shared" si="130"/>
        <v>349064.51240000001</v>
      </c>
      <c r="L1683" s="22">
        <f t="shared" si="131"/>
        <v>1094.2461203761757</v>
      </c>
      <c r="M1683" s="22">
        <f t="shared" si="132"/>
        <v>101</v>
      </c>
      <c r="N1683" s="22" t="str">
        <f t="shared" si="133"/>
        <v>Low Value</v>
      </c>
      <c r="O1683" s="22" t="str">
        <f t="shared" si="134"/>
        <v>Dec-2023</v>
      </c>
      <c r="P1683" s="22" t="s">
        <v>1662</v>
      </c>
      <c r="Q1683" s="22" t="s">
        <v>1536</v>
      </c>
      <c r="R1683" s="22" t="s">
        <v>463</v>
      </c>
      <c r="S1683" s="22"/>
      <c r="T1683" s="22"/>
    </row>
    <row r="1684" spans="1:20">
      <c r="A1684" t="s">
        <v>3621</v>
      </c>
      <c r="B1684" s="8">
        <v>45664</v>
      </c>
      <c r="C1684" t="s">
        <v>759</v>
      </c>
      <c r="D1684" t="s">
        <v>1768</v>
      </c>
      <c r="E1684" t="s">
        <v>1917</v>
      </c>
      <c r="F1684">
        <v>4</v>
      </c>
      <c r="G1684" s="10">
        <v>622.27</v>
      </c>
      <c r="H1684" s="13">
        <v>0.02</v>
      </c>
      <c r="I1684" t="s">
        <v>1933</v>
      </c>
      <c r="J1684" s="16">
        <v>2439.2984000000001</v>
      </c>
      <c r="K1684" s="19">
        <f t="shared" si="130"/>
        <v>348227.09120000002</v>
      </c>
      <c r="L1684" s="22">
        <f t="shared" si="131"/>
        <v>1095.0537459119498</v>
      </c>
      <c r="M1684" s="22">
        <f t="shared" si="132"/>
        <v>101</v>
      </c>
      <c r="N1684" s="22" t="str">
        <f t="shared" si="133"/>
        <v>High Value</v>
      </c>
      <c r="O1684" s="22" t="str">
        <f t="shared" si="134"/>
        <v>Jan-2025</v>
      </c>
      <c r="P1684" s="22" t="s">
        <v>1769</v>
      </c>
      <c r="Q1684" s="22" t="s">
        <v>1555</v>
      </c>
      <c r="R1684" s="22" t="s">
        <v>760</v>
      </c>
      <c r="S1684" s="22"/>
      <c r="T1684" s="22"/>
    </row>
    <row r="1685" spans="1:20">
      <c r="A1685" t="s">
        <v>3622</v>
      </c>
      <c r="B1685" s="8">
        <v>45475</v>
      </c>
      <c r="C1685" t="s">
        <v>358</v>
      </c>
      <c r="D1685" t="s">
        <v>1661</v>
      </c>
      <c r="E1685" t="s">
        <v>1886</v>
      </c>
      <c r="F1685">
        <v>2</v>
      </c>
      <c r="G1685" s="10">
        <v>78.27</v>
      </c>
      <c r="H1685" s="13">
        <v>0.28999999999999998</v>
      </c>
      <c r="I1685" t="s">
        <v>1936</v>
      </c>
      <c r="J1685" s="16">
        <v>111.1434</v>
      </c>
      <c r="K1685" s="19">
        <f t="shared" si="130"/>
        <v>345787.7928</v>
      </c>
      <c r="L1685" s="22">
        <f t="shared" si="131"/>
        <v>1090.8132264984226</v>
      </c>
      <c r="M1685" s="22">
        <f t="shared" si="132"/>
        <v>100</v>
      </c>
      <c r="N1685" s="22" t="str">
        <f t="shared" si="133"/>
        <v>Low Value</v>
      </c>
      <c r="O1685" s="22" t="str">
        <f t="shared" si="134"/>
        <v>Jul-2024</v>
      </c>
      <c r="P1685" s="22" t="s">
        <v>1662</v>
      </c>
      <c r="Q1685" s="22" t="s">
        <v>1536</v>
      </c>
      <c r="R1685" s="22" t="s">
        <v>359</v>
      </c>
      <c r="S1685" s="22"/>
      <c r="T1685" s="22"/>
    </row>
    <row r="1686" spans="1:20">
      <c r="A1686" t="s">
        <v>3623</v>
      </c>
      <c r="B1686" s="8">
        <v>45845</v>
      </c>
      <c r="C1686" t="s">
        <v>59</v>
      </c>
      <c r="D1686" t="s">
        <v>1740</v>
      </c>
      <c r="E1686" t="s">
        <v>1904</v>
      </c>
      <c r="F1686">
        <v>4</v>
      </c>
      <c r="G1686" s="10">
        <v>676.58</v>
      </c>
      <c r="H1686" s="13">
        <v>0.23</v>
      </c>
      <c r="I1686" t="s">
        <v>1936</v>
      </c>
      <c r="J1686" s="16">
        <v>2083.8663999999999</v>
      </c>
      <c r="K1686" s="19">
        <f t="shared" si="130"/>
        <v>345676.64939999999</v>
      </c>
      <c r="L1686" s="22">
        <f t="shared" si="131"/>
        <v>1093.9134474683544</v>
      </c>
      <c r="M1686" s="22">
        <f t="shared" si="132"/>
        <v>100</v>
      </c>
      <c r="N1686" s="22" t="str">
        <f t="shared" si="133"/>
        <v>High Value</v>
      </c>
      <c r="O1686" s="22" t="str">
        <f t="shared" si="134"/>
        <v>Jul-2025</v>
      </c>
      <c r="P1686" s="22" t="s">
        <v>1741</v>
      </c>
      <c r="Q1686" s="22" t="s">
        <v>1531</v>
      </c>
      <c r="R1686" s="22" t="s">
        <v>60</v>
      </c>
      <c r="S1686" s="22"/>
      <c r="T1686" s="22"/>
    </row>
    <row r="1687" spans="1:20">
      <c r="A1687" t="s">
        <v>3624</v>
      </c>
      <c r="B1687" s="8">
        <v>45446</v>
      </c>
      <c r="C1687" t="s">
        <v>2611</v>
      </c>
      <c r="D1687" t="s">
        <v>1642</v>
      </c>
      <c r="E1687" t="s">
        <v>1864</v>
      </c>
      <c r="F1687">
        <v>2</v>
      </c>
      <c r="G1687" s="10">
        <v>938.6</v>
      </c>
      <c r="H1687" s="13">
        <v>0.04</v>
      </c>
      <c r="I1687" t="s">
        <v>1933</v>
      </c>
      <c r="J1687" s="16">
        <v>1802.1120000000001</v>
      </c>
      <c r="K1687" s="19">
        <f t="shared" si="130"/>
        <v>343592.783</v>
      </c>
      <c r="L1687" s="22">
        <f t="shared" si="131"/>
        <v>1090.7707396825397</v>
      </c>
      <c r="M1687" s="22">
        <f t="shared" si="132"/>
        <v>100</v>
      </c>
      <c r="N1687" s="22" t="str">
        <f t="shared" si="133"/>
        <v>High Value</v>
      </c>
      <c r="O1687" s="22" t="str">
        <f t="shared" si="134"/>
        <v>Jun-2024</v>
      </c>
      <c r="P1687" s="22" t="s">
        <v>1643</v>
      </c>
      <c r="Q1687" s="22" t="s">
        <v>1569</v>
      </c>
      <c r="R1687" s="22" t="s">
        <v>1484</v>
      </c>
      <c r="S1687" s="22"/>
      <c r="T1687" s="22"/>
    </row>
    <row r="1688" spans="1:20">
      <c r="A1688" t="s">
        <v>3625</v>
      </c>
      <c r="B1688" s="8">
        <v>45761</v>
      </c>
      <c r="C1688" t="s">
        <v>1107</v>
      </c>
      <c r="D1688" t="s">
        <v>1583</v>
      </c>
      <c r="E1688" t="s">
        <v>1906</v>
      </c>
      <c r="F1688">
        <v>2</v>
      </c>
      <c r="G1688" s="10">
        <v>859.47</v>
      </c>
      <c r="H1688" s="13">
        <v>0.01</v>
      </c>
      <c r="I1688" t="s">
        <v>1931</v>
      </c>
      <c r="J1688" s="16">
        <v>1701.7506000000001</v>
      </c>
      <c r="K1688" s="19">
        <f t="shared" si="130"/>
        <v>341790.67100000003</v>
      </c>
      <c r="L1688" s="22">
        <f t="shared" si="131"/>
        <v>1088.5053216560511</v>
      </c>
      <c r="M1688" s="22">
        <f t="shared" si="132"/>
        <v>99</v>
      </c>
      <c r="N1688" s="22" t="str">
        <f t="shared" si="133"/>
        <v>High Value</v>
      </c>
      <c r="O1688" s="22" t="str">
        <f t="shared" si="134"/>
        <v>Apr-2025</v>
      </c>
      <c r="P1688" s="22" t="s">
        <v>1584</v>
      </c>
      <c r="Q1688" s="22" t="s">
        <v>1531</v>
      </c>
      <c r="R1688" s="22" t="s">
        <v>1108</v>
      </c>
      <c r="S1688" s="22"/>
      <c r="T1688" s="22"/>
    </row>
    <row r="1689" spans="1:20">
      <c r="A1689" t="s">
        <v>3626</v>
      </c>
      <c r="B1689" s="8">
        <v>45363</v>
      </c>
      <c r="C1689" t="s">
        <v>211</v>
      </c>
      <c r="D1689" t="s">
        <v>1630</v>
      </c>
      <c r="E1689" t="s">
        <v>1906</v>
      </c>
      <c r="F1689">
        <v>3</v>
      </c>
      <c r="G1689" s="10">
        <v>672.98</v>
      </c>
      <c r="H1689" s="13">
        <v>0.23</v>
      </c>
      <c r="I1689" t="s">
        <v>1933</v>
      </c>
      <c r="J1689" s="16">
        <v>1554.5838000000001</v>
      </c>
      <c r="K1689" s="19">
        <f t="shared" si="130"/>
        <v>340088.9204</v>
      </c>
      <c r="L1689" s="22">
        <f t="shared" si="131"/>
        <v>1086.5460715654951</v>
      </c>
      <c r="M1689" s="22">
        <f t="shared" si="132"/>
        <v>99</v>
      </c>
      <c r="N1689" s="22" t="str">
        <f t="shared" si="133"/>
        <v>High Value</v>
      </c>
      <c r="O1689" s="22" t="str">
        <f t="shared" si="134"/>
        <v>Mar-2024</v>
      </c>
      <c r="P1689" s="22" t="s">
        <v>1631</v>
      </c>
      <c r="Q1689" s="22" t="s">
        <v>1560</v>
      </c>
      <c r="R1689" s="22" t="s">
        <v>212</v>
      </c>
      <c r="S1689" s="22"/>
      <c r="T1689" s="22"/>
    </row>
    <row r="1690" spans="1:20">
      <c r="A1690" t="s">
        <v>3627</v>
      </c>
      <c r="B1690" s="8">
        <v>45420</v>
      </c>
      <c r="C1690" t="s">
        <v>670</v>
      </c>
      <c r="D1690" t="s">
        <v>1722</v>
      </c>
      <c r="E1690" t="s">
        <v>1917</v>
      </c>
      <c r="F1690">
        <v>1</v>
      </c>
      <c r="G1690" s="10">
        <v>75.8</v>
      </c>
      <c r="H1690" s="13">
        <v>0.28999999999999998</v>
      </c>
      <c r="I1690" t="s">
        <v>1933</v>
      </c>
      <c r="J1690" s="16">
        <v>53.817999999999998</v>
      </c>
      <c r="K1690" s="19">
        <f t="shared" si="130"/>
        <v>338534.33659999998</v>
      </c>
      <c r="L1690" s="22">
        <f t="shared" si="131"/>
        <v>1085.0459506410257</v>
      </c>
      <c r="M1690" s="22">
        <f t="shared" si="132"/>
        <v>98</v>
      </c>
      <c r="N1690" s="22" t="str">
        <f t="shared" si="133"/>
        <v>Low Value</v>
      </c>
      <c r="O1690" s="22" t="str">
        <f t="shared" si="134"/>
        <v>May-2024</v>
      </c>
      <c r="P1690" s="22" t="s">
        <v>1723</v>
      </c>
      <c r="Q1690" s="22" t="s">
        <v>1560</v>
      </c>
      <c r="R1690" s="22" t="s">
        <v>671</v>
      </c>
      <c r="S1690" s="22"/>
      <c r="T1690" s="22"/>
    </row>
    <row r="1691" spans="1:20">
      <c r="A1691" t="s">
        <v>3628</v>
      </c>
      <c r="B1691" s="8">
        <v>45536</v>
      </c>
      <c r="C1691" t="s">
        <v>136</v>
      </c>
      <c r="D1691" t="s">
        <v>1597</v>
      </c>
      <c r="E1691" t="s">
        <v>1908</v>
      </c>
      <c r="F1691">
        <v>4</v>
      </c>
      <c r="G1691" s="10">
        <v>742.15</v>
      </c>
      <c r="H1691" s="13">
        <v>0.1</v>
      </c>
      <c r="I1691" t="s">
        <v>1936</v>
      </c>
      <c r="J1691" s="16">
        <v>2671.74</v>
      </c>
      <c r="K1691" s="19">
        <f t="shared" si="130"/>
        <v>338480.51859999995</v>
      </c>
      <c r="L1691" s="22">
        <f t="shared" si="131"/>
        <v>1088.3617961414789</v>
      </c>
      <c r="M1691" s="22">
        <f t="shared" si="132"/>
        <v>97</v>
      </c>
      <c r="N1691" s="22" t="str">
        <f t="shared" si="133"/>
        <v>High Value</v>
      </c>
      <c r="O1691" s="22" t="str">
        <f t="shared" si="134"/>
        <v>Sep-2024</v>
      </c>
      <c r="P1691" s="22" t="s">
        <v>1598</v>
      </c>
      <c r="Q1691" s="22" t="s">
        <v>1569</v>
      </c>
      <c r="R1691" s="22" t="s">
        <v>137</v>
      </c>
      <c r="S1691" s="22"/>
      <c r="T1691" s="22"/>
    </row>
    <row r="1692" spans="1:20">
      <c r="A1692" t="s">
        <v>3629</v>
      </c>
      <c r="B1692" s="8">
        <v>45445</v>
      </c>
      <c r="C1692" t="s">
        <v>261</v>
      </c>
      <c r="D1692" t="s">
        <v>1639</v>
      </c>
      <c r="E1692" t="s">
        <v>1886</v>
      </c>
      <c r="F1692">
        <v>1</v>
      </c>
      <c r="G1692" s="10">
        <v>637.39</v>
      </c>
      <c r="H1692" s="13">
        <v>0.22</v>
      </c>
      <c r="I1692" t="s">
        <v>1933</v>
      </c>
      <c r="J1692" s="16">
        <v>497.16419999999999</v>
      </c>
      <c r="K1692" s="19">
        <f t="shared" si="130"/>
        <v>335808.77859999996</v>
      </c>
      <c r="L1692" s="22">
        <f t="shared" si="131"/>
        <v>1083.254124516129</v>
      </c>
      <c r="M1692" s="22">
        <f t="shared" si="132"/>
        <v>97</v>
      </c>
      <c r="N1692" s="22" t="str">
        <f t="shared" si="133"/>
        <v>Low Value</v>
      </c>
      <c r="O1692" s="22" t="str">
        <f t="shared" si="134"/>
        <v>Jun-2024</v>
      </c>
      <c r="P1692" s="22" t="s">
        <v>1640</v>
      </c>
      <c r="Q1692" s="22" t="s">
        <v>1560</v>
      </c>
      <c r="R1692" s="22" t="s">
        <v>262</v>
      </c>
      <c r="S1692" s="22"/>
      <c r="T1692" s="22"/>
    </row>
    <row r="1693" spans="1:20">
      <c r="A1693" t="s">
        <v>3630</v>
      </c>
      <c r="B1693" s="8">
        <v>45230</v>
      </c>
      <c r="C1693" t="s">
        <v>1214</v>
      </c>
      <c r="D1693" t="s">
        <v>1553</v>
      </c>
      <c r="E1693" t="s">
        <v>1914</v>
      </c>
      <c r="F1693">
        <v>1</v>
      </c>
      <c r="G1693" s="10">
        <v>631</v>
      </c>
      <c r="H1693" s="13">
        <v>0.04</v>
      </c>
      <c r="I1693" t="s">
        <v>1931</v>
      </c>
      <c r="J1693" s="16">
        <v>605.76</v>
      </c>
      <c r="K1693" s="19">
        <f t="shared" si="130"/>
        <v>335311.61439999996</v>
      </c>
      <c r="L1693" s="22">
        <f t="shared" si="131"/>
        <v>1085.1508556634303</v>
      </c>
      <c r="M1693" s="22">
        <f t="shared" si="132"/>
        <v>96</v>
      </c>
      <c r="N1693" s="22" t="str">
        <f t="shared" si="133"/>
        <v>Low Value</v>
      </c>
      <c r="O1693" s="22" t="str">
        <f t="shared" si="134"/>
        <v>Oct-2023</v>
      </c>
      <c r="P1693" s="22" t="s">
        <v>1554</v>
      </c>
      <c r="Q1693" s="22" t="s">
        <v>1555</v>
      </c>
      <c r="R1693" s="22" t="s">
        <v>1215</v>
      </c>
      <c r="S1693" s="22"/>
      <c r="T1693" s="22"/>
    </row>
    <row r="1694" spans="1:20">
      <c r="A1694" t="s">
        <v>3631</v>
      </c>
      <c r="B1694" s="8">
        <v>45916</v>
      </c>
      <c r="C1694" t="s">
        <v>1220</v>
      </c>
      <c r="D1694" t="s">
        <v>1795</v>
      </c>
      <c r="E1694" t="s">
        <v>1873</v>
      </c>
      <c r="F1694">
        <v>4</v>
      </c>
      <c r="G1694" s="10">
        <v>983.98</v>
      </c>
      <c r="H1694" s="13">
        <v>0.11</v>
      </c>
      <c r="I1694" t="s">
        <v>1936</v>
      </c>
      <c r="J1694" s="16">
        <v>3502.9688000000001</v>
      </c>
      <c r="K1694" s="19">
        <f t="shared" si="130"/>
        <v>334705.85439999995</v>
      </c>
      <c r="L1694" s="22">
        <f t="shared" si="131"/>
        <v>1086.7073194805193</v>
      </c>
      <c r="M1694" s="22">
        <f t="shared" si="132"/>
        <v>96</v>
      </c>
      <c r="N1694" s="22" t="str">
        <f t="shared" si="133"/>
        <v>High Value</v>
      </c>
      <c r="O1694" s="22" t="str">
        <f t="shared" si="134"/>
        <v>Sep-2025</v>
      </c>
      <c r="P1694" s="22" t="s">
        <v>1796</v>
      </c>
      <c r="Q1694" s="22" t="s">
        <v>1560</v>
      </c>
      <c r="R1694" s="22" t="s">
        <v>1221</v>
      </c>
      <c r="S1694" s="22"/>
      <c r="T1694" s="22"/>
    </row>
    <row r="1695" spans="1:20">
      <c r="A1695" t="s">
        <v>3632</v>
      </c>
      <c r="B1695" s="8">
        <v>45353</v>
      </c>
      <c r="C1695" t="s">
        <v>202</v>
      </c>
      <c r="D1695" t="s">
        <v>1719</v>
      </c>
      <c r="E1695" t="s">
        <v>1899</v>
      </c>
      <c r="F1695">
        <v>4</v>
      </c>
      <c r="G1695" s="10">
        <v>73.69</v>
      </c>
      <c r="H1695" s="13">
        <v>0.08</v>
      </c>
      <c r="I1695" t="s">
        <v>1931</v>
      </c>
      <c r="J1695" s="16">
        <v>271.17919999999998</v>
      </c>
      <c r="K1695" s="19">
        <f t="shared" si="130"/>
        <v>331202.88559999998</v>
      </c>
      <c r="L1695" s="22">
        <f t="shared" si="131"/>
        <v>1078.8367609120521</v>
      </c>
      <c r="M1695" s="22">
        <f t="shared" si="132"/>
        <v>96</v>
      </c>
      <c r="N1695" s="22" t="str">
        <f t="shared" si="133"/>
        <v>Low Value</v>
      </c>
      <c r="O1695" s="22" t="str">
        <f t="shared" si="134"/>
        <v>Mar-2024</v>
      </c>
      <c r="P1695" s="22" t="s">
        <v>1720</v>
      </c>
      <c r="Q1695" s="22" t="s">
        <v>1560</v>
      </c>
      <c r="R1695" s="22" t="s">
        <v>203</v>
      </c>
      <c r="S1695" s="22"/>
      <c r="T1695" s="22"/>
    </row>
    <row r="1696" spans="1:20">
      <c r="A1696" t="s">
        <v>3633</v>
      </c>
      <c r="B1696" s="8">
        <v>45490</v>
      </c>
      <c r="C1696" t="s">
        <v>1334</v>
      </c>
      <c r="D1696" t="s">
        <v>1576</v>
      </c>
      <c r="E1696" t="s">
        <v>1886</v>
      </c>
      <c r="F1696">
        <v>3</v>
      </c>
      <c r="G1696" s="10">
        <v>110.99</v>
      </c>
      <c r="H1696" s="13">
        <v>0.21</v>
      </c>
      <c r="I1696" t="s">
        <v>1931</v>
      </c>
      <c r="J1696" s="16">
        <v>263.04629999999997</v>
      </c>
      <c r="K1696" s="19">
        <f t="shared" si="130"/>
        <v>330931.70639999997</v>
      </c>
      <c r="L1696" s="22">
        <f t="shared" si="131"/>
        <v>1081.4761647058822</v>
      </c>
      <c r="M1696" s="22">
        <f t="shared" si="132"/>
        <v>96</v>
      </c>
      <c r="N1696" s="22" t="str">
        <f t="shared" si="133"/>
        <v>Low Value</v>
      </c>
      <c r="O1696" s="22" t="str">
        <f t="shared" si="134"/>
        <v>Jul-2024</v>
      </c>
      <c r="P1696" s="22" t="s">
        <v>1577</v>
      </c>
      <c r="Q1696" s="22" t="s">
        <v>1531</v>
      </c>
      <c r="R1696" s="22" t="s">
        <v>1335</v>
      </c>
      <c r="S1696" s="22"/>
      <c r="T1696" s="22"/>
    </row>
    <row r="1697" spans="1:20">
      <c r="A1697" t="s">
        <v>3634</v>
      </c>
      <c r="B1697" s="8">
        <v>45850</v>
      </c>
      <c r="C1697" t="s">
        <v>298</v>
      </c>
      <c r="D1697" t="s">
        <v>1572</v>
      </c>
      <c r="E1697" t="s">
        <v>1886</v>
      </c>
      <c r="F1697">
        <v>1</v>
      </c>
      <c r="G1697" s="10">
        <v>66.86</v>
      </c>
      <c r="H1697" s="13">
        <v>0.22</v>
      </c>
      <c r="I1697" t="s">
        <v>1936</v>
      </c>
      <c r="J1697" s="16">
        <v>52.150799999999997</v>
      </c>
      <c r="K1697" s="19">
        <f t="shared" si="130"/>
        <v>330668.66009999998</v>
      </c>
      <c r="L1697" s="22">
        <f t="shared" si="131"/>
        <v>1084.1595413114753</v>
      </c>
      <c r="M1697" s="22">
        <f t="shared" si="132"/>
        <v>96</v>
      </c>
      <c r="N1697" s="22" t="str">
        <f t="shared" si="133"/>
        <v>Low Value</v>
      </c>
      <c r="O1697" s="22" t="str">
        <f t="shared" si="134"/>
        <v>Jul-2025</v>
      </c>
      <c r="P1697" s="22" t="s">
        <v>1573</v>
      </c>
      <c r="Q1697" s="22" t="s">
        <v>1560</v>
      </c>
      <c r="R1697" s="22" t="s">
        <v>299</v>
      </c>
      <c r="S1697" s="22"/>
      <c r="T1697" s="22"/>
    </row>
    <row r="1698" spans="1:20">
      <c r="A1698" t="s">
        <v>3635</v>
      </c>
      <c r="B1698" s="8">
        <v>45515</v>
      </c>
      <c r="C1698" t="s">
        <v>1288</v>
      </c>
      <c r="D1698" t="s">
        <v>1755</v>
      </c>
      <c r="E1698" t="s">
        <v>1917</v>
      </c>
      <c r="F1698">
        <v>1</v>
      </c>
      <c r="G1698" s="10">
        <v>980.26</v>
      </c>
      <c r="H1698" s="13">
        <v>0.14000000000000001</v>
      </c>
      <c r="I1698" t="s">
        <v>1933</v>
      </c>
      <c r="J1698" s="16">
        <v>843.02359999999999</v>
      </c>
      <c r="K1698" s="19">
        <f t="shared" si="130"/>
        <v>330616.50929999998</v>
      </c>
      <c r="L1698" s="22">
        <f t="shared" si="131"/>
        <v>1087.5543069078947</v>
      </c>
      <c r="M1698" s="22">
        <f t="shared" si="132"/>
        <v>96</v>
      </c>
      <c r="N1698" s="22" t="str">
        <f t="shared" si="133"/>
        <v>Low Value</v>
      </c>
      <c r="O1698" s="22" t="str">
        <f t="shared" si="134"/>
        <v>Aug-2024</v>
      </c>
      <c r="P1698" s="22" t="s">
        <v>1756</v>
      </c>
      <c r="Q1698" s="22" t="s">
        <v>1531</v>
      </c>
      <c r="R1698" s="22" t="s">
        <v>1289</v>
      </c>
      <c r="S1698" s="22"/>
      <c r="T1698" s="22"/>
    </row>
    <row r="1699" spans="1:20">
      <c r="A1699" t="s">
        <v>3636</v>
      </c>
      <c r="B1699" s="8">
        <v>45322</v>
      </c>
      <c r="C1699" t="s">
        <v>146</v>
      </c>
      <c r="D1699" t="s">
        <v>1600</v>
      </c>
      <c r="E1699" t="s">
        <v>1917</v>
      </c>
      <c r="F1699">
        <v>1</v>
      </c>
      <c r="G1699" s="10">
        <v>235.28</v>
      </c>
      <c r="H1699" s="13">
        <v>0.05</v>
      </c>
      <c r="I1699" t="s">
        <v>1933</v>
      </c>
      <c r="J1699" s="16">
        <v>223.51599999999999</v>
      </c>
      <c r="K1699" s="19">
        <f t="shared" si="130"/>
        <v>329773.48569999996</v>
      </c>
      <c r="L1699" s="22">
        <f t="shared" si="131"/>
        <v>1088.3613389438942</v>
      </c>
      <c r="M1699" s="22">
        <f t="shared" si="132"/>
        <v>95</v>
      </c>
      <c r="N1699" s="22" t="str">
        <f t="shared" si="133"/>
        <v>Low Value</v>
      </c>
      <c r="O1699" s="22" t="str">
        <f t="shared" si="134"/>
        <v>Jan-2024</v>
      </c>
      <c r="P1699" s="22" t="s">
        <v>1601</v>
      </c>
      <c r="Q1699" s="22" t="s">
        <v>1536</v>
      </c>
      <c r="R1699" s="22" t="s">
        <v>147</v>
      </c>
      <c r="S1699" s="22"/>
      <c r="T1699" s="22"/>
    </row>
    <row r="1700" spans="1:20">
      <c r="A1700" t="s">
        <v>3637</v>
      </c>
      <c r="B1700" s="8">
        <v>45542</v>
      </c>
      <c r="C1700" t="s">
        <v>1285</v>
      </c>
      <c r="D1700" t="s">
        <v>1529</v>
      </c>
      <c r="E1700" t="s">
        <v>1908</v>
      </c>
      <c r="F1700">
        <v>3</v>
      </c>
      <c r="G1700" s="10">
        <v>407.39</v>
      </c>
      <c r="H1700" s="13">
        <v>0.08</v>
      </c>
      <c r="I1700" t="s">
        <v>1933</v>
      </c>
      <c r="J1700" s="16">
        <v>1124.3964000000001</v>
      </c>
      <c r="K1700" s="19">
        <f t="shared" si="130"/>
        <v>329549.96969999996</v>
      </c>
      <c r="L1700" s="22">
        <f t="shared" si="131"/>
        <v>1091.225065231788</v>
      </c>
      <c r="M1700" s="22">
        <f t="shared" si="132"/>
        <v>94</v>
      </c>
      <c r="N1700" s="22" t="str">
        <f t="shared" si="133"/>
        <v>High Value</v>
      </c>
      <c r="O1700" s="22" t="str">
        <f t="shared" si="134"/>
        <v>Sep-2024</v>
      </c>
      <c r="P1700" s="22" t="s">
        <v>1530</v>
      </c>
      <c r="Q1700" s="22" t="s">
        <v>1531</v>
      </c>
      <c r="R1700" s="22" t="s">
        <v>1286</v>
      </c>
      <c r="S1700" s="22"/>
      <c r="T1700" s="22"/>
    </row>
    <row r="1701" spans="1:20">
      <c r="A1701" t="s">
        <v>3638</v>
      </c>
      <c r="B1701" s="8">
        <v>45675</v>
      </c>
      <c r="C1701" t="s">
        <v>248</v>
      </c>
      <c r="D1701" t="s">
        <v>1630</v>
      </c>
      <c r="E1701" t="s">
        <v>1906</v>
      </c>
      <c r="F1701">
        <v>4</v>
      </c>
      <c r="G1701" s="10">
        <v>459.83</v>
      </c>
      <c r="H1701" s="13">
        <v>0.12</v>
      </c>
      <c r="I1701" t="s">
        <v>1936</v>
      </c>
      <c r="J1701" s="16">
        <v>1618.6016</v>
      </c>
      <c r="K1701" s="19">
        <f t="shared" si="130"/>
        <v>328425.57329999999</v>
      </c>
      <c r="L1701" s="22">
        <f t="shared" si="131"/>
        <v>1091.1148614617939</v>
      </c>
      <c r="M1701" s="22">
        <f t="shared" si="132"/>
        <v>93</v>
      </c>
      <c r="N1701" s="22" t="str">
        <f t="shared" si="133"/>
        <v>High Value</v>
      </c>
      <c r="O1701" s="22" t="str">
        <f t="shared" si="134"/>
        <v>Jan-2025</v>
      </c>
      <c r="P1701" s="22" t="s">
        <v>1631</v>
      </c>
      <c r="Q1701" s="22" t="s">
        <v>1560</v>
      </c>
      <c r="R1701" s="22" t="s">
        <v>249</v>
      </c>
      <c r="S1701" s="22"/>
      <c r="T1701" s="22"/>
    </row>
    <row r="1702" spans="1:20">
      <c r="A1702" t="s">
        <v>3639</v>
      </c>
      <c r="B1702" s="8">
        <v>45333</v>
      </c>
      <c r="C1702" t="s">
        <v>494</v>
      </c>
      <c r="D1702" t="s">
        <v>1834</v>
      </c>
      <c r="E1702" t="s">
        <v>1876</v>
      </c>
      <c r="F1702">
        <v>3</v>
      </c>
      <c r="G1702" s="10">
        <v>706.6</v>
      </c>
      <c r="H1702" s="13">
        <v>0.17</v>
      </c>
      <c r="I1702" t="s">
        <v>1933</v>
      </c>
      <c r="J1702" s="16">
        <v>1759.434</v>
      </c>
      <c r="K1702" s="19">
        <f t="shared" si="130"/>
        <v>326806.97169999999</v>
      </c>
      <c r="L1702" s="22">
        <f t="shared" si="131"/>
        <v>1089.3565723333334</v>
      </c>
      <c r="M1702" s="22">
        <f t="shared" si="132"/>
        <v>93</v>
      </c>
      <c r="N1702" s="22" t="str">
        <f t="shared" si="133"/>
        <v>High Value</v>
      </c>
      <c r="O1702" s="22" t="str">
        <f t="shared" si="134"/>
        <v>Feb-2024</v>
      </c>
      <c r="P1702" s="22" t="s">
        <v>1835</v>
      </c>
      <c r="Q1702" s="22" t="s">
        <v>1531</v>
      </c>
      <c r="R1702" s="22" t="s">
        <v>495</v>
      </c>
      <c r="S1702" s="22"/>
      <c r="T1702" s="22"/>
    </row>
    <row r="1703" spans="1:20">
      <c r="A1703" t="s">
        <v>3640</v>
      </c>
      <c r="B1703" s="8">
        <v>45819</v>
      </c>
      <c r="C1703" t="s">
        <v>1416</v>
      </c>
      <c r="D1703" t="s">
        <v>1828</v>
      </c>
      <c r="E1703" t="s">
        <v>1920</v>
      </c>
      <c r="F1703">
        <v>3</v>
      </c>
      <c r="G1703" s="10">
        <v>811.16</v>
      </c>
      <c r="H1703" s="13">
        <v>0.1</v>
      </c>
      <c r="I1703" t="s">
        <v>1936</v>
      </c>
      <c r="J1703" s="16">
        <v>2190.1320000000001</v>
      </c>
      <c r="K1703" s="19">
        <f t="shared" si="130"/>
        <v>325047.53770000004</v>
      </c>
      <c r="L1703" s="22">
        <f t="shared" si="131"/>
        <v>1087.1155107023412</v>
      </c>
      <c r="M1703" s="22">
        <f t="shared" si="132"/>
        <v>92</v>
      </c>
      <c r="N1703" s="22" t="str">
        <f t="shared" si="133"/>
        <v>High Value</v>
      </c>
      <c r="O1703" s="22" t="str">
        <f t="shared" si="134"/>
        <v>Jun-2025</v>
      </c>
      <c r="P1703" s="22" t="s">
        <v>1829</v>
      </c>
      <c r="Q1703" s="22" t="s">
        <v>1536</v>
      </c>
      <c r="R1703" s="22" t="s">
        <v>1417</v>
      </c>
      <c r="S1703" s="22"/>
      <c r="T1703" s="22"/>
    </row>
    <row r="1704" spans="1:20">
      <c r="A1704" t="s">
        <v>3641</v>
      </c>
      <c r="B1704" s="8">
        <v>45268</v>
      </c>
      <c r="C1704" t="s">
        <v>703</v>
      </c>
      <c r="D1704" t="s">
        <v>1661</v>
      </c>
      <c r="E1704" t="s">
        <v>1886</v>
      </c>
      <c r="F1704">
        <v>2</v>
      </c>
      <c r="G1704" s="10">
        <v>985.79</v>
      </c>
      <c r="H1704" s="13">
        <v>0.04</v>
      </c>
      <c r="I1704" t="s">
        <v>1933</v>
      </c>
      <c r="J1704" s="16">
        <v>1892.7167999999999</v>
      </c>
      <c r="K1704" s="19">
        <f t="shared" si="130"/>
        <v>322857.4057</v>
      </c>
      <c r="L1704" s="22">
        <f t="shared" si="131"/>
        <v>1083.4141130872483</v>
      </c>
      <c r="M1704" s="22">
        <f t="shared" si="132"/>
        <v>92</v>
      </c>
      <c r="N1704" s="22" t="str">
        <f t="shared" si="133"/>
        <v>High Value</v>
      </c>
      <c r="O1704" s="22" t="str">
        <f t="shared" si="134"/>
        <v>Dec-2023</v>
      </c>
      <c r="P1704" s="22" t="s">
        <v>1662</v>
      </c>
      <c r="Q1704" s="22" t="s">
        <v>1536</v>
      </c>
      <c r="R1704" s="22" t="s">
        <v>704</v>
      </c>
      <c r="S1704" s="22"/>
      <c r="T1704" s="22"/>
    </row>
    <row r="1705" spans="1:20">
      <c r="A1705" t="s">
        <v>3642</v>
      </c>
      <c r="B1705" s="8">
        <v>45521</v>
      </c>
      <c r="C1705" t="s">
        <v>614</v>
      </c>
      <c r="D1705" t="s">
        <v>1649</v>
      </c>
      <c r="E1705" t="s">
        <v>1906</v>
      </c>
      <c r="F1705">
        <v>1</v>
      </c>
      <c r="G1705" s="10">
        <v>255.02</v>
      </c>
      <c r="H1705" s="13">
        <v>0.3</v>
      </c>
      <c r="I1705" t="s">
        <v>1931</v>
      </c>
      <c r="J1705" s="16">
        <v>178.51400000000001</v>
      </c>
      <c r="K1705" s="19">
        <f t="shared" si="130"/>
        <v>320964.68890000001</v>
      </c>
      <c r="L1705" s="22">
        <f t="shared" si="131"/>
        <v>1080.6891882154882</v>
      </c>
      <c r="M1705" s="22">
        <f t="shared" si="132"/>
        <v>91</v>
      </c>
      <c r="N1705" s="22" t="str">
        <f t="shared" si="133"/>
        <v>Low Value</v>
      </c>
      <c r="O1705" s="22" t="str">
        <f t="shared" si="134"/>
        <v>Aug-2024</v>
      </c>
      <c r="P1705" s="22" t="s">
        <v>1650</v>
      </c>
      <c r="Q1705" s="22" t="s">
        <v>1560</v>
      </c>
      <c r="R1705" s="22" t="s">
        <v>615</v>
      </c>
      <c r="S1705" s="22"/>
      <c r="T1705" s="22"/>
    </row>
    <row r="1706" spans="1:20">
      <c r="A1706" t="s">
        <v>3643</v>
      </c>
      <c r="B1706" s="8">
        <v>45693</v>
      </c>
      <c r="C1706" t="s">
        <v>336</v>
      </c>
      <c r="D1706" t="s">
        <v>1603</v>
      </c>
      <c r="E1706" t="s">
        <v>1889</v>
      </c>
      <c r="F1706">
        <v>1</v>
      </c>
      <c r="G1706" s="10">
        <v>153.57</v>
      </c>
      <c r="H1706" s="13">
        <v>0.01</v>
      </c>
      <c r="I1706" t="s">
        <v>1933</v>
      </c>
      <c r="J1706" s="16">
        <v>152.0343</v>
      </c>
      <c r="K1706" s="19">
        <f t="shared" si="130"/>
        <v>320786.17489999998</v>
      </c>
      <c r="L1706" s="22">
        <f t="shared" si="131"/>
        <v>1083.7370773648647</v>
      </c>
      <c r="M1706" s="22">
        <f t="shared" si="132"/>
        <v>91</v>
      </c>
      <c r="N1706" s="22" t="str">
        <f t="shared" si="133"/>
        <v>Low Value</v>
      </c>
      <c r="O1706" s="22" t="str">
        <f t="shared" si="134"/>
        <v>Feb-2025</v>
      </c>
      <c r="P1706" s="22" t="s">
        <v>1604</v>
      </c>
      <c r="Q1706" s="22" t="s">
        <v>1569</v>
      </c>
      <c r="R1706" s="22" t="s">
        <v>337</v>
      </c>
      <c r="S1706" s="22"/>
      <c r="T1706" s="22"/>
    </row>
    <row r="1707" spans="1:20">
      <c r="A1707" t="s">
        <v>3644</v>
      </c>
      <c r="B1707" s="8">
        <v>45734</v>
      </c>
      <c r="C1707" t="s">
        <v>810</v>
      </c>
      <c r="D1707" t="s">
        <v>1681</v>
      </c>
      <c r="E1707" t="s">
        <v>1917</v>
      </c>
      <c r="F1707">
        <v>3</v>
      </c>
      <c r="G1707" s="10">
        <v>962.98</v>
      </c>
      <c r="H1707" s="13">
        <v>0.21</v>
      </c>
      <c r="I1707" t="s">
        <v>1931</v>
      </c>
      <c r="J1707" s="16">
        <v>2282.2626</v>
      </c>
      <c r="K1707" s="19">
        <f t="shared" si="130"/>
        <v>320634.14059999998</v>
      </c>
      <c r="L1707" s="22">
        <f t="shared" si="131"/>
        <v>1086.8953918644067</v>
      </c>
      <c r="M1707" s="22">
        <f t="shared" si="132"/>
        <v>90</v>
      </c>
      <c r="N1707" s="22" t="str">
        <f t="shared" si="133"/>
        <v>High Value</v>
      </c>
      <c r="O1707" s="22" t="str">
        <f t="shared" si="134"/>
        <v>Mar-2025</v>
      </c>
      <c r="P1707" s="22" t="s">
        <v>1682</v>
      </c>
      <c r="Q1707" s="22" t="s">
        <v>1531</v>
      </c>
      <c r="R1707" s="22" t="s">
        <v>3949</v>
      </c>
      <c r="S1707" s="22"/>
      <c r="T1707" s="22"/>
    </row>
    <row r="1708" spans="1:20">
      <c r="A1708" t="s">
        <v>3645</v>
      </c>
      <c r="B1708" s="8">
        <v>45377</v>
      </c>
      <c r="C1708" t="s">
        <v>211</v>
      </c>
      <c r="D1708" t="s">
        <v>1684</v>
      </c>
      <c r="E1708" t="s">
        <v>1889</v>
      </c>
      <c r="F1708">
        <v>3</v>
      </c>
      <c r="G1708" s="10">
        <v>884.46</v>
      </c>
      <c r="H1708" s="13">
        <v>0.25</v>
      </c>
      <c r="I1708" t="s">
        <v>1931</v>
      </c>
      <c r="J1708" s="16">
        <v>1990.0350000000001</v>
      </c>
      <c r="K1708" s="19">
        <f t="shared" si="130"/>
        <v>318351.87799999997</v>
      </c>
      <c r="L1708" s="22">
        <f t="shared" si="131"/>
        <v>1082.8295170068027</v>
      </c>
      <c r="M1708" s="22">
        <f t="shared" si="132"/>
        <v>90</v>
      </c>
      <c r="N1708" s="22" t="str">
        <f t="shared" si="133"/>
        <v>High Value</v>
      </c>
      <c r="O1708" s="22" t="str">
        <f t="shared" si="134"/>
        <v>Mar-2024</v>
      </c>
      <c r="P1708" s="22" t="s">
        <v>1685</v>
      </c>
      <c r="Q1708" s="22" t="s">
        <v>1569</v>
      </c>
      <c r="R1708" s="22" t="s">
        <v>212</v>
      </c>
      <c r="S1708" s="22"/>
      <c r="T1708" s="22"/>
    </row>
    <row r="1709" spans="1:20">
      <c r="A1709" t="s">
        <v>3646</v>
      </c>
      <c r="B1709" s="8">
        <v>45778</v>
      </c>
      <c r="C1709" t="s">
        <v>1346</v>
      </c>
      <c r="D1709" t="s">
        <v>1755</v>
      </c>
      <c r="E1709" t="s">
        <v>1896</v>
      </c>
      <c r="F1709">
        <v>4</v>
      </c>
      <c r="G1709" s="10">
        <v>359.71</v>
      </c>
      <c r="H1709" s="13">
        <v>0.05</v>
      </c>
      <c r="I1709" t="s">
        <v>1933</v>
      </c>
      <c r="J1709" s="16">
        <v>1366.8979999999999</v>
      </c>
      <c r="K1709" s="19">
        <f t="shared" si="130"/>
        <v>316361.84299999994</v>
      </c>
      <c r="L1709" s="22">
        <f t="shared" si="131"/>
        <v>1079.7332525597267</v>
      </c>
      <c r="M1709" s="22">
        <f t="shared" si="132"/>
        <v>90</v>
      </c>
      <c r="N1709" s="22" t="str">
        <f t="shared" si="133"/>
        <v>High Value</v>
      </c>
      <c r="O1709" s="22" t="str">
        <f t="shared" si="134"/>
        <v>May-2025</v>
      </c>
      <c r="P1709" s="22" t="s">
        <v>1756</v>
      </c>
      <c r="Q1709" s="22" t="s">
        <v>1531</v>
      </c>
      <c r="R1709" s="22" t="s">
        <v>1347</v>
      </c>
      <c r="S1709" s="22"/>
      <c r="T1709" s="22"/>
    </row>
    <row r="1710" spans="1:20">
      <c r="A1710" t="s">
        <v>3647</v>
      </c>
      <c r="B1710" s="8">
        <v>45715</v>
      </c>
      <c r="C1710" t="s">
        <v>192</v>
      </c>
      <c r="D1710" t="s">
        <v>1704</v>
      </c>
      <c r="E1710" t="s">
        <v>1876</v>
      </c>
      <c r="F1710">
        <v>3</v>
      </c>
      <c r="G1710" s="10">
        <v>766.47</v>
      </c>
      <c r="H1710" s="13">
        <v>0.18</v>
      </c>
      <c r="I1710" t="s">
        <v>1931</v>
      </c>
      <c r="J1710" s="16">
        <v>1885.5162</v>
      </c>
      <c r="K1710" s="19">
        <f t="shared" si="130"/>
        <v>314994.94499999995</v>
      </c>
      <c r="L1710" s="22">
        <f t="shared" si="131"/>
        <v>1078.7498116438355</v>
      </c>
      <c r="M1710" s="22">
        <f t="shared" si="132"/>
        <v>89</v>
      </c>
      <c r="N1710" s="22" t="str">
        <f t="shared" si="133"/>
        <v>High Value</v>
      </c>
      <c r="O1710" s="22" t="str">
        <f t="shared" si="134"/>
        <v>Feb-2025</v>
      </c>
      <c r="P1710" s="22" t="s">
        <v>1705</v>
      </c>
      <c r="Q1710" s="22" t="s">
        <v>1569</v>
      </c>
      <c r="R1710" s="22" t="s">
        <v>193</v>
      </c>
      <c r="S1710" s="22"/>
      <c r="T1710" s="22"/>
    </row>
    <row r="1711" spans="1:20">
      <c r="A1711" t="s">
        <v>3648</v>
      </c>
      <c r="B1711" s="8">
        <v>45492</v>
      </c>
      <c r="C1711" t="s">
        <v>722</v>
      </c>
      <c r="D1711" t="s">
        <v>1722</v>
      </c>
      <c r="E1711" t="s">
        <v>1917</v>
      </c>
      <c r="F1711">
        <v>1</v>
      </c>
      <c r="G1711" s="10">
        <v>772.07</v>
      </c>
      <c r="H1711" s="13">
        <v>0.26</v>
      </c>
      <c r="I1711" t="s">
        <v>1933</v>
      </c>
      <c r="J1711" s="16">
        <v>571.33180000000004</v>
      </c>
      <c r="K1711" s="19">
        <f t="shared" si="130"/>
        <v>313109.42879999999</v>
      </c>
      <c r="L1711" s="22">
        <f t="shared" si="131"/>
        <v>1075.977418556701</v>
      </c>
      <c r="M1711" s="22">
        <f t="shared" si="132"/>
        <v>89</v>
      </c>
      <c r="N1711" s="22" t="str">
        <f t="shared" si="133"/>
        <v>Low Value</v>
      </c>
      <c r="O1711" s="22" t="str">
        <f t="shared" si="134"/>
        <v>Jul-2024</v>
      </c>
      <c r="P1711" s="22" t="s">
        <v>1723</v>
      </c>
      <c r="Q1711" s="22" t="s">
        <v>1560</v>
      </c>
      <c r="R1711" s="22" t="s">
        <v>723</v>
      </c>
      <c r="S1711" s="22"/>
      <c r="T1711" s="22"/>
    </row>
    <row r="1712" spans="1:20">
      <c r="A1712" t="s">
        <v>3649</v>
      </c>
      <c r="B1712" s="8">
        <v>45292</v>
      </c>
      <c r="C1712" t="s">
        <v>880</v>
      </c>
      <c r="D1712" t="s">
        <v>1603</v>
      </c>
      <c r="E1712" t="s">
        <v>1880</v>
      </c>
      <c r="F1712">
        <v>3</v>
      </c>
      <c r="G1712" s="10">
        <v>108.31</v>
      </c>
      <c r="H1712" s="13">
        <v>0.26</v>
      </c>
      <c r="I1712" t="s">
        <v>1936</v>
      </c>
      <c r="J1712" s="16">
        <v>240.44820000000001</v>
      </c>
      <c r="K1712" s="19">
        <f t="shared" si="130"/>
        <v>312538.09699999995</v>
      </c>
      <c r="L1712" s="22">
        <f t="shared" si="131"/>
        <v>1077.7175758620688</v>
      </c>
      <c r="M1712" s="22">
        <f t="shared" si="132"/>
        <v>88</v>
      </c>
      <c r="N1712" s="22" t="str">
        <f t="shared" si="133"/>
        <v>Low Value</v>
      </c>
      <c r="O1712" s="22" t="str">
        <f t="shared" si="134"/>
        <v>Jan-2024</v>
      </c>
      <c r="P1712" s="22" t="s">
        <v>1604</v>
      </c>
      <c r="Q1712" s="22" t="s">
        <v>1569</v>
      </c>
      <c r="R1712" s="22" t="s">
        <v>881</v>
      </c>
      <c r="S1712" s="22"/>
      <c r="T1712" s="22"/>
    </row>
    <row r="1713" spans="1:20">
      <c r="A1713" t="s">
        <v>3650</v>
      </c>
      <c r="B1713" s="8">
        <v>45316</v>
      </c>
      <c r="C1713" t="s">
        <v>706</v>
      </c>
      <c r="D1713" t="s">
        <v>1792</v>
      </c>
      <c r="E1713" t="s">
        <v>1883</v>
      </c>
      <c r="F1713">
        <v>1</v>
      </c>
      <c r="G1713" s="10">
        <v>502.53</v>
      </c>
      <c r="H1713" s="13">
        <v>0</v>
      </c>
      <c r="I1713" t="s">
        <v>1933</v>
      </c>
      <c r="J1713" s="16">
        <v>502.53</v>
      </c>
      <c r="K1713" s="19">
        <f t="shared" si="130"/>
        <v>312297.64879999997</v>
      </c>
      <c r="L1713" s="22">
        <f t="shared" si="131"/>
        <v>1080.6147017301037</v>
      </c>
      <c r="M1713" s="22">
        <f t="shared" si="132"/>
        <v>88</v>
      </c>
      <c r="N1713" s="22" t="str">
        <f t="shared" si="133"/>
        <v>Low Value</v>
      </c>
      <c r="O1713" s="22" t="str">
        <f t="shared" si="134"/>
        <v>Jan-2024</v>
      </c>
      <c r="P1713" s="22" t="s">
        <v>1793</v>
      </c>
      <c r="Q1713" s="22" t="s">
        <v>1560</v>
      </c>
      <c r="R1713" s="22" t="s">
        <v>707</v>
      </c>
      <c r="S1713" s="22"/>
      <c r="T1713" s="22"/>
    </row>
    <row r="1714" spans="1:20">
      <c r="A1714" t="s">
        <v>3651</v>
      </c>
      <c r="B1714" s="8">
        <v>45548</v>
      </c>
      <c r="C1714" t="s">
        <v>275</v>
      </c>
      <c r="D1714" t="s">
        <v>1534</v>
      </c>
      <c r="E1714" t="s">
        <v>1911</v>
      </c>
      <c r="F1714">
        <v>2</v>
      </c>
      <c r="G1714" s="10">
        <v>508.52</v>
      </c>
      <c r="H1714" s="13">
        <v>0.11</v>
      </c>
      <c r="I1714" t="s">
        <v>1936</v>
      </c>
      <c r="J1714" s="16">
        <v>905.16559999999993</v>
      </c>
      <c r="K1714" s="19">
        <f t="shared" si="130"/>
        <v>311795.11879999994</v>
      </c>
      <c r="L1714" s="22">
        <f t="shared" si="131"/>
        <v>1082.6219402777776</v>
      </c>
      <c r="M1714" s="22">
        <f t="shared" si="132"/>
        <v>87</v>
      </c>
      <c r="N1714" s="22" t="str">
        <f t="shared" si="133"/>
        <v>Low Value</v>
      </c>
      <c r="O1714" s="22" t="str">
        <f t="shared" si="134"/>
        <v>Sep-2024</v>
      </c>
      <c r="P1714" s="22" t="s">
        <v>1535</v>
      </c>
      <c r="Q1714" s="22" t="s">
        <v>1536</v>
      </c>
      <c r="R1714" s="22" t="s">
        <v>276</v>
      </c>
      <c r="S1714" s="22"/>
      <c r="T1714" s="22"/>
    </row>
    <row r="1715" spans="1:20">
      <c r="A1715" t="s">
        <v>3652</v>
      </c>
      <c r="B1715" s="8">
        <v>45572</v>
      </c>
      <c r="C1715" t="s">
        <v>1433</v>
      </c>
      <c r="D1715" t="s">
        <v>1777</v>
      </c>
      <c r="E1715" t="s">
        <v>1873</v>
      </c>
      <c r="F1715">
        <v>1</v>
      </c>
      <c r="G1715" s="10">
        <v>492</v>
      </c>
      <c r="H1715" s="13">
        <v>0.26</v>
      </c>
      <c r="I1715" t="s">
        <v>1933</v>
      </c>
      <c r="J1715" s="16">
        <v>364.08</v>
      </c>
      <c r="K1715" s="19">
        <f t="shared" si="130"/>
        <v>310889.95319999999</v>
      </c>
      <c r="L1715" s="22">
        <f t="shared" si="131"/>
        <v>1083.2402550522647</v>
      </c>
      <c r="M1715" s="22">
        <f t="shared" si="132"/>
        <v>87</v>
      </c>
      <c r="N1715" s="22" t="str">
        <f t="shared" si="133"/>
        <v>Low Value</v>
      </c>
      <c r="O1715" s="22" t="str">
        <f t="shared" si="134"/>
        <v>Oct-2024</v>
      </c>
      <c r="P1715" s="22" t="s">
        <v>1778</v>
      </c>
      <c r="Q1715" s="22" t="s">
        <v>1531</v>
      </c>
      <c r="R1715" s="22" t="s">
        <v>1434</v>
      </c>
      <c r="S1715" s="22"/>
      <c r="T1715" s="22"/>
    </row>
    <row r="1716" spans="1:20">
      <c r="A1716" t="s">
        <v>3653</v>
      </c>
      <c r="B1716" s="8">
        <v>45347</v>
      </c>
      <c r="C1716" t="s">
        <v>1481</v>
      </c>
      <c r="D1716" t="s">
        <v>1661</v>
      </c>
      <c r="E1716" t="s">
        <v>1906</v>
      </c>
      <c r="F1716">
        <v>4</v>
      </c>
      <c r="G1716" s="10">
        <v>746.36</v>
      </c>
      <c r="H1716" s="13">
        <v>0.02</v>
      </c>
      <c r="I1716" t="s">
        <v>1931</v>
      </c>
      <c r="J1716" s="16">
        <v>2925.7312000000002</v>
      </c>
      <c r="K1716" s="19">
        <f t="shared" si="130"/>
        <v>310525.87319999997</v>
      </c>
      <c r="L1716" s="22">
        <f t="shared" si="131"/>
        <v>1085.7548013986013</v>
      </c>
      <c r="M1716" s="22">
        <f t="shared" si="132"/>
        <v>86</v>
      </c>
      <c r="N1716" s="22" t="str">
        <f t="shared" si="133"/>
        <v>High Value</v>
      </c>
      <c r="O1716" s="22" t="str">
        <f t="shared" si="134"/>
        <v>Feb-2024</v>
      </c>
      <c r="P1716" s="22" t="s">
        <v>1662</v>
      </c>
      <c r="Q1716" s="22" t="s">
        <v>1536</v>
      </c>
      <c r="R1716" s="22" t="s">
        <v>1482</v>
      </c>
      <c r="S1716" s="22"/>
      <c r="T1716" s="22"/>
    </row>
    <row r="1717" spans="1:20">
      <c r="A1717" t="s">
        <v>3654</v>
      </c>
      <c r="B1717" s="8">
        <v>45823</v>
      </c>
      <c r="C1717" t="s">
        <v>1334</v>
      </c>
      <c r="D1717" t="s">
        <v>1579</v>
      </c>
      <c r="E1717" t="s">
        <v>1864</v>
      </c>
      <c r="F1717">
        <v>1</v>
      </c>
      <c r="G1717" s="10">
        <v>120.83</v>
      </c>
      <c r="H1717" s="13">
        <v>0.08</v>
      </c>
      <c r="I1717" t="s">
        <v>1931</v>
      </c>
      <c r="J1717" s="16">
        <v>111.1636</v>
      </c>
      <c r="K1717" s="19">
        <f t="shared" si="130"/>
        <v>307600.14200000005</v>
      </c>
      <c r="L1717" s="22">
        <f t="shared" si="131"/>
        <v>1079.2987438596492</v>
      </c>
      <c r="M1717" s="22">
        <f t="shared" si="132"/>
        <v>86</v>
      </c>
      <c r="N1717" s="22" t="str">
        <f t="shared" si="133"/>
        <v>Low Value</v>
      </c>
      <c r="O1717" s="22" t="str">
        <f t="shared" si="134"/>
        <v>Jun-2025</v>
      </c>
      <c r="P1717" s="22" t="s">
        <v>1580</v>
      </c>
      <c r="Q1717" s="22" t="s">
        <v>1555</v>
      </c>
      <c r="R1717" s="22" t="s">
        <v>1335</v>
      </c>
      <c r="S1717" s="22"/>
      <c r="T1717" s="22"/>
    </row>
    <row r="1718" spans="1:20">
      <c r="A1718" t="s">
        <v>3655</v>
      </c>
      <c r="B1718" s="8">
        <v>45394</v>
      </c>
      <c r="C1718" t="s">
        <v>1236</v>
      </c>
      <c r="D1718" t="s">
        <v>1786</v>
      </c>
      <c r="E1718" t="s">
        <v>1917</v>
      </c>
      <c r="F1718">
        <v>2</v>
      </c>
      <c r="G1718" s="10">
        <v>68.31</v>
      </c>
      <c r="H1718" s="13">
        <v>0.28999999999999998</v>
      </c>
      <c r="I1718" t="s">
        <v>1936</v>
      </c>
      <c r="J1718" s="16">
        <v>97.000199999999992</v>
      </c>
      <c r="K1718" s="19">
        <f t="shared" si="130"/>
        <v>307488.97840000002</v>
      </c>
      <c r="L1718" s="22">
        <f t="shared" si="131"/>
        <v>1082.7076704225353</v>
      </c>
      <c r="M1718" s="22">
        <f t="shared" si="132"/>
        <v>86</v>
      </c>
      <c r="N1718" s="22" t="str">
        <f t="shared" si="133"/>
        <v>Low Value</v>
      </c>
      <c r="O1718" s="22" t="str">
        <f t="shared" si="134"/>
        <v>Apr-2024</v>
      </c>
      <c r="P1718" s="22" t="s">
        <v>1787</v>
      </c>
      <c r="Q1718" s="22" t="s">
        <v>1531</v>
      </c>
      <c r="R1718" s="22" t="s">
        <v>1237</v>
      </c>
      <c r="S1718" s="22"/>
      <c r="T1718" s="22"/>
    </row>
    <row r="1719" spans="1:20">
      <c r="A1719" t="s">
        <v>3656</v>
      </c>
      <c r="B1719" s="8">
        <v>45265</v>
      </c>
      <c r="C1719" t="s">
        <v>227</v>
      </c>
      <c r="D1719" t="s">
        <v>1614</v>
      </c>
      <c r="E1719" t="s">
        <v>1917</v>
      </c>
      <c r="F1719">
        <v>2</v>
      </c>
      <c r="G1719" s="10">
        <v>761.71</v>
      </c>
      <c r="H1719" s="13">
        <v>0.02</v>
      </c>
      <c r="I1719" t="s">
        <v>1933</v>
      </c>
      <c r="J1719" s="16">
        <v>1492.9516000000001</v>
      </c>
      <c r="K1719" s="19">
        <f t="shared" si="130"/>
        <v>307391.97820000001</v>
      </c>
      <c r="L1719" s="22">
        <f t="shared" si="131"/>
        <v>1086.1907356890461</v>
      </c>
      <c r="M1719" s="22">
        <f t="shared" si="132"/>
        <v>86</v>
      </c>
      <c r="N1719" s="22" t="str">
        <f t="shared" si="133"/>
        <v>High Value</v>
      </c>
      <c r="O1719" s="22" t="str">
        <f t="shared" si="134"/>
        <v>Dec-2023</v>
      </c>
      <c r="P1719" s="22" t="s">
        <v>1615</v>
      </c>
      <c r="Q1719" s="22" t="s">
        <v>1569</v>
      </c>
      <c r="R1719" s="22" t="s">
        <v>228</v>
      </c>
      <c r="S1719" s="22"/>
      <c r="T1719" s="22"/>
    </row>
    <row r="1720" spans="1:20">
      <c r="A1720" t="s">
        <v>3657</v>
      </c>
      <c r="B1720" s="8">
        <v>45261</v>
      </c>
      <c r="C1720" t="s">
        <v>241</v>
      </c>
      <c r="D1720" t="s">
        <v>1789</v>
      </c>
      <c r="E1720" t="s">
        <v>1873</v>
      </c>
      <c r="F1720">
        <v>4</v>
      </c>
      <c r="G1720" s="10">
        <v>346.37</v>
      </c>
      <c r="H1720" s="13">
        <v>0.18</v>
      </c>
      <c r="I1720" t="s">
        <v>1936</v>
      </c>
      <c r="J1720" s="16">
        <v>1136.0935999999999</v>
      </c>
      <c r="K1720" s="19">
        <f t="shared" si="130"/>
        <v>305899.02659999998</v>
      </c>
      <c r="L1720" s="22">
        <f t="shared" si="131"/>
        <v>1084.7483212765958</v>
      </c>
      <c r="M1720" s="22">
        <f t="shared" si="132"/>
        <v>85</v>
      </c>
      <c r="N1720" s="22" t="str">
        <f t="shared" si="133"/>
        <v>High Value</v>
      </c>
      <c r="O1720" s="22" t="str">
        <f t="shared" si="134"/>
        <v>Dec-2023</v>
      </c>
      <c r="P1720" s="22" t="s">
        <v>1790</v>
      </c>
      <c r="Q1720" s="22" t="s">
        <v>1560</v>
      </c>
      <c r="R1720" s="22" t="s">
        <v>242</v>
      </c>
      <c r="S1720" s="22"/>
      <c r="T1720" s="22"/>
    </row>
    <row r="1721" spans="1:20">
      <c r="A1721" t="s">
        <v>3658</v>
      </c>
      <c r="B1721" s="8">
        <v>45702</v>
      </c>
      <c r="C1721" t="s">
        <v>39</v>
      </c>
      <c r="D1721" t="s">
        <v>1719</v>
      </c>
      <c r="E1721" t="s">
        <v>1901</v>
      </c>
      <c r="F1721">
        <v>1</v>
      </c>
      <c r="G1721" s="10">
        <v>846.3</v>
      </c>
      <c r="H1721" s="13">
        <v>0.14000000000000001</v>
      </c>
      <c r="I1721" t="s">
        <v>1933</v>
      </c>
      <c r="J1721" s="16">
        <v>727.81799999999998</v>
      </c>
      <c r="K1721" s="19">
        <f t="shared" si="130"/>
        <v>304762.93300000002</v>
      </c>
      <c r="L1721" s="22">
        <f t="shared" si="131"/>
        <v>1084.5655978647687</v>
      </c>
      <c r="M1721" s="22">
        <f t="shared" si="132"/>
        <v>85</v>
      </c>
      <c r="N1721" s="22" t="str">
        <f t="shared" si="133"/>
        <v>Low Value</v>
      </c>
      <c r="O1721" s="22" t="str">
        <f t="shared" si="134"/>
        <v>Feb-2025</v>
      </c>
      <c r="P1721" s="22" t="s">
        <v>1720</v>
      </c>
      <c r="Q1721" s="22" t="s">
        <v>1560</v>
      </c>
      <c r="R1721" s="22" t="s">
        <v>40</v>
      </c>
      <c r="S1721" s="22"/>
      <c r="T1721" s="22"/>
    </row>
    <row r="1722" spans="1:20">
      <c r="A1722" t="s">
        <v>3659</v>
      </c>
      <c r="B1722" s="8">
        <v>45624</v>
      </c>
      <c r="C1722" t="s">
        <v>1331</v>
      </c>
      <c r="D1722" t="s">
        <v>1529</v>
      </c>
      <c r="E1722" t="s">
        <v>1920</v>
      </c>
      <c r="F1722">
        <v>1</v>
      </c>
      <c r="G1722" s="10">
        <v>458.97</v>
      </c>
      <c r="H1722" s="13">
        <v>0.1</v>
      </c>
      <c r="I1722" t="s">
        <v>1933</v>
      </c>
      <c r="J1722" s="16">
        <v>413.07299999999998</v>
      </c>
      <c r="K1722" s="19">
        <f t="shared" si="130"/>
        <v>304035.11499999999</v>
      </c>
      <c r="L1722" s="22">
        <f t="shared" si="131"/>
        <v>1085.8396964285714</v>
      </c>
      <c r="M1722" s="22">
        <f t="shared" si="132"/>
        <v>84</v>
      </c>
      <c r="N1722" s="22" t="str">
        <f t="shared" si="133"/>
        <v>Low Value</v>
      </c>
      <c r="O1722" s="22" t="str">
        <f t="shared" si="134"/>
        <v>Nov-2024</v>
      </c>
      <c r="P1722" s="22" t="s">
        <v>1530</v>
      </c>
      <c r="Q1722" s="22" t="s">
        <v>1531</v>
      </c>
      <c r="R1722" s="22" t="s">
        <v>1332</v>
      </c>
      <c r="S1722" s="22"/>
      <c r="T1722" s="22"/>
    </row>
    <row r="1723" spans="1:20">
      <c r="A1723" t="s">
        <v>3660</v>
      </c>
      <c r="B1723" s="8">
        <v>45736</v>
      </c>
      <c r="C1723" t="s">
        <v>916</v>
      </c>
      <c r="D1723" t="s">
        <v>1681</v>
      </c>
      <c r="E1723" t="s">
        <v>1886</v>
      </c>
      <c r="F1723">
        <v>2</v>
      </c>
      <c r="G1723" s="10">
        <v>536.61</v>
      </c>
      <c r="H1723" s="13">
        <v>0.14000000000000001</v>
      </c>
      <c r="I1723" t="s">
        <v>1931</v>
      </c>
      <c r="J1723" s="16">
        <v>922.9692</v>
      </c>
      <c r="K1723" s="19">
        <f t="shared" si="130"/>
        <v>303622.04200000002</v>
      </c>
      <c r="L1723" s="22">
        <f t="shared" si="131"/>
        <v>1088.2510465949822</v>
      </c>
      <c r="M1723" s="22">
        <f t="shared" si="132"/>
        <v>83</v>
      </c>
      <c r="N1723" s="22" t="str">
        <f t="shared" si="133"/>
        <v>Low Value</v>
      </c>
      <c r="O1723" s="22" t="str">
        <f t="shared" si="134"/>
        <v>Mar-2025</v>
      </c>
      <c r="P1723" s="22" t="s">
        <v>1682</v>
      </c>
      <c r="Q1723" s="22" t="s">
        <v>1531</v>
      </c>
      <c r="R1723" s="22" t="s">
        <v>917</v>
      </c>
      <c r="S1723" s="22"/>
      <c r="T1723" s="22"/>
    </row>
    <row r="1724" spans="1:20">
      <c r="A1724" t="s">
        <v>3661</v>
      </c>
      <c r="B1724" s="8">
        <v>45709</v>
      </c>
      <c r="C1724" t="s">
        <v>1297</v>
      </c>
      <c r="D1724" t="s">
        <v>1728</v>
      </c>
      <c r="E1724" t="s">
        <v>1859</v>
      </c>
      <c r="F1724">
        <v>3</v>
      </c>
      <c r="G1724" s="10">
        <v>130.41</v>
      </c>
      <c r="H1724" s="13">
        <v>0.14000000000000001</v>
      </c>
      <c r="I1724" t="s">
        <v>1933</v>
      </c>
      <c r="J1724" s="16">
        <v>336.45780000000002</v>
      </c>
      <c r="K1724" s="19">
        <f t="shared" si="130"/>
        <v>302699.07279999997</v>
      </c>
      <c r="L1724" s="22">
        <f t="shared" si="131"/>
        <v>1088.8455856115106</v>
      </c>
      <c r="M1724" s="22">
        <f t="shared" si="132"/>
        <v>83</v>
      </c>
      <c r="N1724" s="22" t="str">
        <f t="shared" si="133"/>
        <v>Low Value</v>
      </c>
      <c r="O1724" s="22" t="str">
        <f t="shared" si="134"/>
        <v>Feb-2025</v>
      </c>
      <c r="P1724" s="22" t="s">
        <v>1729</v>
      </c>
      <c r="Q1724" s="22" t="s">
        <v>1536</v>
      </c>
      <c r="R1724" s="22" t="s">
        <v>3958</v>
      </c>
      <c r="S1724" s="22"/>
      <c r="T1724" s="22"/>
    </row>
    <row r="1725" spans="1:20">
      <c r="A1725" t="s">
        <v>3662</v>
      </c>
      <c r="B1725" s="8">
        <v>45738</v>
      </c>
      <c r="C1725" t="s">
        <v>1511</v>
      </c>
      <c r="D1725" t="s">
        <v>1822</v>
      </c>
      <c r="E1725" t="s">
        <v>1901</v>
      </c>
      <c r="F1725">
        <v>4</v>
      </c>
      <c r="G1725" s="10">
        <v>706.67</v>
      </c>
      <c r="H1725" s="13">
        <v>0.01</v>
      </c>
      <c r="I1725" t="s">
        <v>1931</v>
      </c>
      <c r="J1725" s="16">
        <v>2798.4132</v>
      </c>
      <c r="K1725" s="19">
        <f t="shared" si="130"/>
        <v>302362.61499999999</v>
      </c>
      <c r="L1725" s="22">
        <f t="shared" si="131"/>
        <v>1091.5617870036101</v>
      </c>
      <c r="M1725" s="22">
        <f t="shared" si="132"/>
        <v>82</v>
      </c>
      <c r="N1725" s="22" t="str">
        <f t="shared" si="133"/>
        <v>High Value</v>
      </c>
      <c r="O1725" s="22" t="str">
        <f t="shared" si="134"/>
        <v>Mar-2025</v>
      </c>
      <c r="P1725" s="22" t="s">
        <v>1823</v>
      </c>
      <c r="Q1725" s="22" t="s">
        <v>1555</v>
      </c>
      <c r="R1725" s="22" t="s">
        <v>1512</v>
      </c>
      <c r="S1725" s="22"/>
      <c r="T1725" s="22"/>
    </row>
    <row r="1726" spans="1:20">
      <c r="A1726" t="s">
        <v>3663</v>
      </c>
      <c r="B1726" s="8">
        <v>45685</v>
      </c>
      <c r="C1726" t="s">
        <v>1217</v>
      </c>
      <c r="D1726" t="s">
        <v>1630</v>
      </c>
      <c r="E1726" t="s">
        <v>1873</v>
      </c>
      <c r="F1726">
        <v>3</v>
      </c>
      <c r="G1726" s="10">
        <v>523.45000000000005</v>
      </c>
      <c r="H1726" s="13">
        <v>0.17</v>
      </c>
      <c r="I1726" t="s">
        <v>1931</v>
      </c>
      <c r="J1726" s="16">
        <v>1303.3905</v>
      </c>
      <c r="K1726" s="19">
        <f t="shared" si="130"/>
        <v>299564.20180000004</v>
      </c>
      <c r="L1726" s="22">
        <f t="shared" si="131"/>
        <v>1085.3775427536234</v>
      </c>
      <c r="M1726" s="22">
        <f t="shared" si="132"/>
        <v>82</v>
      </c>
      <c r="N1726" s="22" t="str">
        <f t="shared" si="133"/>
        <v>High Value</v>
      </c>
      <c r="O1726" s="22" t="str">
        <f t="shared" si="134"/>
        <v>Jan-2025</v>
      </c>
      <c r="P1726" s="22" t="s">
        <v>1631</v>
      </c>
      <c r="Q1726" s="22" t="s">
        <v>1560</v>
      </c>
      <c r="R1726" s="22" t="s">
        <v>1218</v>
      </c>
      <c r="S1726" s="22"/>
      <c r="T1726" s="22"/>
    </row>
    <row r="1727" spans="1:20">
      <c r="A1727" t="s">
        <v>3664</v>
      </c>
      <c r="B1727" s="8">
        <v>45701</v>
      </c>
      <c r="C1727" t="s">
        <v>48</v>
      </c>
      <c r="D1727" t="s">
        <v>1828</v>
      </c>
      <c r="E1727" t="s">
        <v>1917</v>
      </c>
      <c r="F1727">
        <v>3</v>
      </c>
      <c r="G1727" s="10">
        <v>482.2</v>
      </c>
      <c r="H1727" s="13">
        <v>0.23</v>
      </c>
      <c r="I1727" t="s">
        <v>1936</v>
      </c>
      <c r="J1727" s="16">
        <v>1113.8820000000001</v>
      </c>
      <c r="K1727" s="19">
        <f t="shared" si="130"/>
        <v>298260.81130000006</v>
      </c>
      <c r="L1727" s="22">
        <f t="shared" si="131"/>
        <v>1084.5847683636366</v>
      </c>
      <c r="M1727" s="22">
        <f t="shared" si="132"/>
        <v>82</v>
      </c>
      <c r="N1727" s="22" t="str">
        <f t="shared" si="133"/>
        <v>High Value</v>
      </c>
      <c r="O1727" s="22" t="str">
        <f t="shared" si="134"/>
        <v>Feb-2025</v>
      </c>
      <c r="P1727" s="22" t="s">
        <v>1829</v>
      </c>
      <c r="Q1727" s="22" t="s">
        <v>1536</v>
      </c>
      <c r="R1727" s="22" t="s">
        <v>49</v>
      </c>
      <c r="S1727" s="22"/>
      <c r="T1727" s="22"/>
    </row>
    <row r="1728" spans="1:20">
      <c r="A1728" t="s">
        <v>3665</v>
      </c>
      <c r="B1728" s="8">
        <v>45745</v>
      </c>
      <c r="C1728" t="s">
        <v>424</v>
      </c>
      <c r="D1728" t="s">
        <v>1743</v>
      </c>
      <c r="E1728" t="s">
        <v>1880</v>
      </c>
      <c r="F1728">
        <v>4</v>
      </c>
      <c r="G1728" s="10">
        <v>688.86</v>
      </c>
      <c r="H1728" s="13">
        <v>0.02</v>
      </c>
      <c r="I1728" t="s">
        <v>1936</v>
      </c>
      <c r="J1728" s="16">
        <v>2700.3312000000001</v>
      </c>
      <c r="K1728" s="19">
        <f t="shared" si="130"/>
        <v>297146.92930000008</v>
      </c>
      <c r="L1728" s="22">
        <f t="shared" si="131"/>
        <v>1084.4778441605843</v>
      </c>
      <c r="M1728" s="22">
        <f t="shared" si="132"/>
        <v>82</v>
      </c>
      <c r="N1728" s="22" t="str">
        <f t="shared" si="133"/>
        <v>High Value</v>
      </c>
      <c r="O1728" s="22" t="str">
        <f t="shared" si="134"/>
        <v>Mar-2025</v>
      </c>
      <c r="P1728" s="22" t="s">
        <v>1744</v>
      </c>
      <c r="Q1728" s="22" t="s">
        <v>1555</v>
      </c>
      <c r="R1728" s="22" t="s">
        <v>425</v>
      </c>
      <c r="S1728" s="22"/>
      <c r="T1728" s="22"/>
    </row>
    <row r="1729" spans="1:20">
      <c r="A1729" t="s">
        <v>3666</v>
      </c>
      <c r="B1729" s="8">
        <v>45214</v>
      </c>
      <c r="C1729" t="s">
        <v>100</v>
      </c>
      <c r="D1729" t="s">
        <v>1579</v>
      </c>
      <c r="E1729" t="s">
        <v>1859</v>
      </c>
      <c r="F1729">
        <v>1</v>
      </c>
      <c r="G1729" s="10">
        <v>145.47999999999999</v>
      </c>
      <c r="H1729" s="13">
        <v>0.1</v>
      </c>
      <c r="I1729" t="s">
        <v>1936</v>
      </c>
      <c r="J1729" s="16">
        <v>130.93199999999999</v>
      </c>
      <c r="K1729" s="19">
        <f t="shared" si="130"/>
        <v>294446.59810000006</v>
      </c>
      <c r="L1729" s="22">
        <f t="shared" si="131"/>
        <v>1078.5589673992677</v>
      </c>
      <c r="M1729" s="22">
        <f t="shared" si="132"/>
        <v>82</v>
      </c>
      <c r="N1729" s="22" t="str">
        <f t="shared" si="133"/>
        <v>Low Value</v>
      </c>
      <c r="O1729" s="22" t="str">
        <f t="shared" si="134"/>
        <v>Oct-2023</v>
      </c>
      <c r="P1729" s="22" t="s">
        <v>1580</v>
      </c>
      <c r="Q1729" s="22" t="s">
        <v>1555</v>
      </c>
      <c r="R1729" s="22" t="s">
        <v>101</v>
      </c>
      <c r="S1729" s="22"/>
      <c r="T1729" s="22"/>
    </row>
    <row r="1730" spans="1:20">
      <c r="A1730" t="s">
        <v>3667</v>
      </c>
      <c r="B1730" s="8">
        <v>45547</v>
      </c>
      <c r="C1730" t="s">
        <v>195</v>
      </c>
      <c r="D1730" t="s">
        <v>1642</v>
      </c>
      <c r="E1730" t="s">
        <v>1899</v>
      </c>
      <c r="F1730">
        <v>4</v>
      </c>
      <c r="G1730" s="10">
        <v>862.25</v>
      </c>
      <c r="H1730" s="13">
        <v>0.28000000000000003</v>
      </c>
      <c r="I1730" t="s">
        <v>1933</v>
      </c>
      <c r="J1730" s="16">
        <v>2483.2800000000002</v>
      </c>
      <c r="K1730" s="19">
        <f t="shared" ref="K1730:K1793" si="135">SUM(J1730:J3729)</f>
        <v>294315.66610000003</v>
      </c>
      <c r="L1730" s="22">
        <f t="shared" ref="L1730:L1793" si="136">AVERAGE(J1730:J3729)</f>
        <v>1082.0428900735296</v>
      </c>
      <c r="M1730" s="22">
        <f t="shared" ref="M1730:M1793" si="137">COUNTIF(I1730:I3729,"PayPal")</f>
        <v>82</v>
      </c>
      <c r="N1730" s="22" t="str">
        <f t="shared" ref="N1730:N1793" si="138">IF(J1730&gt;=1000,"High Value","Low Value")</f>
        <v>High Value</v>
      </c>
      <c r="O1730" s="22" t="str">
        <f t="shared" ref="O1730:O1793" si="139">TEXT(B1730,"mmm-yyyy")</f>
        <v>Sep-2024</v>
      </c>
      <c r="P1730" s="22" t="s">
        <v>1643</v>
      </c>
      <c r="Q1730" s="22" t="s">
        <v>1569</v>
      </c>
      <c r="R1730" s="22" t="s">
        <v>196</v>
      </c>
      <c r="S1730" s="22"/>
      <c r="T1730" s="22"/>
    </row>
    <row r="1731" spans="1:20">
      <c r="A1731" t="s">
        <v>3668</v>
      </c>
      <c r="B1731" s="8">
        <v>45296</v>
      </c>
      <c r="C1731" t="s">
        <v>924</v>
      </c>
      <c r="D1731" t="s">
        <v>1534</v>
      </c>
      <c r="E1731" t="s">
        <v>1906</v>
      </c>
      <c r="F1731">
        <v>4</v>
      </c>
      <c r="G1731" s="10">
        <v>146.12</v>
      </c>
      <c r="H1731" s="13">
        <v>0.12</v>
      </c>
      <c r="I1731" t="s">
        <v>1936</v>
      </c>
      <c r="J1731" s="16">
        <v>514.3424</v>
      </c>
      <c r="K1731" s="19">
        <f t="shared" si="135"/>
        <v>291832.38610000006</v>
      </c>
      <c r="L1731" s="22">
        <f t="shared" si="136"/>
        <v>1076.8722734317346</v>
      </c>
      <c r="M1731" s="22">
        <f t="shared" si="137"/>
        <v>81</v>
      </c>
      <c r="N1731" s="22" t="str">
        <f t="shared" si="138"/>
        <v>Low Value</v>
      </c>
      <c r="O1731" s="22" t="str">
        <f t="shared" si="139"/>
        <v>Jan-2024</v>
      </c>
      <c r="P1731" s="22" t="s">
        <v>1535</v>
      </c>
      <c r="Q1731" s="22" t="s">
        <v>1536</v>
      </c>
      <c r="R1731" s="22" t="s">
        <v>925</v>
      </c>
      <c r="S1731" s="22"/>
      <c r="T1731" s="22"/>
    </row>
    <row r="1732" spans="1:20">
      <c r="A1732" t="s">
        <v>3669</v>
      </c>
      <c r="B1732" s="8">
        <v>45549</v>
      </c>
      <c r="C1732" t="s">
        <v>1462</v>
      </c>
      <c r="D1732" t="s">
        <v>1642</v>
      </c>
      <c r="E1732" t="s">
        <v>1917</v>
      </c>
      <c r="F1732">
        <v>2</v>
      </c>
      <c r="G1732" s="10">
        <v>695.02</v>
      </c>
      <c r="H1732" s="13">
        <v>0.3</v>
      </c>
      <c r="I1732" t="s">
        <v>1936</v>
      </c>
      <c r="J1732" s="16">
        <v>973.02799999999991</v>
      </c>
      <c r="K1732" s="19">
        <f t="shared" si="135"/>
        <v>291318.04369999998</v>
      </c>
      <c r="L1732" s="22">
        <f t="shared" si="136"/>
        <v>1078.9557174074073</v>
      </c>
      <c r="M1732" s="22">
        <f t="shared" si="137"/>
        <v>81</v>
      </c>
      <c r="N1732" s="22" t="str">
        <f t="shared" si="138"/>
        <v>Low Value</v>
      </c>
      <c r="O1732" s="22" t="str">
        <f t="shared" si="139"/>
        <v>Sep-2024</v>
      </c>
      <c r="P1732" s="22" t="s">
        <v>1643</v>
      </c>
      <c r="Q1732" s="22" t="s">
        <v>1569</v>
      </c>
      <c r="R1732" s="22" t="s">
        <v>3960</v>
      </c>
      <c r="S1732" s="22"/>
      <c r="T1732" s="22"/>
    </row>
    <row r="1733" spans="1:20">
      <c r="A1733" t="s">
        <v>3670</v>
      </c>
      <c r="B1733" s="8">
        <v>45231</v>
      </c>
      <c r="C1733" t="s">
        <v>709</v>
      </c>
      <c r="D1733" t="s">
        <v>1837</v>
      </c>
      <c r="E1733" t="s">
        <v>1896</v>
      </c>
      <c r="F1733">
        <v>2</v>
      </c>
      <c r="G1733" s="10">
        <v>886.67</v>
      </c>
      <c r="H1733" s="13">
        <v>0.24</v>
      </c>
      <c r="I1733" t="s">
        <v>1933</v>
      </c>
      <c r="J1733" s="16">
        <v>1347.7384</v>
      </c>
      <c r="K1733" s="19">
        <f t="shared" si="135"/>
        <v>290345.01569999999</v>
      </c>
      <c r="L1733" s="22">
        <f t="shared" si="136"/>
        <v>1079.3495007434944</v>
      </c>
      <c r="M1733" s="22">
        <f t="shared" si="137"/>
        <v>81</v>
      </c>
      <c r="N1733" s="22" t="str">
        <f t="shared" si="138"/>
        <v>High Value</v>
      </c>
      <c r="O1733" s="22" t="str">
        <f t="shared" si="139"/>
        <v>Nov-2023</v>
      </c>
      <c r="P1733" s="22" t="s">
        <v>1838</v>
      </c>
      <c r="Q1733" s="22" t="s">
        <v>1555</v>
      </c>
      <c r="R1733" s="22" t="s">
        <v>710</v>
      </c>
      <c r="S1733" s="22"/>
      <c r="T1733" s="22"/>
    </row>
    <row r="1734" spans="1:20">
      <c r="A1734" t="s">
        <v>3671</v>
      </c>
      <c r="B1734" s="8">
        <v>45628</v>
      </c>
      <c r="C1734" t="s">
        <v>202</v>
      </c>
      <c r="D1734" t="s">
        <v>1752</v>
      </c>
      <c r="E1734" t="s">
        <v>1917</v>
      </c>
      <c r="F1734">
        <v>2</v>
      </c>
      <c r="G1734" s="10">
        <v>864.09</v>
      </c>
      <c r="H1734" s="13">
        <v>0.06</v>
      </c>
      <c r="I1734" t="s">
        <v>1936</v>
      </c>
      <c r="J1734" s="16">
        <v>1624.4892</v>
      </c>
      <c r="K1734" s="19">
        <f t="shared" si="135"/>
        <v>288997.27730000002</v>
      </c>
      <c r="L1734" s="22">
        <f t="shared" si="136"/>
        <v>1078.3480496268658</v>
      </c>
      <c r="M1734" s="22">
        <f t="shared" si="137"/>
        <v>80</v>
      </c>
      <c r="N1734" s="22" t="str">
        <f t="shared" si="138"/>
        <v>High Value</v>
      </c>
      <c r="O1734" s="22" t="str">
        <f t="shared" si="139"/>
        <v>Dec-2024</v>
      </c>
      <c r="P1734" s="22" t="s">
        <v>1753</v>
      </c>
      <c r="Q1734" s="22" t="s">
        <v>1555</v>
      </c>
      <c r="R1734" s="22" t="s">
        <v>203</v>
      </c>
      <c r="S1734" s="22"/>
      <c r="T1734" s="22"/>
    </row>
    <row r="1735" spans="1:20">
      <c r="A1735" t="s">
        <v>3672</v>
      </c>
      <c r="B1735" s="8">
        <v>45862</v>
      </c>
      <c r="C1735" t="s">
        <v>22</v>
      </c>
      <c r="D1735" t="s">
        <v>1579</v>
      </c>
      <c r="E1735" t="s">
        <v>1893</v>
      </c>
      <c r="F1735">
        <v>1</v>
      </c>
      <c r="G1735" s="10">
        <v>437.65</v>
      </c>
      <c r="H1735" s="13">
        <v>0.02</v>
      </c>
      <c r="I1735" t="s">
        <v>1933</v>
      </c>
      <c r="J1735" s="16">
        <v>428.89699999999999</v>
      </c>
      <c r="K1735" s="19">
        <f t="shared" si="135"/>
        <v>287372.78810000001</v>
      </c>
      <c r="L1735" s="22">
        <f t="shared" si="136"/>
        <v>1076.3025771535581</v>
      </c>
      <c r="M1735" s="22">
        <f t="shared" si="137"/>
        <v>80</v>
      </c>
      <c r="N1735" s="22" t="str">
        <f t="shared" si="138"/>
        <v>Low Value</v>
      </c>
      <c r="O1735" s="22" t="str">
        <f t="shared" si="139"/>
        <v>Jul-2025</v>
      </c>
      <c r="P1735" s="22" t="s">
        <v>1580</v>
      </c>
      <c r="Q1735" s="22" t="s">
        <v>1555</v>
      </c>
      <c r="R1735" s="22" t="s">
        <v>3941</v>
      </c>
      <c r="S1735" s="22"/>
      <c r="T1735" s="22"/>
    </row>
    <row r="1736" spans="1:20">
      <c r="A1736" t="s">
        <v>3673</v>
      </c>
      <c r="B1736" s="8">
        <v>45843</v>
      </c>
      <c r="C1736" t="s">
        <v>658</v>
      </c>
      <c r="D1736" t="s">
        <v>1658</v>
      </c>
      <c r="E1736" t="s">
        <v>1904</v>
      </c>
      <c r="F1736">
        <v>2</v>
      </c>
      <c r="G1736" s="10">
        <v>208.09</v>
      </c>
      <c r="H1736" s="13">
        <v>0.27</v>
      </c>
      <c r="I1736" t="s">
        <v>1931</v>
      </c>
      <c r="J1736" s="16">
        <v>303.81139999999999</v>
      </c>
      <c r="K1736" s="19">
        <f t="shared" si="135"/>
        <v>286943.89109999995</v>
      </c>
      <c r="L1736" s="22">
        <f t="shared" si="136"/>
        <v>1078.7364327067667</v>
      </c>
      <c r="M1736" s="22">
        <f t="shared" si="137"/>
        <v>79</v>
      </c>
      <c r="N1736" s="22" t="str">
        <f t="shared" si="138"/>
        <v>Low Value</v>
      </c>
      <c r="O1736" s="22" t="str">
        <f t="shared" si="139"/>
        <v>Jul-2025</v>
      </c>
      <c r="P1736" s="22" t="s">
        <v>1659</v>
      </c>
      <c r="Q1736" s="22" t="s">
        <v>1536</v>
      </c>
      <c r="R1736" s="22" t="s">
        <v>659</v>
      </c>
      <c r="S1736" s="22"/>
      <c r="T1736" s="22"/>
    </row>
    <row r="1737" spans="1:20">
      <c r="A1737" t="s">
        <v>3674</v>
      </c>
      <c r="B1737" s="8">
        <v>45482</v>
      </c>
      <c r="C1737" t="s">
        <v>202</v>
      </c>
      <c r="D1737" t="s">
        <v>1834</v>
      </c>
      <c r="E1737" t="s">
        <v>1914</v>
      </c>
      <c r="F1737">
        <v>4</v>
      </c>
      <c r="G1737" s="10">
        <v>825.78</v>
      </c>
      <c r="H1737" s="13">
        <v>0.02</v>
      </c>
      <c r="I1737" t="s">
        <v>1931</v>
      </c>
      <c r="J1737" s="16">
        <v>3237.0576000000001</v>
      </c>
      <c r="K1737" s="19">
        <f t="shared" si="135"/>
        <v>286640.07969999994</v>
      </c>
      <c r="L1737" s="22">
        <f t="shared" si="136"/>
        <v>1081.6606781132073</v>
      </c>
      <c r="M1737" s="22">
        <f t="shared" si="137"/>
        <v>79</v>
      </c>
      <c r="N1737" s="22" t="str">
        <f t="shared" si="138"/>
        <v>High Value</v>
      </c>
      <c r="O1737" s="22" t="str">
        <f t="shared" si="139"/>
        <v>Jul-2024</v>
      </c>
      <c r="P1737" s="22" t="s">
        <v>1835</v>
      </c>
      <c r="Q1737" s="22" t="s">
        <v>1531</v>
      </c>
      <c r="R1737" s="22" t="s">
        <v>203</v>
      </c>
      <c r="S1737" s="22"/>
      <c r="T1737" s="22"/>
    </row>
    <row r="1738" spans="1:20">
      <c r="A1738" t="s">
        <v>3675</v>
      </c>
      <c r="B1738" s="8">
        <v>45313</v>
      </c>
      <c r="C1738" t="s">
        <v>400</v>
      </c>
      <c r="D1738" t="s">
        <v>1624</v>
      </c>
      <c r="E1738" t="s">
        <v>1914</v>
      </c>
      <c r="F1738">
        <v>3</v>
      </c>
      <c r="G1738" s="10">
        <v>849.77</v>
      </c>
      <c r="H1738" s="13">
        <v>0.12</v>
      </c>
      <c r="I1738" t="s">
        <v>1933</v>
      </c>
      <c r="J1738" s="16">
        <v>2243.3928000000001</v>
      </c>
      <c r="K1738" s="19">
        <f t="shared" si="135"/>
        <v>283403.02209999994</v>
      </c>
      <c r="L1738" s="22">
        <f t="shared" si="136"/>
        <v>1073.4962958333331</v>
      </c>
      <c r="M1738" s="22">
        <f t="shared" si="137"/>
        <v>79</v>
      </c>
      <c r="N1738" s="22" t="str">
        <f t="shared" si="138"/>
        <v>High Value</v>
      </c>
      <c r="O1738" s="22" t="str">
        <f t="shared" si="139"/>
        <v>Jan-2024</v>
      </c>
      <c r="P1738" s="22" t="s">
        <v>1625</v>
      </c>
      <c r="Q1738" s="22" t="s">
        <v>1536</v>
      </c>
      <c r="R1738" s="22" t="s">
        <v>401</v>
      </c>
      <c r="S1738" s="22"/>
      <c r="T1738" s="22"/>
    </row>
    <row r="1739" spans="1:20">
      <c r="A1739" t="s">
        <v>3676</v>
      </c>
      <c r="B1739" s="8">
        <v>45314</v>
      </c>
      <c r="C1739" t="s">
        <v>1076</v>
      </c>
      <c r="D1739" t="s">
        <v>1734</v>
      </c>
      <c r="E1739" t="s">
        <v>1876</v>
      </c>
      <c r="F1739">
        <v>1</v>
      </c>
      <c r="G1739" s="10">
        <v>88.78</v>
      </c>
      <c r="H1739" s="13">
        <v>0.18</v>
      </c>
      <c r="I1739" t="s">
        <v>1931</v>
      </c>
      <c r="J1739" s="16">
        <v>72.799600000000012</v>
      </c>
      <c r="K1739" s="19">
        <f t="shared" si="135"/>
        <v>281159.62930000003</v>
      </c>
      <c r="L1739" s="22">
        <f t="shared" si="136"/>
        <v>1069.0480201520913</v>
      </c>
      <c r="M1739" s="22">
        <f t="shared" si="137"/>
        <v>78</v>
      </c>
      <c r="N1739" s="22" t="str">
        <f t="shared" si="138"/>
        <v>Low Value</v>
      </c>
      <c r="O1739" s="22" t="str">
        <f t="shared" si="139"/>
        <v>Jan-2024</v>
      </c>
      <c r="P1739" s="22" t="s">
        <v>1735</v>
      </c>
      <c r="Q1739" s="22" t="s">
        <v>1555</v>
      </c>
      <c r="R1739" s="22" t="s">
        <v>1077</v>
      </c>
      <c r="S1739" s="22"/>
      <c r="T1739" s="22"/>
    </row>
    <row r="1740" spans="1:20">
      <c r="A1740" t="s">
        <v>3677</v>
      </c>
      <c r="B1740" s="8">
        <v>45526</v>
      </c>
      <c r="C1740" t="s">
        <v>626</v>
      </c>
      <c r="D1740" t="s">
        <v>1789</v>
      </c>
      <c r="E1740" t="s">
        <v>1876</v>
      </c>
      <c r="F1740">
        <v>4</v>
      </c>
      <c r="G1740" s="10">
        <v>507.22</v>
      </c>
      <c r="H1740" s="13">
        <v>0.14000000000000001</v>
      </c>
      <c r="I1740" t="s">
        <v>1933</v>
      </c>
      <c r="J1740" s="16">
        <v>1744.8368</v>
      </c>
      <c r="K1740" s="19">
        <f t="shared" si="135"/>
        <v>281086.8297</v>
      </c>
      <c r="L1740" s="22">
        <f t="shared" si="136"/>
        <v>1072.850495038168</v>
      </c>
      <c r="M1740" s="22">
        <f t="shared" si="137"/>
        <v>78</v>
      </c>
      <c r="N1740" s="22" t="str">
        <f t="shared" si="138"/>
        <v>High Value</v>
      </c>
      <c r="O1740" s="22" t="str">
        <f t="shared" si="139"/>
        <v>Aug-2024</v>
      </c>
      <c r="P1740" s="22" t="s">
        <v>1790</v>
      </c>
      <c r="Q1740" s="22" t="s">
        <v>1560</v>
      </c>
      <c r="R1740" s="22" t="s">
        <v>627</v>
      </c>
      <c r="S1740" s="22"/>
      <c r="T1740" s="22"/>
    </row>
    <row r="1741" spans="1:20">
      <c r="A1741" t="s">
        <v>3678</v>
      </c>
      <c r="B1741" s="8">
        <v>45887</v>
      </c>
      <c r="C1741" t="s">
        <v>993</v>
      </c>
      <c r="D1741" t="s">
        <v>1843</v>
      </c>
      <c r="E1741" t="s">
        <v>1859</v>
      </c>
      <c r="F1741">
        <v>3</v>
      </c>
      <c r="G1741" s="10">
        <v>330.98</v>
      </c>
      <c r="H1741" s="13">
        <v>0.11</v>
      </c>
      <c r="I1741" t="s">
        <v>1931</v>
      </c>
      <c r="J1741" s="16">
        <v>883.71660000000008</v>
      </c>
      <c r="K1741" s="19">
        <f t="shared" si="135"/>
        <v>279341.99290000007</v>
      </c>
      <c r="L1741" s="22">
        <f t="shared" si="136"/>
        <v>1070.2758348659006</v>
      </c>
      <c r="M1741" s="22">
        <f t="shared" si="137"/>
        <v>77</v>
      </c>
      <c r="N1741" s="22" t="str">
        <f t="shared" si="138"/>
        <v>Low Value</v>
      </c>
      <c r="O1741" s="22" t="str">
        <f t="shared" si="139"/>
        <v>Aug-2025</v>
      </c>
      <c r="P1741" s="22" t="s">
        <v>1844</v>
      </c>
      <c r="Q1741" s="22" t="s">
        <v>1536</v>
      </c>
      <c r="R1741" s="22" t="s">
        <v>994</v>
      </c>
      <c r="S1741" s="22"/>
      <c r="T1741" s="22"/>
    </row>
    <row r="1742" spans="1:20">
      <c r="A1742" t="s">
        <v>3679</v>
      </c>
      <c r="B1742" s="8">
        <v>45562</v>
      </c>
      <c r="C1742" t="s">
        <v>192</v>
      </c>
      <c r="D1742" t="s">
        <v>1661</v>
      </c>
      <c r="E1742" t="s">
        <v>1920</v>
      </c>
      <c r="F1742">
        <v>4</v>
      </c>
      <c r="G1742" s="10">
        <v>442.87</v>
      </c>
      <c r="H1742" s="13">
        <v>0.08</v>
      </c>
      <c r="I1742" t="s">
        <v>1931</v>
      </c>
      <c r="J1742" s="16">
        <v>1629.7616</v>
      </c>
      <c r="K1742" s="19">
        <f t="shared" si="135"/>
        <v>278458.27630000009</v>
      </c>
      <c r="L1742" s="22">
        <f t="shared" si="136"/>
        <v>1070.9933703846157</v>
      </c>
      <c r="M1742" s="22">
        <f t="shared" si="137"/>
        <v>77</v>
      </c>
      <c r="N1742" s="22" t="str">
        <f t="shared" si="138"/>
        <v>High Value</v>
      </c>
      <c r="O1742" s="22" t="str">
        <f t="shared" si="139"/>
        <v>Sep-2024</v>
      </c>
      <c r="P1742" s="22" t="s">
        <v>1662</v>
      </c>
      <c r="Q1742" s="22" t="s">
        <v>1536</v>
      </c>
      <c r="R1742" s="22" t="s">
        <v>193</v>
      </c>
      <c r="S1742" s="22"/>
      <c r="T1742" s="22"/>
    </row>
    <row r="1743" spans="1:20">
      <c r="A1743" t="s">
        <v>3680</v>
      </c>
      <c r="B1743" s="8">
        <v>45880</v>
      </c>
      <c r="C1743" t="s">
        <v>48</v>
      </c>
      <c r="D1743" t="s">
        <v>1843</v>
      </c>
      <c r="E1743" t="s">
        <v>1868</v>
      </c>
      <c r="F1743">
        <v>2</v>
      </c>
      <c r="G1743" s="10">
        <v>939.66</v>
      </c>
      <c r="H1743" s="13">
        <v>0.14000000000000001</v>
      </c>
      <c r="I1743" t="s">
        <v>1933</v>
      </c>
      <c r="J1743" s="16">
        <v>1616.2152000000001</v>
      </c>
      <c r="K1743" s="19">
        <f t="shared" si="135"/>
        <v>276828.51470000012</v>
      </c>
      <c r="L1743" s="22">
        <f t="shared" si="136"/>
        <v>1068.8359640926647</v>
      </c>
      <c r="M1743" s="22">
        <f t="shared" si="137"/>
        <v>77</v>
      </c>
      <c r="N1743" s="22" t="str">
        <f t="shared" si="138"/>
        <v>High Value</v>
      </c>
      <c r="O1743" s="22" t="str">
        <f t="shared" si="139"/>
        <v>Aug-2025</v>
      </c>
      <c r="P1743" s="22" t="s">
        <v>1844</v>
      </c>
      <c r="Q1743" s="22" t="s">
        <v>1536</v>
      </c>
      <c r="R1743" s="22" t="s">
        <v>49</v>
      </c>
      <c r="S1743" s="22"/>
      <c r="T1743" s="22"/>
    </row>
    <row r="1744" spans="1:20">
      <c r="A1744" t="s">
        <v>3681</v>
      </c>
      <c r="B1744" s="8">
        <v>45556</v>
      </c>
      <c r="C1744" t="s">
        <v>927</v>
      </c>
      <c r="D1744" t="s">
        <v>1774</v>
      </c>
      <c r="E1744" t="s">
        <v>1873</v>
      </c>
      <c r="F1744">
        <v>1</v>
      </c>
      <c r="G1744" s="10">
        <v>24.13</v>
      </c>
      <c r="H1744" s="13">
        <v>0</v>
      </c>
      <c r="I1744" t="s">
        <v>1931</v>
      </c>
      <c r="J1744" s="16">
        <v>24.13</v>
      </c>
      <c r="K1744" s="19">
        <f t="shared" si="135"/>
        <v>275212.29950000008</v>
      </c>
      <c r="L1744" s="22">
        <f t="shared" si="136"/>
        <v>1066.7143391472871</v>
      </c>
      <c r="M1744" s="22">
        <f t="shared" si="137"/>
        <v>76</v>
      </c>
      <c r="N1744" s="22" t="str">
        <f t="shared" si="138"/>
        <v>Low Value</v>
      </c>
      <c r="O1744" s="22" t="str">
        <f t="shared" si="139"/>
        <v>Sep-2024</v>
      </c>
      <c r="P1744" s="22" t="s">
        <v>1775</v>
      </c>
      <c r="Q1744" s="22" t="s">
        <v>1569</v>
      </c>
      <c r="R1744" s="22" t="s">
        <v>928</v>
      </c>
      <c r="S1744" s="22"/>
      <c r="T1744" s="22"/>
    </row>
    <row r="1745" spans="1:20">
      <c r="A1745" t="s">
        <v>3682</v>
      </c>
      <c r="B1745" s="8">
        <v>45355</v>
      </c>
      <c r="C1745" t="s">
        <v>1133</v>
      </c>
      <c r="D1745" t="s">
        <v>1675</v>
      </c>
      <c r="E1745" t="s">
        <v>1873</v>
      </c>
      <c r="F1745">
        <v>3</v>
      </c>
      <c r="G1745" s="10">
        <v>239.54</v>
      </c>
      <c r="H1745" s="13">
        <v>0.28999999999999998</v>
      </c>
      <c r="I1745" t="s">
        <v>1936</v>
      </c>
      <c r="J1745" s="16">
        <v>510.22019999999998</v>
      </c>
      <c r="K1745" s="19">
        <f t="shared" si="135"/>
        <v>275188.16950000008</v>
      </c>
      <c r="L1745" s="22">
        <f t="shared" si="136"/>
        <v>1070.7710875486384</v>
      </c>
      <c r="M1745" s="22">
        <f t="shared" si="137"/>
        <v>76</v>
      </c>
      <c r="N1745" s="22" t="str">
        <f t="shared" si="138"/>
        <v>Low Value</v>
      </c>
      <c r="O1745" s="22" t="str">
        <f t="shared" si="139"/>
        <v>Mar-2024</v>
      </c>
      <c r="P1745" s="22" t="s">
        <v>1676</v>
      </c>
      <c r="Q1745" s="22" t="s">
        <v>1569</v>
      </c>
      <c r="R1745" s="22" t="s">
        <v>1134</v>
      </c>
      <c r="S1745" s="22"/>
      <c r="T1745" s="22"/>
    </row>
    <row r="1746" spans="1:20">
      <c r="A1746" t="s">
        <v>3683</v>
      </c>
      <c r="B1746" s="8">
        <v>45244</v>
      </c>
      <c r="C1746" t="s">
        <v>1473</v>
      </c>
      <c r="D1746" t="s">
        <v>1690</v>
      </c>
      <c r="E1746" t="s">
        <v>1906</v>
      </c>
      <c r="F1746">
        <v>1</v>
      </c>
      <c r="G1746" s="10">
        <v>588.53</v>
      </c>
      <c r="H1746" s="13">
        <v>0.1</v>
      </c>
      <c r="I1746" t="s">
        <v>1931</v>
      </c>
      <c r="J1746" s="16">
        <v>529.67700000000002</v>
      </c>
      <c r="K1746" s="19">
        <f t="shared" si="135"/>
        <v>274677.94930000015</v>
      </c>
      <c r="L1746" s="22">
        <f t="shared" si="136"/>
        <v>1072.9607394531256</v>
      </c>
      <c r="M1746" s="22">
        <f t="shared" si="137"/>
        <v>76</v>
      </c>
      <c r="N1746" s="22" t="str">
        <f t="shared" si="138"/>
        <v>Low Value</v>
      </c>
      <c r="O1746" s="22" t="str">
        <f t="shared" si="139"/>
        <v>Nov-2023</v>
      </c>
      <c r="P1746" s="22" t="s">
        <v>1691</v>
      </c>
      <c r="Q1746" s="22" t="s">
        <v>1536</v>
      </c>
      <c r="R1746" s="22" t="s">
        <v>1474</v>
      </c>
      <c r="S1746" s="22"/>
      <c r="T1746" s="22"/>
    </row>
    <row r="1747" spans="1:20">
      <c r="A1747" t="s">
        <v>3684</v>
      </c>
      <c r="B1747" s="8">
        <v>45863</v>
      </c>
      <c r="C1747" t="s">
        <v>913</v>
      </c>
      <c r="D1747" t="s">
        <v>1734</v>
      </c>
      <c r="E1747" t="s">
        <v>1908</v>
      </c>
      <c r="F1747">
        <v>1</v>
      </c>
      <c r="G1747" s="10">
        <v>145.96</v>
      </c>
      <c r="H1747" s="13">
        <v>0.3</v>
      </c>
      <c r="I1747" t="s">
        <v>1931</v>
      </c>
      <c r="J1747" s="16">
        <v>102.172</v>
      </c>
      <c r="K1747" s="19">
        <f t="shared" si="135"/>
        <v>274148.27230000013</v>
      </c>
      <c r="L1747" s="22">
        <f t="shared" si="136"/>
        <v>1075.0912639215692</v>
      </c>
      <c r="M1747" s="22">
        <f t="shared" si="137"/>
        <v>76</v>
      </c>
      <c r="N1747" s="22" t="str">
        <f t="shared" si="138"/>
        <v>Low Value</v>
      </c>
      <c r="O1747" s="22" t="str">
        <f t="shared" si="139"/>
        <v>Jul-2025</v>
      </c>
      <c r="P1747" s="22" t="s">
        <v>1735</v>
      </c>
      <c r="Q1747" s="22" t="s">
        <v>1555</v>
      </c>
      <c r="R1747" s="22" t="s">
        <v>914</v>
      </c>
      <c r="S1747" s="22"/>
      <c r="T1747" s="22"/>
    </row>
    <row r="1748" spans="1:20">
      <c r="A1748" t="s">
        <v>3685</v>
      </c>
      <c r="B1748" s="8">
        <v>45573</v>
      </c>
      <c r="C1748" t="s">
        <v>355</v>
      </c>
      <c r="D1748" t="s">
        <v>1765</v>
      </c>
      <c r="E1748" t="s">
        <v>1876</v>
      </c>
      <c r="F1748">
        <v>4</v>
      </c>
      <c r="G1748" s="10">
        <v>640.91</v>
      </c>
      <c r="H1748" s="13">
        <v>0.06</v>
      </c>
      <c r="I1748" t="s">
        <v>1931</v>
      </c>
      <c r="J1748" s="16">
        <v>2409.8216000000002</v>
      </c>
      <c r="K1748" s="19">
        <f t="shared" si="135"/>
        <v>274046.10030000011</v>
      </c>
      <c r="L1748" s="22">
        <f t="shared" si="136"/>
        <v>1078.9216547244098</v>
      </c>
      <c r="M1748" s="22">
        <f t="shared" si="137"/>
        <v>76</v>
      </c>
      <c r="N1748" s="22" t="str">
        <f t="shared" si="138"/>
        <v>High Value</v>
      </c>
      <c r="O1748" s="22" t="str">
        <f t="shared" si="139"/>
        <v>Oct-2024</v>
      </c>
      <c r="P1748" s="22" t="s">
        <v>1766</v>
      </c>
      <c r="Q1748" s="22" t="s">
        <v>1560</v>
      </c>
      <c r="R1748" s="22" t="s">
        <v>356</v>
      </c>
      <c r="S1748" s="22"/>
      <c r="T1748" s="22"/>
    </row>
    <row r="1749" spans="1:20">
      <c r="A1749" t="s">
        <v>3686</v>
      </c>
      <c r="B1749" s="8">
        <v>45792</v>
      </c>
      <c r="C1749" t="s">
        <v>163</v>
      </c>
      <c r="D1749" t="s">
        <v>1746</v>
      </c>
      <c r="E1749" t="s">
        <v>1899</v>
      </c>
      <c r="F1749">
        <v>3</v>
      </c>
      <c r="G1749" s="10">
        <v>773.86</v>
      </c>
      <c r="H1749" s="13">
        <v>0.22</v>
      </c>
      <c r="I1749" t="s">
        <v>1931</v>
      </c>
      <c r="J1749" s="16">
        <v>1810.8324</v>
      </c>
      <c r="K1749" s="19">
        <f t="shared" si="135"/>
        <v>271636.27870000014</v>
      </c>
      <c r="L1749" s="22">
        <f t="shared" si="136"/>
        <v>1073.6611806324115</v>
      </c>
      <c r="M1749" s="22">
        <f t="shared" si="137"/>
        <v>76</v>
      </c>
      <c r="N1749" s="22" t="str">
        <f t="shared" si="138"/>
        <v>High Value</v>
      </c>
      <c r="O1749" s="22" t="str">
        <f t="shared" si="139"/>
        <v>May-2025</v>
      </c>
      <c r="P1749" s="22" t="s">
        <v>1747</v>
      </c>
      <c r="Q1749" s="22" t="s">
        <v>1555</v>
      </c>
      <c r="R1749" s="22" t="s">
        <v>164</v>
      </c>
      <c r="S1749" s="22"/>
      <c r="T1749" s="22"/>
    </row>
    <row r="1750" spans="1:20">
      <c r="A1750" t="s">
        <v>3687</v>
      </c>
      <c r="B1750" s="8">
        <v>45744</v>
      </c>
      <c r="C1750" t="s">
        <v>1419</v>
      </c>
      <c r="D1750" t="s">
        <v>1642</v>
      </c>
      <c r="E1750" t="s">
        <v>1908</v>
      </c>
      <c r="F1750">
        <v>2</v>
      </c>
      <c r="G1750" s="10">
        <v>31.28</v>
      </c>
      <c r="H1750" s="13">
        <v>0.2</v>
      </c>
      <c r="I1750" t="s">
        <v>1936</v>
      </c>
      <c r="J1750" s="16">
        <v>50.048000000000002</v>
      </c>
      <c r="K1750" s="19">
        <f t="shared" si="135"/>
        <v>269825.44630000019</v>
      </c>
      <c r="L1750" s="22">
        <f t="shared" si="136"/>
        <v>1070.7358980158738</v>
      </c>
      <c r="M1750" s="22">
        <f t="shared" si="137"/>
        <v>76</v>
      </c>
      <c r="N1750" s="22" t="str">
        <f t="shared" si="138"/>
        <v>Low Value</v>
      </c>
      <c r="O1750" s="22" t="str">
        <f t="shared" si="139"/>
        <v>Mar-2025</v>
      </c>
      <c r="P1750" s="22" t="s">
        <v>1643</v>
      </c>
      <c r="Q1750" s="22" t="s">
        <v>1569</v>
      </c>
      <c r="R1750" s="22" t="s">
        <v>1420</v>
      </c>
      <c r="S1750" s="22"/>
      <c r="T1750" s="22"/>
    </row>
    <row r="1751" spans="1:20">
      <c r="A1751" t="s">
        <v>3688</v>
      </c>
      <c r="B1751" s="8">
        <v>45842</v>
      </c>
      <c r="C1751" t="s">
        <v>1160</v>
      </c>
      <c r="D1751" t="s">
        <v>1801</v>
      </c>
      <c r="E1751" t="s">
        <v>1883</v>
      </c>
      <c r="F1751">
        <v>4</v>
      </c>
      <c r="G1751" s="10">
        <v>389.22</v>
      </c>
      <c r="H1751" s="13">
        <v>0.18</v>
      </c>
      <c r="I1751" t="s">
        <v>1931</v>
      </c>
      <c r="J1751" s="16">
        <v>1276.6415999999999</v>
      </c>
      <c r="K1751" s="19">
        <f t="shared" si="135"/>
        <v>269775.39830000018</v>
      </c>
      <c r="L1751" s="22">
        <f t="shared" si="136"/>
        <v>1074.8023836653394</v>
      </c>
      <c r="M1751" s="22">
        <f t="shared" si="137"/>
        <v>76</v>
      </c>
      <c r="N1751" s="22" t="str">
        <f t="shared" si="138"/>
        <v>High Value</v>
      </c>
      <c r="O1751" s="22" t="str">
        <f t="shared" si="139"/>
        <v>Jul-2025</v>
      </c>
      <c r="P1751" s="22" t="s">
        <v>1802</v>
      </c>
      <c r="Q1751" s="22" t="s">
        <v>1569</v>
      </c>
      <c r="R1751" s="22" t="s">
        <v>1161</v>
      </c>
      <c r="S1751" s="22"/>
      <c r="T1751" s="22"/>
    </row>
    <row r="1752" spans="1:20">
      <c r="A1752" t="s">
        <v>3689</v>
      </c>
      <c r="B1752" s="8">
        <v>45502</v>
      </c>
      <c r="C1752" t="s">
        <v>71</v>
      </c>
      <c r="D1752" t="s">
        <v>1746</v>
      </c>
      <c r="E1752" t="s">
        <v>1908</v>
      </c>
      <c r="F1752">
        <v>3</v>
      </c>
      <c r="G1752" s="10">
        <v>543.44000000000005</v>
      </c>
      <c r="H1752" s="13">
        <v>0.13</v>
      </c>
      <c r="I1752" t="s">
        <v>1933</v>
      </c>
      <c r="J1752" s="16">
        <v>1418.3784000000001</v>
      </c>
      <c r="K1752" s="19">
        <f t="shared" si="135"/>
        <v>268498.75670000014</v>
      </c>
      <c r="L1752" s="22">
        <f t="shared" si="136"/>
        <v>1073.9950268000007</v>
      </c>
      <c r="M1752" s="22">
        <f t="shared" si="137"/>
        <v>76</v>
      </c>
      <c r="N1752" s="22" t="str">
        <f t="shared" si="138"/>
        <v>High Value</v>
      </c>
      <c r="O1752" s="22" t="str">
        <f t="shared" si="139"/>
        <v>Jul-2024</v>
      </c>
      <c r="P1752" s="22" t="s">
        <v>1747</v>
      </c>
      <c r="Q1752" s="22" t="s">
        <v>1555</v>
      </c>
      <c r="R1752" s="22" t="s">
        <v>72</v>
      </c>
      <c r="S1752" s="22"/>
      <c r="T1752" s="22"/>
    </row>
    <row r="1753" spans="1:20">
      <c r="A1753" t="s">
        <v>3690</v>
      </c>
      <c r="B1753" s="8">
        <v>45296</v>
      </c>
      <c r="C1753" t="s">
        <v>821</v>
      </c>
      <c r="D1753" t="s">
        <v>1846</v>
      </c>
      <c r="E1753" t="s">
        <v>1920</v>
      </c>
      <c r="F1753">
        <v>4</v>
      </c>
      <c r="G1753" s="10">
        <v>715.42</v>
      </c>
      <c r="H1753" s="13">
        <v>0.28999999999999998</v>
      </c>
      <c r="I1753" t="s">
        <v>1933</v>
      </c>
      <c r="J1753" s="16">
        <v>2031.7927999999999</v>
      </c>
      <c r="K1753" s="19">
        <f t="shared" si="135"/>
        <v>267080.37830000016</v>
      </c>
      <c r="L1753" s="22">
        <f t="shared" si="136"/>
        <v>1072.6119610441774</v>
      </c>
      <c r="M1753" s="22">
        <f t="shared" si="137"/>
        <v>75</v>
      </c>
      <c r="N1753" s="22" t="str">
        <f t="shared" si="138"/>
        <v>High Value</v>
      </c>
      <c r="O1753" s="22" t="str">
        <f t="shared" si="139"/>
        <v>Jan-2024</v>
      </c>
      <c r="P1753" s="22" t="s">
        <v>1847</v>
      </c>
      <c r="Q1753" s="22" t="s">
        <v>1569</v>
      </c>
      <c r="R1753" s="22" t="s">
        <v>822</v>
      </c>
      <c r="S1753" s="22"/>
      <c r="T1753" s="22"/>
    </row>
    <row r="1754" spans="1:20">
      <c r="A1754" t="s">
        <v>3691</v>
      </c>
      <c r="B1754" s="8">
        <v>45886</v>
      </c>
      <c r="C1754" t="s">
        <v>192</v>
      </c>
      <c r="D1754" t="s">
        <v>1579</v>
      </c>
      <c r="E1754" t="s">
        <v>1876</v>
      </c>
      <c r="F1754">
        <v>4</v>
      </c>
      <c r="G1754" s="10">
        <v>676.14</v>
      </c>
      <c r="H1754" s="13">
        <v>0.11</v>
      </c>
      <c r="I1754" t="s">
        <v>1936</v>
      </c>
      <c r="J1754" s="16">
        <v>2407.0583999999999</v>
      </c>
      <c r="K1754" s="19">
        <f t="shared" si="135"/>
        <v>265048.5855000001</v>
      </c>
      <c r="L1754" s="22">
        <f t="shared" si="136"/>
        <v>1068.7442963709682</v>
      </c>
      <c r="M1754" s="22">
        <f t="shared" si="137"/>
        <v>74</v>
      </c>
      <c r="N1754" s="22" t="str">
        <f t="shared" si="138"/>
        <v>High Value</v>
      </c>
      <c r="O1754" s="22" t="str">
        <f t="shared" si="139"/>
        <v>Aug-2025</v>
      </c>
      <c r="P1754" s="22" t="s">
        <v>1580</v>
      </c>
      <c r="Q1754" s="22" t="s">
        <v>1555</v>
      </c>
      <c r="R1754" s="22" t="s">
        <v>193</v>
      </c>
      <c r="S1754" s="22"/>
      <c r="T1754" s="22"/>
    </row>
    <row r="1755" spans="1:20">
      <c r="A1755" t="s">
        <v>3692</v>
      </c>
      <c r="B1755" s="8">
        <v>45425</v>
      </c>
      <c r="C1755" t="s">
        <v>316</v>
      </c>
      <c r="D1755" t="s">
        <v>1668</v>
      </c>
      <c r="E1755" t="s">
        <v>1864</v>
      </c>
      <c r="F1755">
        <v>4</v>
      </c>
      <c r="G1755" s="10">
        <v>352.72</v>
      </c>
      <c r="H1755" s="13">
        <v>0.25</v>
      </c>
      <c r="I1755" t="s">
        <v>1931</v>
      </c>
      <c r="J1755" s="16">
        <v>1058.1600000000001</v>
      </c>
      <c r="K1755" s="19">
        <f t="shared" si="135"/>
        <v>262641.52710000012</v>
      </c>
      <c r="L1755" s="22">
        <f t="shared" si="136"/>
        <v>1063.3260206477737</v>
      </c>
      <c r="M1755" s="22">
        <f t="shared" si="137"/>
        <v>74</v>
      </c>
      <c r="N1755" s="22" t="str">
        <f t="shared" si="138"/>
        <v>High Value</v>
      </c>
      <c r="O1755" s="22" t="str">
        <f t="shared" si="139"/>
        <v>May-2024</v>
      </c>
      <c r="P1755" s="22" t="s">
        <v>1669</v>
      </c>
      <c r="Q1755" s="22" t="s">
        <v>1531</v>
      </c>
      <c r="R1755" s="22" t="s">
        <v>317</v>
      </c>
      <c r="S1755" s="22"/>
      <c r="T1755" s="22"/>
    </row>
    <row r="1756" spans="1:20">
      <c r="A1756" t="s">
        <v>3693</v>
      </c>
      <c r="B1756" s="8">
        <v>45797</v>
      </c>
      <c r="C1756" t="s">
        <v>571</v>
      </c>
      <c r="D1756" t="s">
        <v>1576</v>
      </c>
      <c r="E1756" t="s">
        <v>1901</v>
      </c>
      <c r="F1756">
        <v>1</v>
      </c>
      <c r="G1756" s="10">
        <v>470.18</v>
      </c>
      <c r="H1756" s="13">
        <v>0.19</v>
      </c>
      <c r="I1756" t="s">
        <v>1933</v>
      </c>
      <c r="J1756" s="16">
        <v>380.84580000000011</v>
      </c>
      <c r="K1756" s="19">
        <f t="shared" si="135"/>
        <v>261583.36710000006</v>
      </c>
      <c r="L1756" s="22">
        <f t="shared" si="136"/>
        <v>1063.3470207317075</v>
      </c>
      <c r="M1756" s="22">
        <f t="shared" si="137"/>
        <v>74</v>
      </c>
      <c r="N1756" s="22" t="str">
        <f t="shared" si="138"/>
        <v>Low Value</v>
      </c>
      <c r="O1756" s="22" t="str">
        <f t="shared" si="139"/>
        <v>May-2025</v>
      </c>
      <c r="P1756" s="22" t="s">
        <v>1577</v>
      </c>
      <c r="Q1756" s="22" t="s">
        <v>1531</v>
      </c>
      <c r="R1756" s="22" t="s">
        <v>572</v>
      </c>
      <c r="S1756" s="22"/>
      <c r="T1756" s="22"/>
    </row>
    <row r="1757" spans="1:20">
      <c r="A1757" t="s">
        <v>3694</v>
      </c>
      <c r="B1757" s="8">
        <v>45898</v>
      </c>
      <c r="C1757" t="s">
        <v>741</v>
      </c>
      <c r="D1757" t="s">
        <v>1752</v>
      </c>
      <c r="E1757" t="s">
        <v>1899</v>
      </c>
      <c r="F1757">
        <v>1</v>
      </c>
      <c r="G1757" s="10">
        <v>891.79</v>
      </c>
      <c r="H1757" s="13">
        <v>0.03</v>
      </c>
      <c r="I1757" t="s">
        <v>1931</v>
      </c>
      <c r="J1757" s="16">
        <v>865.03629999999998</v>
      </c>
      <c r="K1757" s="19">
        <f t="shared" si="135"/>
        <v>261202.52130000005</v>
      </c>
      <c r="L1757" s="22">
        <f t="shared" si="136"/>
        <v>1066.1327400000002</v>
      </c>
      <c r="M1757" s="22">
        <f t="shared" si="137"/>
        <v>73</v>
      </c>
      <c r="N1757" s="22" t="str">
        <f t="shared" si="138"/>
        <v>Low Value</v>
      </c>
      <c r="O1757" s="22" t="str">
        <f t="shared" si="139"/>
        <v>Aug-2025</v>
      </c>
      <c r="P1757" s="22" t="s">
        <v>1753</v>
      </c>
      <c r="Q1757" s="22" t="s">
        <v>1555</v>
      </c>
      <c r="R1757" s="22" t="s">
        <v>742</v>
      </c>
      <c r="S1757" s="22"/>
      <c r="T1757" s="22"/>
    </row>
    <row r="1758" spans="1:20">
      <c r="A1758" t="s">
        <v>3695</v>
      </c>
      <c r="B1758" s="8">
        <v>45390</v>
      </c>
      <c r="C1758" t="s">
        <v>1087</v>
      </c>
      <c r="D1758" t="s">
        <v>1822</v>
      </c>
      <c r="E1758" t="s">
        <v>1914</v>
      </c>
      <c r="F1758">
        <v>2</v>
      </c>
      <c r="G1758" s="10">
        <v>433.07</v>
      </c>
      <c r="H1758" s="13">
        <v>0.25</v>
      </c>
      <c r="I1758" t="s">
        <v>1936</v>
      </c>
      <c r="J1758" s="16">
        <v>649.60500000000002</v>
      </c>
      <c r="K1758" s="19">
        <f t="shared" si="135"/>
        <v>260337.48500000004</v>
      </c>
      <c r="L1758" s="22">
        <f t="shared" si="136"/>
        <v>1066.956905737705</v>
      </c>
      <c r="M1758" s="22">
        <f t="shared" si="137"/>
        <v>73</v>
      </c>
      <c r="N1758" s="22" t="str">
        <f t="shared" si="138"/>
        <v>Low Value</v>
      </c>
      <c r="O1758" s="22" t="str">
        <f t="shared" si="139"/>
        <v>Apr-2024</v>
      </c>
      <c r="P1758" s="22" t="s">
        <v>1823</v>
      </c>
      <c r="Q1758" s="22" t="s">
        <v>1555</v>
      </c>
      <c r="R1758" s="22" t="s">
        <v>1088</v>
      </c>
      <c r="S1758" s="22"/>
      <c r="T1758" s="22"/>
    </row>
    <row r="1759" spans="1:20">
      <c r="A1759" t="s">
        <v>3696</v>
      </c>
      <c r="B1759" s="8">
        <v>45355</v>
      </c>
      <c r="C1759" t="s">
        <v>59</v>
      </c>
      <c r="D1759" t="s">
        <v>1752</v>
      </c>
      <c r="E1759" t="s">
        <v>1920</v>
      </c>
      <c r="F1759">
        <v>3</v>
      </c>
      <c r="G1759" s="10">
        <v>626.71</v>
      </c>
      <c r="H1759" s="13">
        <v>7.0000000000000007E-2</v>
      </c>
      <c r="I1759" t="s">
        <v>1936</v>
      </c>
      <c r="J1759" s="16">
        <v>1748.5209</v>
      </c>
      <c r="K1759" s="19">
        <f t="shared" si="135"/>
        <v>259687.88000000006</v>
      </c>
      <c r="L1759" s="22">
        <f t="shared" si="136"/>
        <v>1068.6744032921813</v>
      </c>
      <c r="M1759" s="22">
        <f t="shared" si="137"/>
        <v>73</v>
      </c>
      <c r="N1759" s="22" t="str">
        <f t="shared" si="138"/>
        <v>High Value</v>
      </c>
      <c r="O1759" s="22" t="str">
        <f t="shared" si="139"/>
        <v>Mar-2024</v>
      </c>
      <c r="P1759" s="22" t="s">
        <v>1753</v>
      </c>
      <c r="Q1759" s="22" t="s">
        <v>1555</v>
      </c>
      <c r="R1759" s="22" t="s">
        <v>60</v>
      </c>
      <c r="S1759" s="22"/>
      <c r="T1759" s="22"/>
    </row>
    <row r="1760" spans="1:20">
      <c r="A1760" t="s">
        <v>3697</v>
      </c>
      <c r="B1760" s="8">
        <v>45916</v>
      </c>
      <c r="C1760" t="s">
        <v>275</v>
      </c>
      <c r="D1760" t="s">
        <v>1658</v>
      </c>
      <c r="E1760" t="s">
        <v>1859</v>
      </c>
      <c r="F1760">
        <v>2</v>
      </c>
      <c r="G1760" s="10">
        <v>324.18</v>
      </c>
      <c r="H1760" s="13">
        <v>0.06</v>
      </c>
      <c r="I1760" t="s">
        <v>1936</v>
      </c>
      <c r="J1760" s="16">
        <v>609.45839999999998</v>
      </c>
      <c r="K1760" s="19">
        <f t="shared" si="135"/>
        <v>257939.35910000006</v>
      </c>
      <c r="L1760" s="22">
        <f t="shared" si="136"/>
        <v>1065.8651202479341</v>
      </c>
      <c r="M1760" s="22">
        <f t="shared" si="137"/>
        <v>73</v>
      </c>
      <c r="N1760" s="22" t="str">
        <f t="shared" si="138"/>
        <v>Low Value</v>
      </c>
      <c r="O1760" s="22" t="str">
        <f t="shared" si="139"/>
        <v>Sep-2025</v>
      </c>
      <c r="P1760" s="22" t="s">
        <v>1659</v>
      </c>
      <c r="Q1760" s="22" t="s">
        <v>1536</v>
      </c>
      <c r="R1760" s="22" t="s">
        <v>276</v>
      </c>
      <c r="S1760" s="22"/>
      <c r="T1760" s="22"/>
    </row>
    <row r="1761" spans="1:20">
      <c r="A1761" t="s">
        <v>3698</v>
      </c>
      <c r="B1761" s="8">
        <v>45448</v>
      </c>
      <c r="C1761" t="s">
        <v>63</v>
      </c>
      <c r="D1761" t="s">
        <v>1586</v>
      </c>
      <c r="E1761" t="s">
        <v>1914</v>
      </c>
      <c r="F1761">
        <v>4</v>
      </c>
      <c r="G1761" s="10">
        <v>839.74</v>
      </c>
      <c r="H1761" s="13">
        <v>0.13</v>
      </c>
      <c r="I1761" t="s">
        <v>1933</v>
      </c>
      <c r="J1761" s="16">
        <v>2922.2952</v>
      </c>
      <c r="K1761" s="19">
        <f t="shared" si="135"/>
        <v>257329.90070000009</v>
      </c>
      <c r="L1761" s="22">
        <f t="shared" si="136"/>
        <v>1067.7589240663904</v>
      </c>
      <c r="M1761" s="22">
        <f t="shared" si="137"/>
        <v>73</v>
      </c>
      <c r="N1761" s="22" t="str">
        <f t="shared" si="138"/>
        <v>High Value</v>
      </c>
      <c r="O1761" s="22" t="str">
        <f t="shared" si="139"/>
        <v>Jun-2024</v>
      </c>
      <c r="P1761" s="22" t="s">
        <v>1587</v>
      </c>
      <c r="Q1761" s="22" t="s">
        <v>1560</v>
      </c>
      <c r="R1761" s="22" t="s">
        <v>64</v>
      </c>
      <c r="S1761" s="22"/>
      <c r="T1761" s="22"/>
    </row>
    <row r="1762" spans="1:20">
      <c r="A1762" t="s">
        <v>3699</v>
      </c>
      <c r="B1762" s="8">
        <v>45402</v>
      </c>
      <c r="C1762" t="s">
        <v>521</v>
      </c>
      <c r="D1762" t="s">
        <v>1740</v>
      </c>
      <c r="E1762" t="s">
        <v>1908</v>
      </c>
      <c r="F1762">
        <v>3</v>
      </c>
      <c r="G1762" s="10">
        <v>252.63</v>
      </c>
      <c r="H1762" s="13">
        <v>0.28000000000000003</v>
      </c>
      <c r="I1762" t="s">
        <v>1931</v>
      </c>
      <c r="J1762" s="16">
        <v>545.68079999999998</v>
      </c>
      <c r="K1762" s="19">
        <f t="shared" si="135"/>
        <v>254407.60550000006</v>
      </c>
      <c r="L1762" s="22">
        <f t="shared" si="136"/>
        <v>1060.0316895833337</v>
      </c>
      <c r="M1762" s="22">
        <f t="shared" si="137"/>
        <v>72</v>
      </c>
      <c r="N1762" s="22" t="str">
        <f t="shared" si="138"/>
        <v>Low Value</v>
      </c>
      <c r="O1762" s="22" t="str">
        <f t="shared" si="139"/>
        <v>Apr-2024</v>
      </c>
      <c r="P1762" s="22" t="s">
        <v>1741</v>
      </c>
      <c r="Q1762" s="22" t="s">
        <v>1531</v>
      </c>
      <c r="R1762" s="22" t="s">
        <v>522</v>
      </c>
      <c r="S1762" s="22"/>
      <c r="T1762" s="22"/>
    </row>
    <row r="1763" spans="1:20">
      <c r="A1763" t="s">
        <v>3700</v>
      </c>
      <c r="B1763" s="8">
        <v>45581</v>
      </c>
      <c r="C1763" t="s">
        <v>815</v>
      </c>
      <c r="D1763" t="s">
        <v>1792</v>
      </c>
      <c r="E1763" t="s">
        <v>1920</v>
      </c>
      <c r="F1763">
        <v>2</v>
      </c>
      <c r="G1763" s="10">
        <v>60.53</v>
      </c>
      <c r="H1763" s="13">
        <v>0.18</v>
      </c>
      <c r="I1763" t="s">
        <v>1931</v>
      </c>
      <c r="J1763" s="16">
        <v>99.269200000000012</v>
      </c>
      <c r="K1763" s="19">
        <f t="shared" si="135"/>
        <v>253861.92470000006</v>
      </c>
      <c r="L1763" s="22">
        <f t="shared" si="136"/>
        <v>1062.1837853556488</v>
      </c>
      <c r="M1763" s="22">
        <f t="shared" si="137"/>
        <v>72</v>
      </c>
      <c r="N1763" s="22" t="str">
        <f t="shared" si="138"/>
        <v>Low Value</v>
      </c>
      <c r="O1763" s="22" t="str">
        <f t="shared" si="139"/>
        <v>Oct-2024</v>
      </c>
      <c r="P1763" s="22" t="s">
        <v>1793</v>
      </c>
      <c r="Q1763" s="22" t="s">
        <v>1560</v>
      </c>
      <c r="R1763" s="22" t="s">
        <v>816</v>
      </c>
      <c r="S1763" s="22"/>
      <c r="T1763" s="22"/>
    </row>
    <row r="1764" spans="1:20">
      <c r="A1764" t="s">
        <v>3701</v>
      </c>
      <c r="B1764" s="8">
        <v>45610</v>
      </c>
      <c r="C1764" t="s">
        <v>202</v>
      </c>
      <c r="D1764" t="s">
        <v>1807</v>
      </c>
      <c r="E1764" t="s">
        <v>1904</v>
      </c>
      <c r="F1764">
        <v>4</v>
      </c>
      <c r="G1764" s="10">
        <v>341.95</v>
      </c>
      <c r="H1764" s="13">
        <v>0.25</v>
      </c>
      <c r="I1764" t="s">
        <v>1931</v>
      </c>
      <c r="J1764" s="16">
        <v>1025.8499999999999</v>
      </c>
      <c r="K1764" s="19">
        <f t="shared" si="135"/>
        <v>253762.65550000005</v>
      </c>
      <c r="L1764" s="22">
        <f t="shared" si="136"/>
        <v>1066.2296449579835</v>
      </c>
      <c r="M1764" s="22">
        <f t="shared" si="137"/>
        <v>72</v>
      </c>
      <c r="N1764" s="22" t="str">
        <f t="shared" si="138"/>
        <v>High Value</v>
      </c>
      <c r="O1764" s="22" t="str">
        <f t="shared" si="139"/>
        <v>Nov-2024</v>
      </c>
      <c r="P1764" s="22" t="s">
        <v>1808</v>
      </c>
      <c r="Q1764" s="22" t="s">
        <v>1560</v>
      </c>
      <c r="R1764" s="22" t="s">
        <v>203</v>
      </c>
      <c r="S1764" s="22"/>
      <c r="T1764" s="22"/>
    </row>
    <row r="1765" spans="1:20">
      <c r="A1765" t="s">
        <v>3702</v>
      </c>
      <c r="B1765" s="8">
        <v>45438</v>
      </c>
      <c r="C1765" t="s">
        <v>898</v>
      </c>
      <c r="D1765" t="s">
        <v>1614</v>
      </c>
      <c r="E1765" t="s">
        <v>1911</v>
      </c>
      <c r="F1765">
        <v>4</v>
      </c>
      <c r="G1765" s="10">
        <v>300.12</v>
      </c>
      <c r="H1765" s="13">
        <v>0.05</v>
      </c>
      <c r="I1765" t="s">
        <v>1933</v>
      </c>
      <c r="J1765" s="16">
        <v>1140.4559999999999</v>
      </c>
      <c r="K1765" s="19">
        <f t="shared" si="135"/>
        <v>252736.80550000007</v>
      </c>
      <c r="L1765" s="22">
        <f t="shared" si="136"/>
        <v>1066.4000232067515</v>
      </c>
      <c r="M1765" s="22">
        <f t="shared" si="137"/>
        <v>72</v>
      </c>
      <c r="N1765" s="22" t="str">
        <f t="shared" si="138"/>
        <v>High Value</v>
      </c>
      <c r="O1765" s="22" t="str">
        <f t="shared" si="139"/>
        <v>May-2024</v>
      </c>
      <c r="P1765" s="22" t="s">
        <v>1615</v>
      </c>
      <c r="Q1765" s="22" t="s">
        <v>1569</v>
      </c>
      <c r="R1765" s="22" t="s">
        <v>899</v>
      </c>
      <c r="S1765" s="22"/>
      <c r="T1765" s="22"/>
    </row>
    <row r="1766" spans="1:20">
      <c r="A1766" t="s">
        <v>3703</v>
      </c>
      <c r="B1766" s="8">
        <v>45705</v>
      </c>
      <c r="C1766" t="s">
        <v>397</v>
      </c>
      <c r="D1766" t="s">
        <v>1633</v>
      </c>
      <c r="E1766" t="s">
        <v>1914</v>
      </c>
      <c r="F1766">
        <v>2</v>
      </c>
      <c r="G1766" s="10">
        <v>289.14</v>
      </c>
      <c r="H1766" s="13">
        <v>0.12</v>
      </c>
      <c r="I1766" t="s">
        <v>1936</v>
      </c>
      <c r="J1766" s="16">
        <v>508.88639999999998</v>
      </c>
      <c r="K1766" s="19">
        <f t="shared" si="135"/>
        <v>251596.34950000007</v>
      </c>
      <c r="L1766" s="22">
        <f t="shared" si="136"/>
        <v>1066.0862266949155</v>
      </c>
      <c r="M1766" s="22">
        <f t="shared" si="137"/>
        <v>71</v>
      </c>
      <c r="N1766" s="22" t="str">
        <f t="shared" si="138"/>
        <v>Low Value</v>
      </c>
      <c r="O1766" s="22" t="str">
        <f t="shared" si="139"/>
        <v>Feb-2025</v>
      </c>
      <c r="P1766" s="22" t="s">
        <v>1634</v>
      </c>
      <c r="Q1766" s="22" t="s">
        <v>1569</v>
      </c>
      <c r="R1766" s="22" t="s">
        <v>398</v>
      </c>
      <c r="S1766" s="22"/>
      <c r="T1766" s="22"/>
    </row>
    <row r="1767" spans="1:20">
      <c r="A1767" t="s">
        <v>3704</v>
      </c>
      <c r="B1767" s="8">
        <v>45695</v>
      </c>
      <c r="C1767" t="s">
        <v>174</v>
      </c>
      <c r="D1767" t="s">
        <v>1624</v>
      </c>
      <c r="E1767" t="s">
        <v>1859</v>
      </c>
      <c r="F1767">
        <v>2</v>
      </c>
      <c r="G1767" s="10">
        <v>596.84</v>
      </c>
      <c r="H1767" s="13">
        <v>0.01</v>
      </c>
      <c r="I1767" t="s">
        <v>1933</v>
      </c>
      <c r="J1767" s="16">
        <v>1181.7431999999999</v>
      </c>
      <c r="K1767" s="19">
        <f t="shared" si="135"/>
        <v>251087.46310000005</v>
      </c>
      <c r="L1767" s="22">
        <f t="shared" si="136"/>
        <v>1068.4572897872342</v>
      </c>
      <c r="M1767" s="22">
        <f t="shared" si="137"/>
        <v>71</v>
      </c>
      <c r="N1767" s="22" t="str">
        <f t="shared" si="138"/>
        <v>High Value</v>
      </c>
      <c r="O1767" s="22" t="str">
        <f t="shared" si="139"/>
        <v>Feb-2025</v>
      </c>
      <c r="P1767" s="22" t="s">
        <v>1625</v>
      </c>
      <c r="Q1767" s="22" t="s">
        <v>1536</v>
      </c>
      <c r="R1767" s="22" t="s">
        <v>3944</v>
      </c>
      <c r="S1767" s="22"/>
      <c r="T1767" s="22"/>
    </row>
    <row r="1768" spans="1:20">
      <c r="A1768" t="s">
        <v>3705</v>
      </c>
      <c r="B1768" s="8">
        <v>45571</v>
      </c>
      <c r="C1768" t="s">
        <v>1343</v>
      </c>
      <c r="D1768" t="s">
        <v>1603</v>
      </c>
      <c r="E1768" t="s">
        <v>1889</v>
      </c>
      <c r="F1768">
        <v>4</v>
      </c>
      <c r="G1768" s="10">
        <v>466.24</v>
      </c>
      <c r="H1768" s="13">
        <v>0.16</v>
      </c>
      <c r="I1768" t="s">
        <v>1931</v>
      </c>
      <c r="J1768" s="16">
        <v>1566.5663999999999</v>
      </c>
      <c r="K1768" s="19">
        <f t="shared" si="135"/>
        <v>249905.71990000008</v>
      </c>
      <c r="L1768" s="22">
        <f t="shared" si="136"/>
        <v>1067.9731619658123</v>
      </c>
      <c r="M1768" s="22">
        <f t="shared" si="137"/>
        <v>70</v>
      </c>
      <c r="N1768" s="22" t="str">
        <f t="shared" si="138"/>
        <v>High Value</v>
      </c>
      <c r="O1768" s="22" t="str">
        <f t="shared" si="139"/>
        <v>Oct-2024</v>
      </c>
      <c r="P1768" s="22" t="s">
        <v>1604</v>
      </c>
      <c r="Q1768" s="22" t="s">
        <v>1569</v>
      </c>
      <c r="R1768" s="22" t="s">
        <v>1344</v>
      </c>
      <c r="S1768" s="22"/>
      <c r="T1768" s="22"/>
    </row>
    <row r="1769" spans="1:20">
      <c r="A1769" t="s">
        <v>3706</v>
      </c>
      <c r="B1769" s="8">
        <v>45544</v>
      </c>
      <c r="C1769" t="s">
        <v>807</v>
      </c>
      <c r="D1769" t="s">
        <v>1583</v>
      </c>
      <c r="E1769" t="s">
        <v>1911</v>
      </c>
      <c r="F1769">
        <v>2</v>
      </c>
      <c r="G1769" s="10">
        <v>330.59</v>
      </c>
      <c r="H1769" s="13">
        <v>0.14000000000000001</v>
      </c>
      <c r="I1769" t="s">
        <v>1931</v>
      </c>
      <c r="J1769" s="16">
        <v>568.61479999999995</v>
      </c>
      <c r="K1769" s="19">
        <f t="shared" si="135"/>
        <v>248339.15350000007</v>
      </c>
      <c r="L1769" s="22">
        <f t="shared" si="136"/>
        <v>1065.8332768240346</v>
      </c>
      <c r="M1769" s="22">
        <f t="shared" si="137"/>
        <v>70</v>
      </c>
      <c r="N1769" s="22" t="str">
        <f t="shared" si="138"/>
        <v>Low Value</v>
      </c>
      <c r="O1769" s="22" t="str">
        <f t="shared" si="139"/>
        <v>Sep-2024</v>
      </c>
      <c r="P1769" s="22" t="s">
        <v>1584</v>
      </c>
      <c r="Q1769" s="22" t="s">
        <v>1531</v>
      </c>
      <c r="R1769" s="22" t="s">
        <v>808</v>
      </c>
      <c r="S1769" s="22"/>
      <c r="T1769" s="22"/>
    </row>
    <row r="1770" spans="1:20">
      <c r="A1770" t="s">
        <v>3707</v>
      </c>
      <c r="B1770" s="8">
        <v>45654</v>
      </c>
      <c r="C1770" t="s">
        <v>1503</v>
      </c>
      <c r="D1770" t="s">
        <v>1614</v>
      </c>
      <c r="E1770" t="s">
        <v>1883</v>
      </c>
      <c r="F1770">
        <v>2</v>
      </c>
      <c r="G1770" s="10">
        <v>616.42999999999995</v>
      </c>
      <c r="H1770" s="13">
        <v>0.02</v>
      </c>
      <c r="I1770" t="s">
        <v>1936</v>
      </c>
      <c r="J1770" s="16">
        <v>1208.2028</v>
      </c>
      <c r="K1770" s="19">
        <f t="shared" si="135"/>
        <v>247770.53870000006</v>
      </c>
      <c r="L1770" s="22">
        <f t="shared" si="136"/>
        <v>1067.9764599137934</v>
      </c>
      <c r="M1770" s="22">
        <f t="shared" si="137"/>
        <v>70</v>
      </c>
      <c r="N1770" s="22" t="str">
        <f t="shared" si="138"/>
        <v>High Value</v>
      </c>
      <c r="O1770" s="22" t="str">
        <f t="shared" si="139"/>
        <v>Dec-2024</v>
      </c>
      <c r="P1770" s="22" t="s">
        <v>1615</v>
      </c>
      <c r="Q1770" s="22" t="s">
        <v>1569</v>
      </c>
      <c r="R1770" s="22" t="s">
        <v>1504</v>
      </c>
      <c r="S1770" s="22"/>
      <c r="T1770" s="22"/>
    </row>
    <row r="1771" spans="1:20">
      <c r="A1771" t="s">
        <v>3708</v>
      </c>
      <c r="B1771" s="8">
        <v>45589</v>
      </c>
      <c r="C1771" t="s">
        <v>1247</v>
      </c>
      <c r="D1771" t="s">
        <v>1743</v>
      </c>
      <c r="E1771" t="s">
        <v>1883</v>
      </c>
      <c r="F1771">
        <v>3</v>
      </c>
      <c r="G1771" s="10">
        <v>195.89</v>
      </c>
      <c r="H1771" s="13">
        <v>0.16</v>
      </c>
      <c r="I1771" t="s">
        <v>1933</v>
      </c>
      <c r="J1771" s="16">
        <v>493.64280000000002</v>
      </c>
      <c r="K1771" s="19">
        <f t="shared" si="135"/>
        <v>246562.33590000006</v>
      </c>
      <c r="L1771" s="22">
        <f t="shared" si="136"/>
        <v>1067.3694194805198</v>
      </c>
      <c r="M1771" s="22">
        <f t="shared" si="137"/>
        <v>70</v>
      </c>
      <c r="N1771" s="22" t="str">
        <f t="shared" si="138"/>
        <v>Low Value</v>
      </c>
      <c r="O1771" s="22" t="str">
        <f t="shared" si="139"/>
        <v>Oct-2024</v>
      </c>
      <c r="P1771" s="22" t="s">
        <v>1744</v>
      </c>
      <c r="Q1771" s="22" t="s">
        <v>1555</v>
      </c>
      <c r="R1771" s="22" t="s">
        <v>1248</v>
      </c>
      <c r="S1771" s="22"/>
      <c r="T1771" s="22"/>
    </row>
    <row r="1772" spans="1:20">
      <c r="A1772" t="s">
        <v>3709</v>
      </c>
      <c r="B1772" s="8">
        <v>45487</v>
      </c>
      <c r="C1772" t="s">
        <v>1073</v>
      </c>
      <c r="D1772" t="s">
        <v>1558</v>
      </c>
      <c r="E1772" t="s">
        <v>1896</v>
      </c>
      <c r="F1772">
        <v>4</v>
      </c>
      <c r="G1772" s="10">
        <v>614.76</v>
      </c>
      <c r="H1772" s="13">
        <v>0.16</v>
      </c>
      <c r="I1772" t="s">
        <v>1931</v>
      </c>
      <c r="J1772" s="16">
        <v>2065.5936000000002</v>
      </c>
      <c r="K1772" s="19">
        <f t="shared" si="135"/>
        <v>246068.69310000006</v>
      </c>
      <c r="L1772" s="22">
        <f t="shared" si="136"/>
        <v>1069.8638830434786</v>
      </c>
      <c r="M1772" s="22">
        <f t="shared" si="137"/>
        <v>69</v>
      </c>
      <c r="N1772" s="22" t="str">
        <f t="shared" si="138"/>
        <v>High Value</v>
      </c>
      <c r="O1772" s="22" t="str">
        <f t="shared" si="139"/>
        <v>Jul-2024</v>
      </c>
      <c r="P1772" s="22" t="s">
        <v>1559</v>
      </c>
      <c r="Q1772" s="22" t="s">
        <v>1560</v>
      </c>
      <c r="R1772" s="22" t="s">
        <v>1074</v>
      </c>
      <c r="S1772" s="22"/>
      <c r="T1772" s="22"/>
    </row>
    <row r="1773" spans="1:20">
      <c r="A1773" t="s">
        <v>3710</v>
      </c>
      <c r="B1773" s="8">
        <v>45418</v>
      </c>
      <c r="C1773" t="s">
        <v>1250</v>
      </c>
      <c r="D1773" t="s">
        <v>1792</v>
      </c>
      <c r="E1773" t="s">
        <v>1886</v>
      </c>
      <c r="F1773">
        <v>1</v>
      </c>
      <c r="G1773" s="10">
        <v>224.49</v>
      </c>
      <c r="H1773" s="13">
        <v>0.11</v>
      </c>
      <c r="I1773" t="s">
        <v>1933</v>
      </c>
      <c r="J1773" s="16">
        <v>199.7961</v>
      </c>
      <c r="K1773" s="19">
        <f t="shared" si="135"/>
        <v>244003.09950000004</v>
      </c>
      <c r="L1773" s="22">
        <f t="shared" si="136"/>
        <v>1065.5157183406116</v>
      </c>
      <c r="M1773" s="22">
        <f t="shared" si="137"/>
        <v>69</v>
      </c>
      <c r="N1773" s="22" t="str">
        <f t="shared" si="138"/>
        <v>Low Value</v>
      </c>
      <c r="O1773" s="22" t="str">
        <f t="shared" si="139"/>
        <v>May-2024</v>
      </c>
      <c r="P1773" s="22" t="s">
        <v>1793</v>
      </c>
      <c r="Q1773" s="22" t="s">
        <v>1560</v>
      </c>
      <c r="R1773" s="22" t="s">
        <v>1251</v>
      </c>
      <c r="S1773" s="22"/>
      <c r="T1773" s="22"/>
    </row>
    <row r="1774" spans="1:20">
      <c r="A1774" t="s">
        <v>3711</v>
      </c>
      <c r="B1774" s="8">
        <v>45338</v>
      </c>
      <c r="C1774" t="s">
        <v>1110</v>
      </c>
      <c r="D1774" t="s">
        <v>1719</v>
      </c>
      <c r="E1774" t="s">
        <v>1901</v>
      </c>
      <c r="F1774">
        <v>1</v>
      </c>
      <c r="G1774" s="10">
        <v>967.76</v>
      </c>
      <c r="H1774" s="13">
        <v>0.09</v>
      </c>
      <c r="I1774" t="s">
        <v>1931</v>
      </c>
      <c r="J1774" s="16">
        <v>880.66160000000002</v>
      </c>
      <c r="K1774" s="19">
        <f t="shared" si="135"/>
        <v>243803.30340000003</v>
      </c>
      <c r="L1774" s="22">
        <f t="shared" si="136"/>
        <v>1069.3127342105265</v>
      </c>
      <c r="M1774" s="22">
        <f t="shared" si="137"/>
        <v>68</v>
      </c>
      <c r="N1774" s="22" t="str">
        <f t="shared" si="138"/>
        <v>Low Value</v>
      </c>
      <c r="O1774" s="22" t="str">
        <f t="shared" si="139"/>
        <v>Feb-2024</v>
      </c>
      <c r="P1774" s="22" t="s">
        <v>1720</v>
      </c>
      <c r="Q1774" s="22" t="s">
        <v>1560</v>
      </c>
      <c r="R1774" s="22" t="s">
        <v>1111</v>
      </c>
      <c r="S1774" s="22"/>
      <c r="T1774" s="22"/>
    </row>
    <row r="1775" spans="1:20">
      <c r="A1775" t="s">
        <v>3712</v>
      </c>
      <c r="B1775" s="8">
        <v>45507</v>
      </c>
      <c r="C1775" t="s">
        <v>244</v>
      </c>
      <c r="D1775" t="s">
        <v>1675</v>
      </c>
      <c r="E1775" t="s">
        <v>1920</v>
      </c>
      <c r="F1775">
        <v>2</v>
      </c>
      <c r="G1775" s="10">
        <v>56.52</v>
      </c>
      <c r="H1775" s="13">
        <v>0.17</v>
      </c>
      <c r="I1775" t="s">
        <v>1933</v>
      </c>
      <c r="J1775" s="16">
        <v>93.8232</v>
      </c>
      <c r="K1775" s="19">
        <f t="shared" si="135"/>
        <v>242922.64180000004</v>
      </c>
      <c r="L1775" s="22">
        <f t="shared" si="136"/>
        <v>1070.1437964757711</v>
      </c>
      <c r="M1775" s="22">
        <f t="shared" si="137"/>
        <v>68</v>
      </c>
      <c r="N1775" s="22" t="str">
        <f t="shared" si="138"/>
        <v>Low Value</v>
      </c>
      <c r="O1775" s="22" t="str">
        <f t="shared" si="139"/>
        <v>Aug-2024</v>
      </c>
      <c r="P1775" s="22" t="s">
        <v>1676</v>
      </c>
      <c r="Q1775" s="22" t="s">
        <v>1569</v>
      </c>
      <c r="R1775" s="22" t="s">
        <v>245</v>
      </c>
      <c r="S1775" s="22"/>
      <c r="T1775" s="22"/>
    </row>
    <row r="1776" spans="1:20">
      <c r="A1776" t="s">
        <v>3713</v>
      </c>
      <c r="B1776" s="8">
        <v>45275</v>
      </c>
      <c r="C1776" t="s">
        <v>1495</v>
      </c>
      <c r="D1776" t="s">
        <v>1755</v>
      </c>
      <c r="E1776" t="s">
        <v>1864</v>
      </c>
      <c r="F1776">
        <v>4</v>
      </c>
      <c r="G1776" s="10">
        <v>921.84</v>
      </c>
      <c r="H1776" s="13">
        <v>0.04</v>
      </c>
      <c r="I1776" t="s">
        <v>1931</v>
      </c>
      <c r="J1776" s="16">
        <v>3539.8656000000001</v>
      </c>
      <c r="K1776" s="19">
        <f t="shared" si="135"/>
        <v>242828.81860000006</v>
      </c>
      <c r="L1776" s="22">
        <f t="shared" si="136"/>
        <v>1074.4637991150446</v>
      </c>
      <c r="M1776" s="22">
        <f t="shared" si="137"/>
        <v>67</v>
      </c>
      <c r="N1776" s="22" t="str">
        <f t="shared" si="138"/>
        <v>High Value</v>
      </c>
      <c r="O1776" s="22" t="str">
        <f t="shared" si="139"/>
        <v>Dec-2023</v>
      </c>
      <c r="P1776" s="22" t="s">
        <v>1756</v>
      </c>
      <c r="Q1776" s="22" t="s">
        <v>1531</v>
      </c>
      <c r="R1776" s="22" t="s">
        <v>1496</v>
      </c>
      <c r="S1776" s="22"/>
      <c r="T1776" s="22"/>
    </row>
    <row r="1777" spans="1:20">
      <c r="A1777" t="s">
        <v>3714</v>
      </c>
      <c r="B1777" s="8">
        <v>45319</v>
      </c>
      <c r="C1777" t="s">
        <v>1028</v>
      </c>
      <c r="D1777" t="s">
        <v>1813</v>
      </c>
      <c r="E1777" t="s">
        <v>1911</v>
      </c>
      <c r="F1777">
        <v>3</v>
      </c>
      <c r="G1777" s="10">
        <v>738.47</v>
      </c>
      <c r="H1777" s="13">
        <v>0.28000000000000003</v>
      </c>
      <c r="I1777" t="s">
        <v>1931</v>
      </c>
      <c r="J1777" s="16">
        <v>1595.0952</v>
      </c>
      <c r="K1777" s="19">
        <f t="shared" si="135"/>
        <v>239288.95300000004</v>
      </c>
      <c r="L1777" s="22">
        <f t="shared" si="136"/>
        <v>1063.506457777778</v>
      </c>
      <c r="M1777" s="22">
        <f t="shared" si="137"/>
        <v>67</v>
      </c>
      <c r="N1777" s="22" t="str">
        <f t="shared" si="138"/>
        <v>High Value</v>
      </c>
      <c r="O1777" s="22" t="str">
        <f t="shared" si="139"/>
        <v>Jan-2024</v>
      </c>
      <c r="P1777" s="22" t="s">
        <v>1814</v>
      </c>
      <c r="Q1777" s="22" t="s">
        <v>1560</v>
      </c>
      <c r="R1777" s="22" t="s">
        <v>1029</v>
      </c>
      <c r="S1777" s="22"/>
      <c r="T1777" s="22"/>
    </row>
    <row r="1778" spans="1:20">
      <c r="A1778" t="s">
        <v>3715</v>
      </c>
      <c r="B1778" s="8">
        <v>45620</v>
      </c>
      <c r="C1778" t="s">
        <v>1028</v>
      </c>
      <c r="D1778" t="s">
        <v>1549</v>
      </c>
      <c r="E1778" t="s">
        <v>1859</v>
      </c>
      <c r="F1778">
        <v>4</v>
      </c>
      <c r="G1778" s="10">
        <v>477.83</v>
      </c>
      <c r="H1778" s="13">
        <v>0.05</v>
      </c>
      <c r="I1778" t="s">
        <v>1936</v>
      </c>
      <c r="J1778" s="16">
        <v>1815.7539999999999</v>
      </c>
      <c r="K1778" s="19">
        <f t="shared" si="135"/>
        <v>237693.85780000003</v>
      </c>
      <c r="L1778" s="22">
        <f t="shared" si="136"/>
        <v>1061.1332937500001</v>
      </c>
      <c r="M1778" s="22">
        <f t="shared" si="137"/>
        <v>67</v>
      </c>
      <c r="N1778" s="22" t="str">
        <f t="shared" si="138"/>
        <v>High Value</v>
      </c>
      <c r="O1778" s="22" t="str">
        <f t="shared" si="139"/>
        <v>Nov-2024</v>
      </c>
      <c r="P1778" s="22" t="s">
        <v>1550</v>
      </c>
      <c r="Q1778" s="22" t="s">
        <v>1536</v>
      </c>
      <c r="R1778" s="22" t="s">
        <v>1029</v>
      </c>
      <c r="S1778" s="22"/>
      <c r="T1778" s="22"/>
    </row>
    <row r="1779" spans="1:20">
      <c r="A1779" t="s">
        <v>3716</v>
      </c>
      <c r="B1779" s="8">
        <v>45831</v>
      </c>
      <c r="C1779" t="s">
        <v>557</v>
      </c>
      <c r="D1779" t="s">
        <v>1678</v>
      </c>
      <c r="E1779" t="s">
        <v>1901</v>
      </c>
      <c r="F1779">
        <v>3</v>
      </c>
      <c r="G1779" s="10">
        <v>605.83000000000004</v>
      </c>
      <c r="H1779" s="13">
        <v>0.28000000000000003</v>
      </c>
      <c r="I1779" t="s">
        <v>1936</v>
      </c>
      <c r="J1779" s="16">
        <v>1308.5927999999999</v>
      </c>
      <c r="K1779" s="19">
        <f t="shared" si="135"/>
        <v>235878.10380000004</v>
      </c>
      <c r="L1779" s="22">
        <f t="shared" si="136"/>
        <v>1057.7493443946191</v>
      </c>
      <c r="M1779" s="22">
        <f t="shared" si="137"/>
        <v>67</v>
      </c>
      <c r="N1779" s="22" t="str">
        <f t="shared" si="138"/>
        <v>High Value</v>
      </c>
      <c r="O1779" s="22" t="str">
        <f t="shared" si="139"/>
        <v>Jun-2025</v>
      </c>
      <c r="P1779" s="22" t="s">
        <v>1679</v>
      </c>
      <c r="Q1779" s="22" t="s">
        <v>1531</v>
      </c>
      <c r="R1779" s="22" t="s">
        <v>558</v>
      </c>
      <c r="S1779" s="22"/>
      <c r="T1779" s="22"/>
    </row>
    <row r="1780" spans="1:20">
      <c r="A1780" t="s">
        <v>3717</v>
      </c>
      <c r="B1780" s="8">
        <v>45373</v>
      </c>
      <c r="C1780" t="s">
        <v>244</v>
      </c>
      <c r="D1780" t="s">
        <v>1681</v>
      </c>
      <c r="E1780" t="s">
        <v>1873</v>
      </c>
      <c r="F1780">
        <v>2</v>
      </c>
      <c r="G1780" s="10">
        <v>521.44000000000005</v>
      </c>
      <c r="H1780" s="13">
        <v>0.25</v>
      </c>
      <c r="I1780" t="s">
        <v>1936</v>
      </c>
      <c r="J1780" s="16">
        <v>782.16000000000008</v>
      </c>
      <c r="K1780" s="19">
        <f t="shared" si="135"/>
        <v>234569.51100000006</v>
      </c>
      <c r="L1780" s="22">
        <f t="shared" si="136"/>
        <v>1056.6194189189191</v>
      </c>
      <c r="M1780" s="22">
        <f t="shared" si="137"/>
        <v>67</v>
      </c>
      <c r="N1780" s="22" t="str">
        <f t="shared" si="138"/>
        <v>Low Value</v>
      </c>
      <c r="O1780" s="22" t="str">
        <f t="shared" si="139"/>
        <v>Mar-2024</v>
      </c>
      <c r="P1780" s="22" t="s">
        <v>1682</v>
      </c>
      <c r="Q1780" s="22" t="s">
        <v>1531</v>
      </c>
      <c r="R1780" s="22" t="s">
        <v>245</v>
      </c>
      <c r="S1780" s="22"/>
      <c r="T1780" s="22"/>
    </row>
    <row r="1781" spans="1:20">
      <c r="A1781" t="s">
        <v>3718</v>
      </c>
      <c r="B1781" s="8">
        <v>45863</v>
      </c>
      <c r="C1781" t="s">
        <v>1160</v>
      </c>
      <c r="D1781" t="s">
        <v>1572</v>
      </c>
      <c r="E1781" t="s">
        <v>1886</v>
      </c>
      <c r="F1781">
        <v>4</v>
      </c>
      <c r="G1781" s="10">
        <v>499.02</v>
      </c>
      <c r="H1781" s="13">
        <v>0.06</v>
      </c>
      <c r="I1781" t="s">
        <v>1931</v>
      </c>
      <c r="J1781" s="16">
        <v>1876.3152</v>
      </c>
      <c r="K1781" s="19">
        <f t="shared" si="135"/>
        <v>233787.35100000005</v>
      </c>
      <c r="L1781" s="22">
        <f t="shared" si="136"/>
        <v>1057.8613167420817</v>
      </c>
      <c r="M1781" s="22">
        <f t="shared" si="137"/>
        <v>67</v>
      </c>
      <c r="N1781" s="22" t="str">
        <f t="shared" si="138"/>
        <v>High Value</v>
      </c>
      <c r="O1781" s="22" t="str">
        <f t="shared" si="139"/>
        <v>Jul-2025</v>
      </c>
      <c r="P1781" s="22" t="s">
        <v>1573</v>
      </c>
      <c r="Q1781" s="22" t="s">
        <v>1560</v>
      </c>
      <c r="R1781" s="22" t="s">
        <v>1161</v>
      </c>
      <c r="S1781" s="22"/>
      <c r="T1781" s="22"/>
    </row>
    <row r="1782" spans="1:20">
      <c r="A1782" t="s">
        <v>3719</v>
      </c>
      <c r="B1782" s="8">
        <v>45758</v>
      </c>
      <c r="C1782" t="s">
        <v>512</v>
      </c>
      <c r="D1782" t="s">
        <v>1545</v>
      </c>
      <c r="E1782" t="s">
        <v>1917</v>
      </c>
      <c r="F1782">
        <v>4</v>
      </c>
      <c r="G1782" s="10">
        <v>299.45999999999998</v>
      </c>
      <c r="H1782" s="13">
        <v>0.18</v>
      </c>
      <c r="I1782" t="s">
        <v>1936</v>
      </c>
      <c r="J1782" s="16">
        <v>982.22879999999998</v>
      </c>
      <c r="K1782" s="19">
        <f t="shared" si="135"/>
        <v>231911.03580000007</v>
      </c>
      <c r="L1782" s="22">
        <f t="shared" si="136"/>
        <v>1054.1410718181821</v>
      </c>
      <c r="M1782" s="22">
        <f t="shared" si="137"/>
        <v>67</v>
      </c>
      <c r="N1782" s="22" t="str">
        <f t="shared" si="138"/>
        <v>Low Value</v>
      </c>
      <c r="O1782" s="22" t="str">
        <f t="shared" si="139"/>
        <v>Apr-2025</v>
      </c>
      <c r="P1782" s="22" t="s">
        <v>1546</v>
      </c>
      <c r="Q1782" s="22" t="s">
        <v>1536</v>
      </c>
      <c r="R1782" s="22" t="s">
        <v>513</v>
      </c>
      <c r="S1782" s="22"/>
      <c r="T1782" s="22"/>
    </row>
    <row r="1783" spans="1:20">
      <c r="A1783" t="s">
        <v>3720</v>
      </c>
      <c r="B1783" s="8">
        <v>45285</v>
      </c>
      <c r="C1783" t="s">
        <v>1402</v>
      </c>
      <c r="D1783" t="s">
        <v>1668</v>
      </c>
      <c r="E1783" t="s">
        <v>1859</v>
      </c>
      <c r="F1783">
        <v>1</v>
      </c>
      <c r="G1783" s="10">
        <v>609.29</v>
      </c>
      <c r="H1783" s="13">
        <v>0.15</v>
      </c>
      <c r="I1783" t="s">
        <v>1931</v>
      </c>
      <c r="J1783" s="16">
        <v>517.89649999999995</v>
      </c>
      <c r="K1783" s="19">
        <f t="shared" si="135"/>
        <v>230928.80700000009</v>
      </c>
      <c r="L1783" s="22">
        <f t="shared" si="136"/>
        <v>1054.4694383561648</v>
      </c>
      <c r="M1783" s="22">
        <f t="shared" si="137"/>
        <v>67</v>
      </c>
      <c r="N1783" s="22" t="str">
        <f t="shared" si="138"/>
        <v>Low Value</v>
      </c>
      <c r="O1783" s="22" t="str">
        <f t="shared" si="139"/>
        <v>Dec-2023</v>
      </c>
      <c r="P1783" s="22" t="s">
        <v>1669</v>
      </c>
      <c r="Q1783" s="22" t="s">
        <v>1531</v>
      </c>
      <c r="R1783" s="22" t="s">
        <v>1403</v>
      </c>
      <c r="S1783" s="22"/>
      <c r="T1783" s="22"/>
    </row>
    <row r="1784" spans="1:20">
      <c r="A1784" t="s">
        <v>3721</v>
      </c>
      <c r="B1784" s="8">
        <v>45656</v>
      </c>
      <c r="C1784" t="s">
        <v>355</v>
      </c>
      <c r="D1784" t="s">
        <v>1539</v>
      </c>
      <c r="E1784" t="s">
        <v>1889</v>
      </c>
      <c r="F1784">
        <v>1</v>
      </c>
      <c r="G1784" s="10">
        <v>213.74</v>
      </c>
      <c r="H1784" s="13">
        <v>7.0000000000000007E-2</v>
      </c>
      <c r="I1784" t="s">
        <v>1936</v>
      </c>
      <c r="J1784" s="16">
        <v>198.7782</v>
      </c>
      <c r="K1784" s="19">
        <f t="shared" si="135"/>
        <v>230410.91050000011</v>
      </c>
      <c r="L1784" s="22">
        <f t="shared" si="136"/>
        <v>1056.9307821100922</v>
      </c>
      <c r="M1784" s="22">
        <f t="shared" si="137"/>
        <v>67</v>
      </c>
      <c r="N1784" s="22" t="str">
        <f t="shared" si="138"/>
        <v>Low Value</v>
      </c>
      <c r="O1784" s="22" t="str">
        <f t="shared" si="139"/>
        <v>Dec-2024</v>
      </c>
      <c r="P1784" s="22" t="s">
        <v>1540</v>
      </c>
      <c r="Q1784" s="22" t="s">
        <v>1536</v>
      </c>
      <c r="R1784" s="22" t="s">
        <v>356</v>
      </c>
      <c r="S1784" s="22"/>
      <c r="T1784" s="22"/>
    </row>
    <row r="1785" spans="1:20">
      <c r="A1785" t="s">
        <v>3722</v>
      </c>
      <c r="B1785" s="8">
        <v>45718</v>
      </c>
      <c r="C1785" t="s">
        <v>512</v>
      </c>
      <c r="D1785" t="s">
        <v>1719</v>
      </c>
      <c r="E1785" t="s">
        <v>1911</v>
      </c>
      <c r="F1785">
        <v>4</v>
      </c>
      <c r="G1785" s="10">
        <v>613.16999999999996</v>
      </c>
      <c r="H1785" s="13">
        <v>0.26</v>
      </c>
      <c r="I1785" t="s">
        <v>1931</v>
      </c>
      <c r="J1785" s="16">
        <v>1814.9831999999999</v>
      </c>
      <c r="K1785" s="19">
        <f t="shared" si="135"/>
        <v>230212.13230000011</v>
      </c>
      <c r="L1785" s="22">
        <f t="shared" si="136"/>
        <v>1060.8854023041481</v>
      </c>
      <c r="M1785" s="22">
        <f t="shared" si="137"/>
        <v>67</v>
      </c>
      <c r="N1785" s="22" t="str">
        <f t="shared" si="138"/>
        <v>High Value</v>
      </c>
      <c r="O1785" s="22" t="str">
        <f t="shared" si="139"/>
        <v>Mar-2025</v>
      </c>
      <c r="P1785" s="22" t="s">
        <v>1720</v>
      </c>
      <c r="Q1785" s="22" t="s">
        <v>1560</v>
      </c>
      <c r="R1785" s="22" t="s">
        <v>513</v>
      </c>
      <c r="S1785" s="22"/>
      <c r="T1785" s="22"/>
    </row>
    <row r="1786" spans="1:20">
      <c r="A1786" t="s">
        <v>3723</v>
      </c>
      <c r="B1786" s="8">
        <v>45293</v>
      </c>
      <c r="C1786" t="s">
        <v>1113</v>
      </c>
      <c r="D1786" t="s">
        <v>1731</v>
      </c>
      <c r="E1786" t="s">
        <v>1899</v>
      </c>
      <c r="F1786">
        <v>2</v>
      </c>
      <c r="G1786" s="10">
        <v>687.36</v>
      </c>
      <c r="H1786" s="13">
        <v>7.0000000000000007E-2</v>
      </c>
      <c r="I1786" t="s">
        <v>1936</v>
      </c>
      <c r="J1786" s="16">
        <v>1278.4896000000001</v>
      </c>
      <c r="K1786" s="19">
        <f t="shared" si="135"/>
        <v>228397.1491000001</v>
      </c>
      <c r="L1786" s="22">
        <f t="shared" si="136"/>
        <v>1057.3942087962967</v>
      </c>
      <c r="M1786" s="22">
        <f t="shared" si="137"/>
        <v>67</v>
      </c>
      <c r="N1786" s="22" t="str">
        <f t="shared" si="138"/>
        <v>High Value</v>
      </c>
      <c r="O1786" s="22" t="str">
        <f t="shared" si="139"/>
        <v>Jan-2024</v>
      </c>
      <c r="P1786" s="22" t="s">
        <v>1732</v>
      </c>
      <c r="Q1786" s="22" t="s">
        <v>1555</v>
      </c>
      <c r="R1786" s="22" t="s">
        <v>1114</v>
      </c>
      <c r="S1786" s="22"/>
      <c r="T1786" s="22"/>
    </row>
    <row r="1787" spans="1:20">
      <c r="A1787" t="s">
        <v>3724</v>
      </c>
      <c r="B1787" s="8">
        <v>45915</v>
      </c>
      <c r="C1787" t="s">
        <v>1022</v>
      </c>
      <c r="D1787" t="s">
        <v>1755</v>
      </c>
      <c r="E1787" t="s">
        <v>1904</v>
      </c>
      <c r="F1787">
        <v>3</v>
      </c>
      <c r="G1787" s="10">
        <v>115.39</v>
      </c>
      <c r="H1787" s="13">
        <v>0.02</v>
      </c>
      <c r="I1787" t="s">
        <v>1933</v>
      </c>
      <c r="J1787" s="16">
        <v>339.2466</v>
      </c>
      <c r="K1787" s="19">
        <f t="shared" si="135"/>
        <v>227118.65950000007</v>
      </c>
      <c r="L1787" s="22">
        <f t="shared" si="136"/>
        <v>1056.3658581395352</v>
      </c>
      <c r="M1787" s="22">
        <f t="shared" si="137"/>
        <v>67</v>
      </c>
      <c r="N1787" s="22" t="str">
        <f t="shared" si="138"/>
        <v>Low Value</v>
      </c>
      <c r="O1787" s="22" t="str">
        <f t="shared" si="139"/>
        <v>Sep-2025</v>
      </c>
      <c r="P1787" s="22" t="s">
        <v>1756</v>
      </c>
      <c r="Q1787" s="22" t="s">
        <v>1531</v>
      </c>
      <c r="R1787" s="22" t="s">
        <v>1023</v>
      </c>
      <c r="S1787" s="22"/>
      <c r="T1787" s="22"/>
    </row>
    <row r="1788" spans="1:20">
      <c r="A1788" t="s">
        <v>3725</v>
      </c>
      <c r="B1788" s="8">
        <v>45359</v>
      </c>
      <c r="C1788" t="s">
        <v>590</v>
      </c>
      <c r="D1788" t="s">
        <v>1620</v>
      </c>
      <c r="E1788" t="s">
        <v>1901</v>
      </c>
      <c r="F1788">
        <v>2</v>
      </c>
      <c r="G1788" s="10">
        <v>722.06</v>
      </c>
      <c r="H1788" s="13">
        <v>7.0000000000000007E-2</v>
      </c>
      <c r="I1788" t="s">
        <v>1931</v>
      </c>
      <c r="J1788" s="16">
        <v>1343.0316</v>
      </c>
      <c r="K1788" s="19">
        <f t="shared" si="135"/>
        <v>226779.41290000008</v>
      </c>
      <c r="L1788" s="22">
        <f t="shared" si="136"/>
        <v>1059.7168827102807</v>
      </c>
      <c r="M1788" s="22">
        <f t="shared" si="137"/>
        <v>66</v>
      </c>
      <c r="N1788" s="22" t="str">
        <f t="shared" si="138"/>
        <v>High Value</v>
      </c>
      <c r="O1788" s="22" t="str">
        <f t="shared" si="139"/>
        <v>Mar-2024</v>
      </c>
      <c r="P1788" s="22" t="s">
        <v>1621</v>
      </c>
      <c r="Q1788" s="22" t="s">
        <v>1569</v>
      </c>
      <c r="R1788" s="22" t="s">
        <v>591</v>
      </c>
      <c r="S1788" s="22"/>
      <c r="T1788" s="22"/>
    </row>
    <row r="1789" spans="1:20">
      <c r="A1789" t="s">
        <v>3726</v>
      </c>
      <c r="B1789" s="8">
        <v>45652</v>
      </c>
      <c r="C1789" t="s">
        <v>1310</v>
      </c>
      <c r="D1789" t="s">
        <v>1558</v>
      </c>
      <c r="E1789" t="s">
        <v>1908</v>
      </c>
      <c r="F1789">
        <v>1</v>
      </c>
      <c r="G1789" s="10">
        <v>384.57</v>
      </c>
      <c r="H1789" s="13">
        <v>0.06</v>
      </c>
      <c r="I1789" t="s">
        <v>1933</v>
      </c>
      <c r="J1789" s="16">
        <v>361.49579999999997</v>
      </c>
      <c r="K1789" s="19">
        <f t="shared" si="135"/>
        <v>225436.38130000007</v>
      </c>
      <c r="L1789" s="22">
        <f t="shared" si="136"/>
        <v>1058.386766666667</v>
      </c>
      <c r="M1789" s="22">
        <f t="shared" si="137"/>
        <v>66</v>
      </c>
      <c r="N1789" s="22" t="str">
        <f t="shared" si="138"/>
        <v>Low Value</v>
      </c>
      <c r="O1789" s="22" t="str">
        <f t="shared" si="139"/>
        <v>Dec-2024</v>
      </c>
      <c r="P1789" s="22" t="s">
        <v>1559</v>
      </c>
      <c r="Q1789" s="22" t="s">
        <v>1560</v>
      </c>
      <c r="R1789" s="22" t="s">
        <v>1311</v>
      </c>
      <c r="S1789" s="22"/>
      <c r="T1789" s="22"/>
    </row>
    <row r="1790" spans="1:20">
      <c r="A1790" t="s">
        <v>3727</v>
      </c>
      <c r="B1790" s="8">
        <v>45735</v>
      </c>
      <c r="C1790" t="s">
        <v>682</v>
      </c>
      <c r="D1790" t="s">
        <v>1563</v>
      </c>
      <c r="E1790" t="s">
        <v>1904</v>
      </c>
      <c r="F1790">
        <v>2</v>
      </c>
      <c r="G1790" s="10">
        <v>194.09</v>
      </c>
      <c r="H1790" s="13">
        <v>0.18</v>
      </c>
      <c r="I1790" t="s">
        <v>1933</v>
      </c>
      <c r="J1790" s="16">
        <v>318.30759999999998</v>
      </c>
      <c r="K1790" s="19">
        <f t="shared" si="135"/>
        <v>225074.88550000006</v>
      </c>
      <c r="L1790" s="22">
        <f t="shared" si="136"/>
        <v>1061.6739882075474</v>
      </c>
      <c r="M1790" s="22">
        <f t="shared" si="137"/>
        <v>65</v>
      </c>
      <c r="N1790" s="22" t="str">
        <f t="shared" si="138"/>
        <v>Low Value</v>
      </c>
      <c r="O1790" s="22" t="str">
        <f t="shared" si="139"/>
        <v>Mar-2025</v>
      </c>
      <c r="P1790" s="22" t="s">
        <v>1564</v>
      </c>
      <c r="Q1790" s="22" t="s">
        <v>1531</v>
      </c>
      <c r="R1790" s="22" t="s">
        <v>683</v>
      </c>
      <c r="S1790" s="22"/>
      <c r="T1790" s="22"/>
    </row>
    <row r="1791" spans="1:20">
      <c r="A1791" t="s">
        <v>3728</v>
      </c>
      <c r="B1791" s="8">
        <v>45579</v>
      </c>
      <c r="C1791" t="s">
        <v>568</v>
      </c>
      <c r="D1791" t="s">
        <v>1819</v>
      </c>
      <c r="E1791" t="s">
        <v>1873</v>
      </c>
      <c r="F1791">
        <v>2</v>
      </c>
      <c r="G1791" s="10">
        <v>403.91</v>
      </c>
      <c r="H1791" s="13">
        <v>7.0000000000000007E-2</v>
      </c>
      <c r="I1791" t="s">
        <v>1931</v>
      </c>
      <c r="J1791" s="16">
        <v>751.27260000000001</v>
      </c>
      <c r="K1791" s="19">
        <f t="shared" si="135"/>
        <v>224756.57790000006</v>
      </c>
      <c r="L1791" s="22">
        <f t="shared" si="136"/>
        <v>1065.197051658768</v>
      </c>
      <c r="M1791" s="22">
        <f t="shared" si="137"/>
        <v>64</v>
      </c>
      <c r="N1791" s="22" t="str">
        <f t="shared" si="138"/>
        <v>Low Value</v>
      </c>
      <c r="O1791" s="22" t="str">
        <f t="shared" si="139"/>
        <v>Oct-2024</v>
      </c>
      <c r="P1791" s="22" t="s">
        <v>1820</v>
      </c>
      <c r="Q1791" s="22" t="s">
        <v>1569</v>
      </c>
      <c r="R1791" s="22" t="s">
        <v>569</v>
      </c>
      <c r="S1791" s="22"/>
      <c r="T1791" s="22"/>
    </row>
    <row r="1792" spans="1:20">
      <c r="A1792" t="s">
        <v>3729</v>
      </c>
      <c r="B1792" s="8">
        <v>45721</v>
      </c>
      <c r="C1792" t="s">
        <v>275</v>
      </c>
      <c r="D1792" t="s">
        <v>1597</v>
      </c>
      <c r="E1792" t="s">
        <v>1906</v>
      </c>
      <c r="F1792">
        <v>1</v>
      </c>
      <c r="G1792" s="10">
        <v>878.69</v>
      </c>
      <c r="H1792" s="13">
        <v>0.3</v>
      </c>
      <c r="I1792" t="s">
        <v>1933</v>
      </c>
      <c r="J1792" s="16">
        <v>615.08299999999997</v>
      </c>
      <c r="K1792" s="19">
        <f t="shared" si="135"/>
        <v>224005.30530000007</v>
      </c>
      <c r="L1792" s="22">
        <f t="shared" si="136"/>
        <v>1066.6919300000004</v>
      </c>
      <c r="M1792" s="22">
        <f t="shared" si="137"/>
        <v>64</v>
      </c>
      <c r="N1792" s="22" t="str">
        <f t="shared" si="138"/>
        <v>Low Value</v>
      </c>
      <c r="O1792" s="22" t="str">
        <f t="shared" si="139"/>
        <v>Mar-2025</v>
      </c>
      <c r="P1792" s="22" t="s">
        <v>1598</v>
      </c>
      <c r="Q1792" s="22" t="s">
        <v>1569</v>
      </c>
      <c r="R1792" s="22" t="s">
        <v>276</v>
      </c>
      <c r="S1792" s="22"/>
      <c r="T1792" s="22"/>
    </row>
    <row r="1793" spans="1:20">
      <c r="A1793" t="s">
        <v>3730</v>
      </c>
      <c r="B1793" s="8">
        <v>45446</v>
      </c>
      <c r="C1793" t="s">
        <v>1184</v>
      </c>
      <c r="D1793" t="s">
        <v>1649</v>
      </c>
      <c r="E1793" t="s">
        <v>1908</v>
      </c>
      <c r="F1793">
        <v>1</v>
      </c>
      <c r="G1793" s="10">
        <v>161.16999999999999</v>
      </c>
      <c r="H1793" s="13">
        <v>0.05</v>
      </c>
      <c r="I1793" t="s">
        <v>1931</v>
      </c>
      <c r="J1793" s="16">
        <v>153.11150000000001</v>
      </c>
      <c r="K1793" s="19">
        <f t="shared" si="135"/>
        <v>223390.22230000005</v>
      </c>
      <c r="L1793" s="22">
        <f t="shared" si="136"/>
        <v>1068.8527382775121</v>
      </c>
      <c r="M1793" s="22">
        <f t="shared" si="137"/>
        <v>63</v>
      </c>
      <c r="N1793" s="22" t="str">
        <f t="shared" si="138"/>
        <v>Low Value</v>
      </c>
      <c r="O1793" s="22" t="str">
        <f t="shared" si="139"/>
        <v>Jun-2024</v>
      </c>
      <c r="P1793" s="22" t="s">
        <v>1650</v>
      </c>
      <c r="Q1793" s="22" t="s">
        <v>1560</v>
      </c>
      <c r="R1793" s="22" t="s">
        <v>1185</v>
      </c>
      <c r="S1793" s="22"/>
      <c r="T1793" s="22"/>
    </row>
    <row r="1794" spans="1:20">
      <c r="A1794" t="s">
        <v>3731</v>
      </c>
      <c r="B1794" s="8">
        <v>45387</v>
      </c>
      <c r="C1794" t="s">
        <v>694</v>
      </c>
      <c r="D1794" t="s">
        <v>1774</v>
      </c>
      <c r="E1794" t="s">
        <v>1906</v>
      </c>
      <c r="F1794">
        <v>2</v>
      </c>
      <c r="G1794" s="10">
        <v>720.15</v>
      </c>
      <c r="H1794" s="13">
        <v>0.22</v>
      </c>
      <c r="I1794" t="s">
        <v>1936</v>
      </c>
      <c r="J1794" s="16">
        <v>1123.434</v>
      </c>
      <c r="K1794" s="19">
        <f t="shared" ref="K1794:K1857" si="140">SUM(J1794:J3793)</f>
        <v>223237.11080000005</v>
      </c>
      <c r="L1794" s="22">
        <f t="shared" ref="L1794:L1857" si="141">AVERAGE(J1794:J3793)</f>
        <v>1073.2553403846157</v>
      </c>
      <c r="M1794" s="22">
        <f t="shared" ref="M1794:M1857" si="142">COUNTIF(I1794:I3793,"PayPal")</f>
        <v>63</v>
      </c>
      <c r="N1794" s="22" t="str">
        <f t="shared" ref="N1794:N1857" si="143">IF(J1794&gt;=1000,"High Value","Low Value")</f>
        <v>High Value</v>
      </c>
      <c r="O1794" s="22" t="str">
        <f t="shared" ref="O1794:O1857" si="144">TEXT(B1794,"mmm-yyyy")</f>
        <v>Apr-2024</v>
      </c>
      <c r="P1794" s="22" t="s">
        <v>1775</v>
      </c>
      <c r="Q1794" s="22" t="s">
        <v>1569</v>
      </c>
      <c r="R1794" s="22" t="s">
        <v>695</v>
      </c>
      <c r="S1794" s="22"/>
      <c r="T1794" s="22"/>
    </row>
    <row r="1795" spans="1:20">
      <c r="A1795" t="s">
        <v>3732</v>
      </c>
      <c r="B1795" s="8">
        <v>45222</v>
      </c>
      <c r="C1795" t="s">
        <v>1085</v>
      </c>
      <c r="D1795" t="s">
        <v>1627</v>
      </c>
      <c r="E1795" t="s">
        <v>1889</v>
      </c>
      <c r="F1795">
        <v>1</v>
      </c>
      <c r="G1795" s="10">
        <v>361.8</v>
      </c>
      <c r="H1795" s="13">
        <v>0.02</v>
      </c>
      <c r="I1795" t="s">
        <v>1936</v>
      </c>
      <c r="J1795" s="16">
        <v>354.56400000000002</v>
      </c>
      <c r="K1795" s="19">
        <f t="shared" si="140"/>
        <v>222113.67680000007</v>
      </c>
      <c r="L1795" s="22">
        <f t="shared" si="141"/>
        <v>1073.0129314009666</v>
      </c>
      <c r="M1795" s="22">
        <f t="shared" si="142"/>
        <v>63</v>
      </c>
      <c r="N1795" s="22" t="str">
        <f t="shared" si="143"/>
        <v>Low Value</v>
      </c>
      <c r="O1795" s="22" t="str">
        <f t="shared" si="144"/>
        <v>Oct-2023</v>
      </c>
      <c r="P1795" s="22" t="s">
        <v>1628</v>
      </c>
      <c r="Q1795" s="22" t="s">
        <v>1531</v>
      </c>
      <c r="R1795" s="22" t="s">
        <v>3954</v>
      </c>
      <c r="S1795" s="22"/>
      <c r="T1795" s="22"/>
    </row>
    <row r="1796" spans="1:20">
      <c r="A1796" t="s">
        <v>3733</v>
      </c>
      <c r="B1796" s="8">
        <v>45402</v>
      </c>
      <c r="C1796" t="s">
        <v>741</v>
      </c>
      <c r="D1796" t="s">
        <v>1840</v>
      </c>
      <c r="E1796" t="s">
        <v>1883</v>
      </c>
      <c r="F1796">
        <v>1</v>
      </c>
      <c r="G1796" s="10">
        <v>779.84</v>
      </c>
      <c r="H1796" s="13">
        <v>0.28999999999999998</v>
      </c>
      <c r="I1796" t="s">
        <v>1933</v>
      </c>
      <c r="J1796" s="16">
        <v>553.68640000000005</v>
      </c>
      <c r="K1796" s="19">
        <f t="shared" si="140"/>
        <v>221759.11280000006</v>
      </c>
      <c r="L1796" s="22">
        <f t="shared" si="141"/>
        <v>1076.5005475728158</v>
      </c>
      <c r="M1796" s="22">
        <f t="shared" si="142"/>
        <v>63</v>
      </c>
      <c r="N1796" s="22" t="str">
        <f t="shared" si="143"/>
        <v>Low Value</v>
      </c>
      <c r="O1796" s="22" t="str">
        <f t="shared" si="144"/>
        <v>Apr-2024</v>
      </c>
      <c r="P1796" s="22" t="s">
        <v>1841</v>
      </c>
      <c r="Q1796" s="22" t="s">
        <v>1569</v>
      </c>
      <c r="R1796" s="22" t="s">
        <v>742</v>
      </c>
      <c r="S1796" s="22"/>
      <c r="T1796" s="22"/>
    </row>
    <row r="1797" spans="1:20">
      <c r="A1797" t="s">
        <v>3734</v>
      </c>
      <c r="B1797" s="8">
        <v>45455</v>
      </c>
      <c r="C1797" t="s">
        <v>26</v>
      </c>
      <c r="D1797" t="s">
        <v>1843</v>
      </c>
      <c r="E1797" t="s">
        <v>1876</v>
      </c>
      <c r="F1797">
        <v>2</v>
      </c>
      <c r="G1797" s="10">
        <v>649.89</v>
      </c>
      <c r="H1797" s="13">
        <v>0.17</v>
      </c>
      <c r="I1797" t="s">
        <v>1936</v>
      </c>
      <c r="J1797" s="16">
        <v>1078.8173999999999</v>
      </c>
      <c r="K1797" s="19">
        <f t="shared" si="140"/>
        <v>221205.42640000005</v>
      </c>
      <c r="L1797" s="22">
        <f t="shared" si="141"/>
        <v>1079.050860487805</v>
      </c>
      <c r="M1797" s="22">
        <f t="shared" si="142"/>
        <v>62</v>
      </c>
      <c r="N1797" s="22" t="str">
        <f t="shared" si="143"/>
        <v>High Value</v>
      </c>
      <c r="O1797" s="22" t="str">
        <f t="shared" si="144"/>
        <v>Jun-2024</v>
      </c>
      <c r="P1797" s="22" t="s">
        <v>1844</v>
      </c>
      <c r="Q1797" s="22" t="s">
        <v>1536</v>
      </c>
      <c r="R1797" s="22" t="s">
        <v>27</v>
      </c>
      <c r="S1797" s="22"/>
      <c r="T1797" s="22"/>
    </row>
    <row r="1798" spans="1:20">
      <c r="A1798" t="s">
        <v>3735</v>
      </c>
      <c r="B1798" s="8">
        <v>45877</v>
      </c>
      <c r="C1798" t="s">
        <v>664</v>
      </c>
      <c r="D1798" t="s">
        <v>1713</v>
      </c>
      <c r="E1798" t="s">
        <v>1883</v>
      </c>
      <c r="F1798">
        <v>1</v>
      </c>
      <c r="G1798" s="10">
        <v>952.73</v>
      </c>
      <c r="H1798" s="13">
        <v>0.17</v>
      </c>
      <c r="I1798" t="s">
        <v>1931</v>
      </c>
      <c r="J1798" s="16">
        <v>790.76589999999999</v>
      </c>
      <c r="K1798" s="19">
        <f t="shared" si="140"/>
        <v>220126.60900000005</v>
      </c>
      <c r="L1798" s="22">
        <f t="shared" si="141"/>
        <v>1079.052004901961</v>
      </c>
      <c r="M1798" s="22">
        <f t="shared" si="142"/>
        <v>62</v>
      </c>
      <c r="N1798" s="22" t="str">
        <f t="shared" si="143"/>
        <v>Low Value</v>
      </c>
      <c r="O1798" s="22" t="str">
        <f t="shared" si="144"/>
        <v>Aug-2025</v>
      </c>
      <c r="P1798" s="22" t="s">
        <v>1714</v>
      </c>
      <c r="Q1798" s="22" t="s">
        <v>1536</v>
      </c>
      <c r="R1798" s="22" t="s">
        <v>665</v>
      </c>
      <c r="S1798" s="22"/>
      <c r="T1798" s="22"/>
    </row>
    <row r="1799" spans="1:20">
      <c r="A1799" t="s">
        <v>3736</v>
      </c>
      <c r="B1799" s="8">
        <v>45875</v>
      </c>
      <c r="C1799" t="s">
        <v>301</v>
      </c>
      <c r="D1799" t="s">
        <v>1852</v>
      </c>
      <c r="E1799" t="s">
        <v>1911</v>
      </c>
      <c r="F1799">
        <v>4</v>
      </c>
      <c r="G1799" s="10">
        <v>820.78</v>
      </c>
      <c r="H1799" s="13">
        <v>0.25</v>
      </c>
      <c r="I1799" t="s">
        <v>1931</v>
      </c>
      <c r="J1799" s="16">
        <v>2462.34</v>
      </c>
      <c r="K1799" s="19">
        <f t="shared" si="140"/>
        <v>219335.84310000009</v>
      </c>
      <c r="L1799" s="22">
        <f t="shared" si="141"/>
        <v>1080.4721334975375</v>
      </c>
      <c r="M1799" s="22">
        <f t="shared" si="142"/>
        <v>62</v>
      </c>
      <c r="N1799" s="22" t="str">
        <f t="shared" si="143"/>
        <v>High Value</v>
      </c>
      <c r="O1799" s="22" t="str">
        <f t="shared" si="144"/>
        <v>Aug-2025</v>
      </c>
      <c r="P1799" s="22" t="s">
        <v>1853</v>
      </c>
      <c r="Q1799" s="22" t="s">
        <v>1560</v>
      </c>
      <c r="R1799" s="22" t="s">
        <v>302</v>
      </c>
      <c r="S1799" s="22"/>
      <c r="T1799" s="22"/>
    </row>
    <row r="1800" spans="1:20">
      <c r="A1800" t="s">
        <v>3737</v>
      </c>
      <c r="B1800" s="8">
        <v>45592</v>
      </c>
      <c r="C1800" t="s">
        <v>1070</v>
      </c>
      <c r="D1800" t="s">
        <v>1665</v>
      </c>
      <c r="E1800" t="s">
        <v>1873</v>
      </c>
      <c r="F1800">
        <v>4</v>
      </c>
      <c r="G1800" s="10">
        <v>247.55</v>
      </c>
      <c r="H1800" s="13">
        <v>0.05</v>
      </c>
      <c r="I1800" t="s">
        <v>1931</v>
      </c>
      <c r="J1800" s="16">
        <v>940.69</v>
      </c>
      <c r="K1800" s="19">
        <f t="shared" si="140"/>
        <v>216873.50310000006</v>
      </c>
      <c r="L1800" s="22">
        <f t="shared" si="141"/>
        <v>1073.6312034653467</v>
      </c>
      <c r="M1800" s="22">
        <f t="shared" si="142"/>
        <v>62</v>
      </c>
      <c r="N1800" s="22" t="str">
        <f t="shared" si="143"/>
        <v>Low Value</v>
      </c>
      <c r="O1800" s="22" t="str">
        <f t="shared" si="144"/>
        <v>Oct-2024</v>
      </c>
      <c r="P1800" s="22" t="s">
        <v>1666</v>
      </c>
      <c r="Q1800" s="22" t="s">
        <v>1569</v>
      </c>
      <c r="R1800" s="22" t="s">
        <v>1071</v>
      </c>
      <c r="S1800" s="22"/>
      <c r="T1800" s="22"/>
    </row>
    <row r="1801" spans="1:20">
      <c r="A1801" t="s">
        <v>3738</v>
      </c>
      <c r="B1801" s="8">
        <v>45369</v>
      </c>
      <c r="C1801" t="s">
        <v>733</v>
      </c>
      <c r="D1801" t="s">
        <v>1852</v>
      </c>
      <c r="E1801" t="s">
        <v>1889</v>
      </c>
      <c r="F1801">
        <v>3</v>
      </c>
      <c r="G1801" s="10">
        <v>561.44000000000005</v>
      </c>
      <c r="H1801" s="13">
        <v>0.2</v>
      </c>
      <c r="I1801" t="s">
        <v>1936</v>
      </c>
      <c r="J1801" s="16">
        <v>1347.4559999999999</v>
      </c>
      <c r="K1801" s="19">
        <f t="shared" si="140"/>
        <v>215932.81310000006</v>
      </c>
      <c r="L1801" s="22">
        <f t="shared" si="141"/>
        <v>1074.2926024875624</v>
      </c>
      <c r="M1801" s="22">
        <f t="shared" si="142"/>
        <v>62</v>
      </c>
      <c r="N1801" s="22" t="str">
        <f t="shared" si="143"/>
        <v>High Value</v>
      </c>
      <c r="O1801" s="22" t="str">
        <f t="shared" si="144"/>
        <v>Mar-2024</v>
      </c>
      <c r="P1801" s="22" t="s">
        <v>1853</v>
      </c>
      <c r="Q1801" s="22" t="s">
        <v>1560</v>
      </c>
      <c r="R1801" s="22" t="s">
        <v>734</v>
      </c>
      <c r="S1801" s="22"/>
      <c r="T1801" s="22"/>
    </row>
    <row r="1802" spans="1:20">
      <c r="A1802" t="s">
        <v>3739</v>
      </c>
      <c r="B1802" s="8">
        <v>45249</v>
      </c>
      <c r="C1802" t="s">
        <v>892</v>
      </c>
      <c r="D1802" t="s">
        <v>1771</v>
      </c>
      <c r="E1802" t="s">
        <v>1889</v>
      </c>
      <c r="F1802">
        <v>4</v>
      </c>
      <c r="G1802" s="10">
        <v>214.37</v>
      </c>
      <c r="H1802" s="13">
        <v>0.11</v>
      </c>
      <c r="I1802" t="s">
        <v>1936</v>
      </c>
      <c r="J1802" s="16">
        <v>763.15719999999999</v>
      </c>
      <c r="K1802" s="19">
        <f t="shared" si="140"/>
        <v>214585.35710000005</v>
      </c>
      <c r="L1802" s="22">
        <f t="shared" si="141"/>
        <v>1072.9267855000003</v>
      </c>
      <c r="M1802" s="22">
        <f t="shared" si="142"/>
        <v>62</v>
      </c>
      <c r="N1802" s="22" t="str">
        <f t="shared" si="143"/>
        <v>Low Value</v>
      </c>
      <c r="O1802" s="22" t="str">
        <f t="shared" si="144"/>
        <v>Nov-2023</v>
      </c>
      <c r="P1802" s="22" t="s">
        <v>1772</v>
      </c>
      <c r="Q1802" s="22" t="s">
        <v>1569</v>
      </c>
      <c r="R1802" s="22" t="s">
        <v>893</v>
      </c>
      <c r="S1802" s="22"/>
      <c r="T1802" s="22"/>
    </row>
    <row r="1803" spans="1:20">
      <c r="A1803" t="s">
        <v>3740</v>
      </c>
      <c r="B1803" s="8">
        <v>45741</v>
      </c>
      <c r="C1803" t="s">
        <v>1288</v>
      </c>
      <c r="D1803" t="s">
        <v>1597</v>
      </c>
      <c r="E1803" t="s">
        <v>1911</v>
      </c>
      <c r="F1803">
        <v>3</v>
      </c>
      <c r="G1803" s="10">
        <v>123.74</v>
      </c>
      <c r="H1803" s="13">
        <v>0.23</v>
      </c>
      <c r="I1803" t="s">
        <v>1933</v>
      </c>
      <c r="J1803" s="16">
        <v>285.83940000000001</v>
      </c>
      <c r="K1803" s="19">
        <f t="shared" si="140"/>
        <v>213822.19990000007</v>
      </c>
      <c r="L1803" s="22">
        <f t="shared" si="141"/>
        <v>1074.483416582915</v>
      </c>
      <c r="M1803" s="22">
        <f t="shared" si="142"/>
        <v>62</v>
      </c>
      <c r="N1803" s="22" t="str">
        <f t="shared" si="143"/>
        <v>Low Value</v>
      </c>
      <c r="O1803" s="22" t="str">
        <f t="shared" si="144"/>
        <v>Mar-2025</v>
      </c>
      <c r="P1803" s="22" t="s">
        <v>1598</v>
      </c>
      <c r="Q1803" s="22" t="s">
        <v>1569</v>
      </c>
      <c r="R1803" s="22" t="s">
        <v>1289</v>
      </c>
      <c r="S1803" s="22"/>
      <c r="T1803" s="22"/>
    </row>
    <row r="1804" spans="1:20">
      <c r="A1804" t="s">
        <v>3741</v>
      </c>
      <c r="B1804" s="8">
        <v>45427</v>
      </c>
      <c r="C1804" t="s">
        <v>63</v>
      </c>
      <c r="D1804" t="s">
        <v>1755</v>
      </c>
      <c r="E1804" t="s">
        <v>1899</v>
      </c>
      <c r="F1804">
        <v>4</v>
      </c>
      <c r="G1804" s="10">
        <v>645.71</v>
      </c>
      <c r="H1804" s="13">
        <v>0.1</v>
      </c>
      <c r="I1804" t="s">
        <v>1933</v>
      </c>
      <c r="J1804" s="16">
        <v>2324.556</v>
      </c>
      <c r="K1804" s="19">
        <f t="shared" si="140"/>
        <v>213536.36050000004</v>
      </c>
      <c r="L1804" s="22">
        <f t="shared" si="141"/>
        <v>1078.4664671717173</v>
      </c>
      <c r="M1804" s="22">
        <f t="shared" si="142"/>
        <v>61</v>
      </c>
      <c r="N1804" s="22" t="str">
        <f t="shared" si="143"/>
        <v>High Value</v>
      </c>
      <c r="O1804" s="22" t="str">
        <f t="shared" si="144"/>
        <v>May-2024</v>
      </c>
      <c r="P1804" s="22" t="s">
        <v>1756</v>
      </c>
      <c r="Q1804" s="22" t="s">
        <v>1531</v>
      </c>
      <c r="R1804" s="22" t="s">
        <v>64</v>
      </c>
      <c r="S1804" s="22"/>
      <c r="T1804" s="22"/>
    </row>
    <row r="1805" spans="1:20">
      <c r="A1805" t="s">
        <v>3742</v>
      </c>
      <c r="B1805" s="8">
        <v>45736</v>
      </c>
      <c r="C1805" t="s">
        <v>134</v>
      </c>
      <c r="D1805" t="s">
        <v>1610</v>
      </c>
      <c r="E1805" t="s">
        <v>1901</v>
      </c>
      <c r="F1805">
        <v>3</v>
      </c>
      <c r="G1805" s="10">
        <v>587.12</v>
      </c>
      <c r="H1805" s="13">
        <v>0.3</v>
      </c>
      <c r="I1805" t="s">
        <v>1931</v>
      </c>
      <c r="J1805" s="16">
        <v>1232.952</v>
      </c>
      <c r="K1805" s="19">
        <f t="shared" si="140"/>
        <v>211211.80450000006</v>
      </c>
      <c r="L1805" s="22">
        <f t="shared" si="141"/>
        <v>1072.141139593909</v>
      </c>
      <c r="M1805" s="22">
        <f t="shared" si="142"/>
        <v>60</v>
      </c>
      <c r="N1805" s="22" t="str">
        <f t="shared" si="143"/>
        <v>High Value</v>
      </c>
      <c r="O1805" s="22" t="str">
        <f t="shared" si="144"/>
        <v>Mar-2025</v>
      </c>
      <c r="P1805" s="22" t="s">
        <v>1611</v>
      </c>
      <c r="Q1805" s="22" t="s">
        <v>1560</v>
      </c>
      <c r="R1805" s="22" t="s">
        <v>3943</v>
      </c>
      <c r="S1805" s="22"/>
      <c r="T1805" s="22"/>
    </row>
    <row r="1806" spans="1:20">
      <c r="A1806" t="s">
        <v>3743</v>
      </c>
      <c r="B1806" s="8">
        <v>45941</v>
      </c>
      <c r="C1806" t="s">
        <v>774</v>
      </c>
      <c r="D1806" t="s">
        <v>1624</v>
      </c>
      <c r="E1806" t="s">
        <v>1917</v>
      </c>
      <c r="F1806">
        <v>1</v>
      </c>
      <c r="G1806" s="10">
        <v>401.18</v>
      </c>
      <c r="H1806" s="13">
        <v>0.15</v>
      </c>
      <c r="I1806" t="s">
        <v>1936</v>
      </c>
      <c r="J1806" s="16">
        <v>341.00299999999999</v>
      </c>
      <c r="K1806" s="19">
        <f t="shared" si="140"/>
        <v>209978.85250000004</v>
      </c>
      <c r="L1806" s="22">
        <f t="shared" si="141"/>
        <v>1071.3206760204084</v>
      </c>
      <c r="M1806" s="22">
        <f t="shared" si="142"/>
        <v>60</v>
      </c>
      <c r="N1806" s="22" t="str">
        <f t="shared" si="143"/>
        <v>Low Value</v>
      </c>
      <c r="O1806" s="22" t="str">
        <f t="shared" si="144"/>
        <v>Oct-2025</v>
      </c>
      <c r="P1806" s="22" t="s">
        <v>1625</v>
      </c>
      <c r="Q1806" s="22" t="s">
        <v>1536</v>
      </c>
      <c r="R1806" s="22" t="s">
        <v>775</v>
      </c>
      <c r="S1806" s="22"/>
      <c r="T1806" s="22"/>
    </row>
    <row r="1807" spans="1:20">
      <c r="A1807" t="s">
        <v>3744</v>
      </c>
      <c r="B1807" s="8">
        <v>45486</v>
      </c>
      <c r="C1807" t="s">
        <v>1139</v>
      </c>
      <c r="D1807" t="s">
        <v>1728</v>
      </c>
      <c r="E1807" t="s">
        <v>1917</v>
      </c>
      <c r="F1807">
        <v>3</v>
      </c>
      <c r="G1807" s="10">
        <v>658.33</v>
      </c>
      <c r="H1807" s="13">
        <v>0.12</v>
      </c>
      <c r="I1807" t="s">
        <v>1936</v>
      </c>
      <c r="J1807" s="16">
        <v>1737.9911999999999</v>
      </c>
      <c r="K1807" s="19">
        <f t="shared" si="140"/>
        <v>209637.84950000004</v>
      </c>
      <c r="L1807" s="22">
        <f t="shared" si="141"/>
        <v>1075.0658948717951</v>
      </c>
      <c r="M1807" s="22">
        <f t="shared" si="142"/>
        <v>60</v>
      </c>
      <c r="N1807" s="22" t="str">
        <f t="shared" si="143"/>
        <v>High Value</v>
      </c>
      <c r="O1807" s="22" t="str">
        <f t="shared" si="144"/>
        <v>Jul-2024</v>
      </c>
      <c r="P1807" s="22" t="s">
        <v>1729</v>
      </c>
      <c r="Q1807" s="22" t="s">
        <v>1536</v>
      </c>
      <c r="R1807" s="22" t="s">
        <v>1140</v>
      </c>
      <c r="S1807" s="22"/>
      <c r="T1807" s="22"/>
    </row>
    <row r="1808" spans="1:20">
      <c r="A1808" t="s">
        <v>3745</v>
      </c>
      <c r="B1808" s="8">
        <v>45474</v>
      </c>
      <c r="C1808" t="s">
        <v>655</v>
      </c>
      <c r="D1808" t="s">
        <v>1700</v>
      </c>
      <c r="E1808" t="s">
        <v>1899</v>
      </c>
      <c r="F1808">
        <v>4</v>
      </c>
      <c r="G1808" s="10">
        <v>450.3</v>
      </c>
      <c r="H1808" s="13">
        <v>0.02</v>
      </c>
      <c r="I1808" t="s">
        <v>1931</v>
      </c>
      <c r="J1808" s="16">
        <v>1765.1759999999999</v>
      </c>
      <c r="K1808" s="19">
        <f t="shared" si="140"/>
        <v>207899.85830000005</v>
      </c>
      <c r="L1808" s="22">
        <f t="shared" si="141"/>
        <v>1071.6487541237116</v>
      </c>
      <c r="M1808" s="22">
        <f t="shared" si="142"/>
        <v>60</v>
      </c>
      <c r="N1808" s="22" t="str">
        <f t="shared" si="143"/>
        <v>High Value</v>
      </c>
      <c r="O1808" s="22" t="str">
        <f t="shared" si="144"/>
        <v>Jul-2024</v>
      </c>
      <c r="P1808" s="22" t="s">
        <v>1701</v>
      </c>
      <c r="Q1808" s="22" t="s">
        <v>1555</v>
      </c>
      <c r="R1808" s="22" t="s">
        <v>656</v>
      </c>
      <c r="S1808" s="22"/>
      <c r="T1808" s="22"/>
    </row>
    <row r="1809" spans="1:20">
      <c r="A1809" t="s">
        <v>3746</v>
      </c>
      <c r="B1809" s="8">
        <v>45757</v>
      </c>
      <c r="C1809" t="s">
        <v>488</v>
      </c>
      <c r="D1809" t="s">
        <v>1837</v>
      </c>
      <c r="E1809" t="s">
        <v>1896</v>
      </c>
      <c r="F1809">
        <v>4</v>
      </c>
      <c r="G1809" s="10">
        <v>33.630000000000003</v>
      </c>
      <c r="H1809" s="13">
        <v>0.05</v>
      </c>
      <c r="I1809" t="s">
        <v>1931</v>
      </c>
      <c r="J1809" s="16">
        <v>127.794</v>
      </c>
      <c r="K1809" s="19">
        <f t="shared" si="140"/>
        <v>206134.68230000001</v>
      </c>
      <c r="L1809" s="22">
        <f t="shared" si="141"/>
        <v>1068.0553487046634</v>
      </c>
      <c r="M1809" s="22">
        <f t="shared" si="142"/>
        <v>60</v>
      </c>
      <c r="N1809" s="22" t="str">
        <f t="shared" si="143"/>
        <v>Low Value</v>
      </c>
      <c r="O1809" s="22" t="str">
        <f t="shared" si="144"/>
        <v>Apr-2025</v>
      </c>
      <c r="P1809" s="22" t="s">
        <v>1838</v>
      </c>
      <c r="Q1809" s="22" t="s">
        <v>1555</v>
      </c>
      <c r="R1809" s="22" t="s">
        <v>489</v>
      </c>
      <c r="S1809" s="22"/>
      <c r="T1809" s="22"/>
    </row>
    <row r="1810" spans="1:20">
      <c r="A1810" t="s">
        <v>3747</v>
      </c>
      <c r="B1810" s="8">
        <v>45475</v>
      </c>
      <c r="C1810" t="s">
        <v>140</v>
      </c>
      <c r="D1810" t="s">
        <v>1970</v>
      </c>
      <c r="E1810" t="s">
        <v>1859</v>
      </c>
      <c r="F1810">
        <v>3</v>
      </c>
      <c r="G1810" s="10">
        <v>168.89</v>
      </c>
      <c r="H1810" s="13">
        <v>0.03</v>
      </c>
      <c r="I1810" t="s">
        <v>1936</v>
      </c>
      <c r="J1810" s="16">
        <v>491.46989999999988</v>
      </c>
      <c r="K1810" s="19">
        <f t="shared" si="140"/>
        <v>206006.88830000002</v>
      </c>
      <c r="L1810" s="22">
        <f t="shared" si="141"/>
        <v>1072.9525432291668</v>
      </c>
      <c r="M1810" s="22">
        <f t="shared" si="142"/>
        <v>60</v>
      </c>
      <c r="N1810" s="22" t="str">
        <f t="shared" si="143"/>
        <v>Low Value</v>
      </c>
      <c r="O1810" s="22" t="str">
        <f t="shared" si="144"/>
        <v>Jul-2024</v>
      </c>
      <c r="P1810" s="22" t="s">
        <v>1594</v>
      </c>
      <c r="Q1810" s="22" t="s">
        <v>1555</v>
      </c>
      <c r="R1810" s="22" t="s">
        <v>141</v>
      </c>
      <c r="S1810" s="22"/>
      <c r="T1810" s="22"/>
    </row>
    <row r="1811" spans="1:20">
      <c r="A1811" t="s">
        <v>3748</v>
      </c>
      <c r="B1811" s="8">
        <v>45546</v>
      </c>
      <c r="C1811" t="s">
        <v>336</v>
      </c>
      <c r="D1811" t="s">
        <v>1734</v>
      </c>
      <c r="E1811" t="s">
        <v>1899</v>
      </c>
      <c r="F1811">
        <v>1</v>
      </c>
      <c r="G1811" s="10">
        <v>141.85</v>
      </c>
      <c r="H1811" s="13">
        <v>0.06</v>
      </c>
      <c r="I1811" t="s">
        <v>1933</v>
      </c>
      <c r="J1811" s="16">
        <v>133.339</v>
      </c>
      <c r="K1811" s="19">
        <f t="shared" si="140"/>
        <v>205515.41840000002</v>
      </c>
      <c r="L1811" s="22">
        <f t="shared" si="141"/>
        <v>1075.9969549738221</v>
      </c>
      <c r="M1811" s="22">
        <f t="shared" si="142"/>
        <v>60</v>
      </c>
      <c r="N1811" s="22" t="str">
        <f t="shared" si="143"/>
        <v>Low Value</v>
      </c>
      <c r="O1811" s="22" t="str">
        <f t="shared" si="144"/>
        <v>Sep-2024</v>
      </c>
      <c r="P1811" s="22" t="s">
        <v>1735</v>
      </c>
      <c r="Q1811" s="22" t="s">
        <v>1555</v>
      </c>
      <c r="R1811" s="22" t="s">
        <v>337</v>
      </c>
      <c r="S1811" s="22"/>
      <c r="T1811" s="22"/>
    </row>
    <row r="1812" spans="1:20">
      <c r="A1812" t="s">
        <v>3749</v>
      </c>
      <c r="B1812" s="8">
        <v>45520</v>
      </c>
      <c r="C1812" t="s">
        <v>963</v>
      </c>
      <c r="D1812" t="s">
        <v>1655</v>
      </c>
      <c r="E1812" t="s">
        <v>1886</v>
      </c>
      <c r="F1812">
        <v>1</v>
      </c>
      <c r="G1812" s="10">
        <v>617.4</v>
      </c>
      <c r="H1812" s="13">
        <v>0.21</v>
      </c>
      <c r="I1812" t="s">
        <v>1931</v>
      </c>
      <c r="J1812" s="16">
        <v>487.74599999999998</v>
      </c>
      <c r="K1812" s="19">
        <f t="shared" si="140"/>
        <v>205382.07940000005</v>
      </c>
      <c r="L1812" s="22">
        <f t="shared" si="141"/>
        <v>1080.9583126315792</v>
      </c>
      <c r="M1812" s="22">
        <f t="shared" si="142"/>
        <v>59</v>
      </c>
      <c r="N1812" s="22" t="str">
        <f t="shared" si="143"/>
        <v>Low Value</v>
      </c>
      <c r="O1812" s="22" t="str">
        <f t="shared" si="144"/>
        <v>Aug-2024</v>
      </c>
      <c r="P1812" s="22" t="s">
        <v>1656</v>
      </c>
      <c r="Q1812" s="22" t="s">
        <v>1560</v>
      </c>
      <c r="R1812" s="22" t="s">
        <v>964</v>
      </c>
      <c r="S1812" s="22"/>
      <c r="T1812" s="22"/>
    </row>
    <row r="1813" spans="1:20">
      <c r="A1813" t="s">
        <v>3750</v>
      </c>
      <c r="B1813" s="8">
        <v>45534</v>
      </c>
      <c r="C1813" t="s">
        <v>494</v>
      </c>
      <c r="D1813" t="s">
        <v>1713</v>
      </c>
      <c r="E1813" t="s">
        <v>1864</v>
      </c>
      <c r="F1813">
        <v>3</v>
      </c>
      <c r="G1813" s="10">
        <v>841.47</v>
      </c>
      <c r="H1813" s="13">
        <v>0.15</v>
      </c>
      <c r="I1813" t="s">
        <v>1936</v>
      </c>
      <c r="J1813" s="16">
        <v>2145.7485000000001</v>
      </c>
      <c r="K1813" s="19">
        <f t="shared" si="140"/>
        <v>204894.33340000006</v>
      </c>
      <c r="L1813" s="22">
        <f t="shared" si="141"/>
        <v>1084.0970021164023</v>
      </c>
      <c r="M1813" s="22">
        <f t="shared" si="142"/>
        <v>59</v>
      </c>
      <c r="N1813" s="22" t="str">
        <f t="shared" si="143"/>
        <v>High Value</v>
      </c>
      <c r="O1813" s="22" t="str">
        <f t="shared" si="144"/>
        <v>Aug-2024</v>
      </c>
      <c r="P1813" s="22" t="s">
        <v>1714</v>
      </c>
      <c r="Q1813" s="22" t="s">
        <v>1536</v>
      </c>
      <c r="R1813" s="22" t="s">
        <v>495</v>
      </c>
      <c r="S1813" s="22"/>
      <c r="T1813" s="22"/>
    </row>
    <row r="1814" spans="1:20">
      <c r="A1814" t="s">
        <v>3751</v>
      </c>
      <c r="B1814" s="8">
        <v>45334</v>
      </c>
      <c r="C1814" t="s">
        <v>218</v>
      </c>
      <c r="D1814" t="s">
        <v>1610</v>
      </c>
      <c r="E1814" t="s">
        <v>1904</v>
      </c>
      <c r="F1814">
        <v>2</v>
      </c>
      <c r="G1814" s="10">
        <v>960.41</v>
      </c>
      <c r="H1814" s="13">
        <v>0.18</v>
      </c>
      <c r="I1814" t="s">
        <v>1931</v>
      </c>
      <c r="J1814" s="16">
        <v>1575.0724</v>
      </c>
      <c r="K1814" s="19">
        <f t="shared" si="140"/>
        <v>202748.58490000005</v>
      </c>
      <c r="L1814" s="22">
        <f t="shared" si="141"/>
        <v>1078.4499196808513</v>
      </c>
      <c r="M1814" s="22">
        <f t="shared" si="142"/>
        <v>59</v>
      </c>
      <c r="N1814" s="22" t="str">
        <f t="shared" si="143"/>
        <v>High Value</v>
      </c>
      <c r="O1814" s="22" t="str">
        <f t="shared" si="144"/>
        <v>Feb-2024</v>
      </c>
      <c r="P1814" s="22" t="s">
        <v>1611</v>
      </c>
      <c r="Q1814" s="22" t="s">
        <v>1560</v>
      </c>
      <c r="R1814" s="22" t="s">
        <v>219</v>
      </c>
      <c r="S1814" s="22"/>
      <c r="T1814" s="22"/>
    </row>
    <row r="1815" spans="1:20">
      <c r="A1815" t="s">
        <v>3752</v>
      </c>
      <c r="B1815" s="8">
        <v>45289</v>
      </c>
      <c r="C1815" t="s">
        <v>1386</v>
      </c>
      <c r="D1815" t="s">
        <v>1780</v>
      </c>
      <c r="E1815" t="s">
        <v>1917</v>
      </c>
      <c r="F1815">
        <v>3</v>
      </c>
      <c r="G1815" s="10">
        <v>717.22</v>
      </c>
      <c r="H1815" s="13">
        <v>0.24</v>
      </c>
      <c r="I1815" t="s">
        <v>1933</v>
      </c>
      <c r="J1815" s="16">
        <v>1635.2616</v>
      </c>
      <c r="K1815" s="19">
        <f t="shared" si="140"/>
        <v>201173.51250000001</v>
      </c>
      <c r="L1815" s="22">
        <f t="shared" si="141"/>
        <v>1075.7941844919787</v>
      </c>
      <c r="M1815" s="22">
        <f t="shared" si="142"/>
        <v>59</v>
      </c>
      <c r="N1815" s="22" t="str">
        <f t="shared" si="143"/>
        <v>High Value</v>
      </c>
      <c r="O1815" s="22" t="str">
        <f t="shared" si="144"/>
        <v>Dec-2023</v>
      </c>
      <c r="P1815" s="22" t="s">
        <v>1781</v>
      </c>
      <c r="Q1815" s="22" t="s">
        <v>1536</v>
      </c>
      <c r="R1815" s="22" t="s">
        <v>1387</v>
      </c>
      <c r="S1815" s="22"/>
      <c r="T1815" s="22"/>
    </row>
    <row r="1816" spans="1:20">
      <c r="A1816" t="s">
        <v>3753</v>
      </c>
      <c r="B1816" s="8">
        <v>45832</v>
      </c>
      <c r="C1816" t="s">
        <v>397</v>
      </c>
      <c r="D1816" t="s">
        <v>1579</v>
      </c>
      <c r="E1816" t="s">
        <v>1859</v>
      </c>
      <c r="F1816">
        <v>1</v>
      </c>
      <c r="G1816" s="10">
        <v>281.83</v>
      </c>
      <c r="H1816" s="13">
        <v>0.16</v>
      </c>
      <c r="I1816" t="s">
        <v>1936</v>
      </c>
      <c r="J1816" s="16">
        <v>236.7372</v>
      </c>
      <c r="K1816" s="19">
        <f t="shared" si="140"/>
        <v>199538.25089999998</v>
      </c>
      <c r="L1816" s="22">
        <f t="shared" si="141"/>
        <v>1072.7862951612901</v>
      </c>
      <c r="M1816" s="22">
        <f t="shared" si="142"/>
        <v>58</v>
      </c>
      <c r="N1816" s="22" t="str">
        <f t="shared" si="143"/>
        <v>Low Value</v>
      </c>
      <c r="O1816" s="22" t="str">
        <f t="shared" si="144"/>
        <v>Jun-2025</v>
      </c>
      <c r="P1816" s="22" t="s">
        <v>1580</v>
      </c>
      <c r="Q1816" s="22" t="s">
        <v>1555</v>
      </c>
      <c r="R1816" s="22" t="s">
        <v>398</v>
      </c>
      <c r="S1816" s="22"/>
      <c r="T1816" s="22"/>
    </row>
    <row r="1817" spans="1:20">
      <c r="A1817" t="s">
        <v>3754</v>
      </c>
      <c r="B1817" s="8">
        <v>45400</v>
      </c>
      <c r="C1817" t="s">
        <v>664</v>
      </c>
      <c r="D1817" t="s">
        <v>1731</v>
      </c>
      <c r="E1817" t="s">
        <v>1906</v>
      </c>
      <c r="F1817">
        <v>1</v>
      </c>
      <c r="G1817" s="10">
        <v>509.08</v>
      </c>
      <c r="H1817" s="13">
        <v>0.04</v>
      </c>
      <c r="I1817" t="s">
        <v>1933</v>
      </c>
      <c r="J1817" s="16">
        <v>488.71679999999998</v>
      </c>
      <c r="K1817" s="19">
        <f t="shared" si="140"/>
        <v>199301.51370000001</v>
      </c>
      <c r="L1817" s="22">
        <f t="shared" si="141"/>
        <v>1077.3054794594595</v>
      </c>
      <c r="M1817" s="22">
        <f t="shared" si="142"/>
        <v>58</v>
      </c>
      <c r="N1817" s="22" t="str">
        <f t="shared" si="143"/>
        <v>Low Value</v>
      </c>
      <c r="O1817" s="22" t="str">
        <f t="shared" si="144"/>
        <v>Apr-2024</v>
      </c>
      <c r="P1817" s="22" t="s">
        <v>1732</v>
      </c>
      <c r="Q1817" s="22" t="s">
        <v>1555</v>
      </c>
      <c r="R1817" s="22" t="s">
        <v>665</v>
      </c>
      <c r="S1817" s="22"/>
      <c r="T1817" s="22"/>
    </row>
    <row r="1818" spans="1:20">
      <c r="A1818" t="s">
        <v>3755</v>
      </c>
      <c r="B1818" s="8">
        <v>45930</v>
      </c>
      <c r="C1818" t="s">
        <v>1239</v>
      </c>
      <c r="D1818" t="s">
        <v>1843</v>
      </c>
      <c r="E1818" t="s">
        <v>1868</v>
      </c>
      <c r="F1818">
        <v>4</v>
      </c>
      <c r="G1818" s="10">
        <v>827.09</v>
      </c>
      <c r="H1818" s="13">
        <v>0.3</v>
      </c>
      <c r="I1818" t="s">
        <v>1931</v>
      </c>
      <c r="J1818" s="16">
        <v>2315.8519999999999</v>
      </c>
      <c r="K1818" s="19">
        <f t="shared" si="140"/>
        <v>198812.79689999999</v>
      </c>
      <c r="L1818" s="22">
        <f t="shared" si="141"/>
        <v>1080.5043309782609</v>
      </c>
      <c r="M1818" s="22">
        <f t="shared" si="142"/>
        <v>57</v>
      </c>
      <c r="N1818" s="22" t="str">
        <f t="shared" si="143"/>
        <v>High Value</v>
      </c>
      <c r="O1818" s="22" t="str">
        <f t="shared" si="144"/>
        <v>Sep-2025</v>
      </c>
      <c r="P1818" s="22" t="s">
        <v>1844</v>
      </c>
      <c r="Q1818" s="22" t="s">
        <v>1536</v>
      </c>
      <c r="R1818" s="22" t="s">
        <v>1240</v>
      </c>
      <c r="S1818" s="22"/>
      <c r="T1818" s="22"/>
    </row>
    <row r="1819" spans="1:20">
      <c r="A1819" t="s">
        <v>3756</v>
      </c>
      <c r="B1819" s="8">
        <v>45935</v>
      </c>
      <c r="C1819" t="s">
        <v>682</v>
      </c>
      <c r="D1819" t="s">
        <v>1636</v>
      </c>
      <c r="E1819" t="s">
        <v>1876</v>
      </c>
      <c r="F1819">
        <v>2</v>
      </c>
      <c r="G1819" s="10">
        <v>823.36</v>
      </c>
      <c r="H1819" s="13">
        <v>0.23</v>
      </c>
      <c r="I1819" t="s">
        <v>1931</v>
      </c>
      <c r="J1819" s="16">
        <v>1267.9744000000001</v>
      </c>
      <c r="K1819" s="19">
        <f t="shared" si="140"/>
        <v>196496.9449</v>
      </c>
      <c r="L1819" s="22">
        <f t="shared" si="141"/>
        <v>1073.7537972677596</v>
      </c>
      <c r="M1819" s="22">
        <f t="shared" si="142"/>
        <v>57</v>
      </c>
      <c r="N1819" s="22" t="str">
        <f t="shared" si="143"/>
        <v>High Value</v>
      </c>
      <c r="O1819" s="22" t="str">
        <f t="shared" si="144"/>
        <v>Oct-2025</v>
      </c>
      <c r="P1819" s="22" t="s">
        <v>1637</v>
      </c>
      <c r="Q1819" s="22" t="s">
        <v>1560</v>
      </c>
      <c r="R1819" s="22" t="s">
        <v>683</v>
      </c>
      <c r="S1819" s="22"/>
      <c r="T1819" s="22"/>
    </row>
    <row r="1820" spans="1:20">
      <c r="A1820" t="s">
        <v>3757</v>
      </c>
      <c r="B1820" s="8">
        <v>45814</v>
      </c>
      <c r="C1820" t="s">
        <v>465</v>
      </c>
      <c r="D1820" t="s">
        <v>1627</v>
      </c>
      <c r="E1820" t="s">
        <v>1880</v>
      </c>
      <c r="F1820">
        <v>4</v>
      </c>
      <c r="G1820" s="10">
        <v>282.18</v>
      </c>
      <c r="H1820" s="13">
        <v>0.13</v>
      </c>
      <c r="I1820" t="s">
        <v>1936</v>
      </c>
      <c r="J1820" s="16">
        <v>981.9864</v>
      </c>
      <c r="K1820" s="19">
        <f t="shared" si="140"/>
        <v>195228.97050000002</v>
      </c>
      <c r="L1820" s="22">
        <f t="shared" si="141"/>
        <v>1072.6866510989012</v>
      </c>
      <c r="M1820" s="22">
        <f t="shared" si="142"/>
        <v>57</v>
      </c>
      <c r="N1820" s="22" t="str">
        <f t="shared" si="143"/>
        <v>Low Value</v>
      </c>
      <c r="O1820" s="22" t="str">
        <f t="shared" si="144"/>
        <v>Jun-2025</v>
      </c>
      <c r="P1820" s="22" t="s">
        <v>1628</v>
      </c>
      <c r="Q1820" s="22" t="s">
        <v>1531</v>
      </c>
      <c r="R1820" s="22" t="s">
        <v>466</v>
      </c>
      <c r="S1820" s="22"/>
      <c r="T1820" s="22"/>
    </row>
    <row r="1821" spans="1:20">
      <c r="A1821" t="s">
        <v>3758</v>
      </c>
      <c r="B1821" s="8">
        <v>45323</v>
      </c>
      <c r="C1821" t="s">
        <v>568</v>
      </c>
      <c r="D1821" t="s">
        <v>1610</v>
      </c>
      <c r="E1821" t="s">
        <v>1864</v>
      </c>
      <c r="F1821">
        <v>1</v>
      </c>
      <c r="G1821" s="10">
        <v>486.39</v>
      </c>
      <c r="H1821" s="13">
        <v>0.09</v>
      </c>
      <c r="I1821" t="s">
        <v>1936</v>
      </c>
      <c r="J1821" s="16">
        <v>442.61489999999998</v>
      </c>
      <c r="K1821" s="19">
        <f t="shared" si="140"/>
        <v>194246.9841</v>
      </c>
      <c r="L1821" s="22">
        <f t="shared" si="141"/>
        <v>1073.1877574585635</v>
      </c>
      <c r="M1821" s="22">
        <f t="shared" si="142"/>
        <v>57</v>
      </c>
      <c r="N1821" s="22" t="str">
        <f t="shared" si="143"/>
        <v>Low Value</v>
      </c>
      <c r="O1821" s="22" t="str">
        <f t="shared" si="144"/>
        <v>Feb-2024</v>
      </c>
      <c r="P1821" s="22" t="s">
        <v>1611</v>
      </c>
      <c r="Q1821" s="22" t="s">
        <v>1560</v>
      </c>
      <c r="R1821" s="22" t="s">
        <v>569</v>
      </c>
      <c r="S1821" s="22"/>
      <c r="T1821" s="22"/>
    </row>
    <row r="1822" spans="1:20">
      <c r="A1822" t="s">
        <v>3759</v>
      </c>
      <c r="B1822" s="8">
        <v>45312</v>
      </c>
      <c r="C1822" t="s">
        <v>171</v>
      </c>
      <c r="D1822" t="s">
        <v>1600</v>
      </c>
      <c r="E1822" t="s">
        <v>1873</v>
      </c>
      <c r="F1822">
        <v>2</v>
      </c>
      <c r="G1822" s="10">
        <v>603.62</v>
      </c>
      <c r="H1822" s="13">
        <v>0.18</v>
      </c>
      <c r="I1822" t="s">
        <v>1936</v>
      </c>
      <c r="J1822" s="16">
        <v>989.93680000000006</v>
      </c>
      <c r="K1822" s="19">
        <f t="shared" si="140"/>
        <v>193804.36919999999</v>
      </c>
      <c r="L1822" s="22">
        <f t="shared" si="141"/>
        <v>1076.69094</v>
      </c>
      <c r="M1822" s="22">
        <f t="shared" si="142"/>
        <v>57</v>
      </c>
      <c r="N1822" s="22" t="str">
        <f t="shared" si="143"/>
        <v>Low Value</v>
      </c>
      <c r="O1822" s="22" t="str">
        <f t="shared" si="144"/>
        <v>Jan-2024</v>
      </c>
      <c r="P1822" s="22" t="s">
        <v>1601</v>
      </c>
      <c r="Q1822" s="22" t="s">
        <v>1536</v>
      </c>
      <c r="R1822" s="22" t="s">
        <v>172</v>
      </c>
      <c r="S1822" s="22"/>
      <c r="T1822" s="22"/>
    </row>
    <row r="1823" spans="1:20">
      <c r="A1823" t="s">
        <v>3760</v>
      </c>
      <c r="B1823" s="8">
        <v>45554</v>
      </c>
      <c r="C1823" t="s">
        <v>494</v>
      </c>
      <c r="D1823" t="s">
        <v>1661</v>
      </c>
      <c r="E1823" t="s">
        <v>1889</v>
      </c>
      <c r="F1823">
        <v>3</v>
      </c>
      <c r="G1823" s="10">
        <v>204.17</v>
      </c>
      <c r="H1823" s="13">
        <v>0.1</v>
      </c>
      <c r="I1823" t="s">
        <v>1933</v>
      </c>
      <c r="J1823" s="16">
        <v>551.25900000000001</v>
      </c>
      <c r="K1823" s="19">
        <f t="shared" si="140"/>
        <v>192814.43240000002</v>
      </c>
      <c r="L1823" s="22">
        <f t="shared" si="141"/>
        <v>1077.1756</v>
      </c>
      <c r="M1823" s="22">
        <f t="shared" si="142"/>
        <v>57</v>
      </c>
      <c r="N1823" s="22" t="str">
        <f t="shared" si="143"/>
        <v>Low Value</v>
      </c>
      <c r="O1823" s="22" t="str">
        <f t="shared" si="144"/>
        <v>Sep-2024</v>
      </c>
      <c r="P1823" s="22" t="s">
        <v>1662</v>
      </c>
      <c r="Q1823" s="22" t="s">
        <v>1536</v>
      </c>
      <c r="R1823" s="22" t="s">
        <v>495</v>
      </c>
      <c r="S1823" s="22"/>
      <c r="T1823" s="22"/>
    </row>
    <row r="1824" spans="1:20">
      <c r="A1824" t="s">
        <v>3761</v>
      </c>
      <c r="B1824" s="8">
        <v>45310</v>
      </c>
      <c r="C1824" t="s">
        <v>465</v>
      </c>
      <c r="D1824" t="s">
        <v>1563</v>
      </c>
      <c r="E1824" t="s">
        <v>1908</v>
      </c>
      <c r="F1824">
        <v>1</v>
      </c>
      <c r="G1824" s="10">
        <v>43.58</v>
      </c>
      <c r="H1824" s="13">
        <v>0.01</v>
      </c>
      <c r="I1824" t="s">
        <v>1936</v>
      </c>
      <c r="J1824" s="16">
        <v>43.144199999999998</v>
      </c>
      <c r="K1824" s="19">
        <f t="shared" si="140"/>
        <v>192263.1734</v>
      </c>
      <c r="L1824" s="22">
        <f t="shared" si="141"/>
        <v>1080.1301876404495</v>
      </c>
      <c r="M1824" s="22">
        <f t="shared" si="142"/>
        <v>56</v>
      </c>
      <c r="N1824" s="22" t="str">
        <f t="shared" si="143"/>
        <v>Low Value</v>
      </c>
      <c r="O1824" s="22" t="str">
        <f t="shared" si="144"/>
        <v>Jan-2024</v>
      </c>
      <c r="P1824" s="22" t="s">
        <v>1564</v>
      </c>
      <c r="Q1824" s="22" t="s">
        <v>1531</v>
      </c>
      <c r="R1824" s="22" t="s">
        <v>466</v>
      </c>
      <c r="S1824" s="22"/>
      <c r="T1824" s="22"/>
    </row>
    <row r="1825" spans="1:20">
      <c r="A1825" t="s">
        <v>3762</v>
      </c>
      <c r="B1825" s="8">
        <v>45594</v>
      </c>
      <c r="C1825" t="s">
        <v>1040</v>
      </c>
      <c r="D1825" t="s">
        <v>1693</v>
      </c>
      <c r="E1825" t="s">
        <v>1868</v>
      </c>
      <c r="F1825">
        <v>3</v>
      </c>
      <c r="G1825" s="10">
        <v>469.33</v>
      </c>
      <c r="H1825" s="13">
        <v>0.14000000000000001</v>
      </c>
      <c r="I1825" t="s">
        <v>1933</v>
      </c>
      <c r="J1825" s="16">
        <v>1210.8714</v>
      </c>
      <c r="K1825" s="19">
        <f t="shared" si="140"/>
        <v>192220.02920000002</v>
      </c>
      <c r="L1825" s="22">
        <f t="shared" si="141"/>
        <v>1085.9888655367233</v>
      </c>
      <c r="M1825" s="22">
        <f t="shared" si="142"/>
        <v>56</v>
      </c>
      <c r="N1825" s="22" t="str">
        <f t="shared" si="143"/>
        <v>High Value</v>
      </c>
      <c r="O1825" s="22" t="str">
        <f t="shared" si="144"/>
        <v>Oct-2024</v>
      </c>
      <c r="P1825" s="22" t="s">
        <v>1694</v>
      </c>
      <c r="Q1825" s="22" t="s">
        <v>1555</v>
      </c>
      <c r="R1825" s="22" t="s">
        <v>1041</v>
      </c>
      <c r="S1825" s="22"/>
      <c r="T1825" s="22"/>
    </row>
    <row r="1826" spans="1:20">
      <c r="A1826" t="s">
        <v>3763</v>
      </c>
      <c r="B1826" s="8">
        <v>45840</v>
      </c>
      <c r="C1826" t="s">
        <v>679</v>
      </c>
      <c r="D1826" t="s">
        <v>1563</v>
      </c>
      <c r="E1826" t="s">
        <v>1889</v>
      </c>
      <c r="F1826">
        <v>4</v>
      </c>
      <c r="G1826" s="10">
        <v>836.23</v>
      </c>
      <c r="H1826" s="13">
        <v>0.12</v>
      </c>
      <c r="I1826" t="s">
        <v>1931</v>
      </c>
      <c r="J1826" s="16">
        <v>2943.5295999999998</v>
      </c>
      <c r="K1826" s="19">
        <f t="shared" si="140"/>
        <v>191009.15780000004</v>
      </c>
      <c r="L1826" s="22">
        <f t="shared" si="141"/>
        <v>1085.2793056818184</v>
      </c>
      <c r="M1826" s="22">
        <f t="shared" si="142"/>
        <v>55</v>
      </c>
      <c r="N1826" s="22" t="str">
        <f t="shared" si="143"/>
        <v>High Value</v>
      </c>
      <c r="O1826" s="22" t="str">
        <f t="shared" si="144"/>
        <v>Jul-2025</v>
      </c>
      <c r="P1826" s="22" t="s">
        <v>1564</v>
      </c>
      <c r="Q1826" s="22" t="s">
        <v>1531</v>
      </c>
      <c r="R1826" s="22" t="s">
        <v>680</v>
      </c>
      <c r="S1826" s="22"/>
      <c r="T1826" s="22"/>
    </row>
    <row r="1827" spans="1:20">
      <c r="A1827" t="s">
        <v>3764</v>
      </c>
      <c r="B1827" s="8">
        <v>45549</v>
      </c>
      <c r="C1827" t="s">
        <v>587</v>
      </c>
      <c r="D1827" t="s">
        <v>1755</v>
      </c>
      <c r="E1827" t="s">
        <v>1920</v>
      </c>
      <c r="F1827">
        <v>2</v>
      </c>
      <c r="G1827" s="10">
        <v>661.53</v>
      </c>
      <c r="H1827" s="13">
        <v>0.2</v>
      </c>
      <c r="I1827" t="s">
        <v>1933</v>
      </c>
      <c r="J1827" s="16">
        <v>1058.4480000000001</v>
      </c>
      <c r="K1827" s="19">
        <f t="shared" si="140"/>
        <v>188065.62820000004</v>
      </c>
      <c r="L1827" s="22">
        <f t="shared" si="141"/>
        <v>1074.6607325714288</v>
      </c>
      <c r="M1827" s="22">
        <f t="shared" si="142"/>
        <v>55</v>
      </c>
      <c r="N1827" s="22" t="str">
        <f t="shared" si="143"/>
        <v>High Value</v>
      </c>
      <c r="O1827" s="22" t="str">
        <f t="shared" si="144"/>
        <v>Sep-2024</v>
      </c>
      <c r="P1827" s="22" t="s">
        <v>1756</v>
      </c>
      <c r="Q1827" s="22" t="s">
        <v>1531</v>
      </c>
      <c r="R1827" s="22" t="s">
        <v>588</v>
      </c>
      <c r="S1827" s="22"/>
      <c r="T1827" s="22"/>
    </row>
    <row r="1828" spans="1:20">
      <c r="A1828" t="s">
        <v>3765</v>
      </c>
      <c r="B1828" s="8">
        <v>45903</v>
      </c>
      <c r="C1828" t="s">
        <v>406</v>
      </c>
      <c r="D1828" t="s">
        <v>1722</v>
      </c>
      <c r="E1828" t="s">
        <v>1911</v>
      </c>
      <c r="F1828">
        <v>3</v>
      </c>
      <c r="G1828" s="10">
        <v>753.47</v>
      </c>
      <c r="H1828" s="13">
        <v>0.25</v>
      </c>
      <c r="I1828" t="s">
        <v>1933</v>
      </c>
      <c r="J1828" s="16">
        <v>1695.3074999999999</v>
      </c>
      <c r="K1828" s="19">
        <f t="shared" si="140"/>
        <v>187007.18020000006</v>
      </c>
      <c r="L1828" s="22">
        <f t="shared" si="141"/>
        <v>1074.7539091954027</v>
      </c>
      <c r="M1828" s="22">
        <f t="shared" si="142"/>
        <v>54</v>
      </c>
      <c r="N1828" s="22" t="str">
        <f t="shared" si="143"/>
        <v>High Value</v>
      </c>
      <c r="O1828" s="22" t="str">
        <f t="shared" si="144"/>
        <v>Sep-2025</v>
      </c>
      <c r="P1828" s="22" t="s">
        <v>1723</v>
      </c>
      <c r="Q1828" s="22" t="s">
        <v>1560</v>
      </c>
      <c r="R1828" s="22" t="s">
        <v>407</v>
      </c>
      <c r="S1828" s="22"/>
      <c r="T1828" s="22"/>
    </row>
    <row r="1829" spans="1:20">
      <c r="A1829" t="s">
        <v>3766</v>
      </c>
      <c r="B1829" s="8">
        <v>45673</v>
      </c>
      <c r="C1829" t="s">
        <v>521</v>
      </c>
      <c r="D1829" t="s">
        <v>1746</v>
      </c>
      <c r="E1829" t="s">
        <v>1859</v>
      </c>
      <c r="F1829">
        <v>3</v>
      </c>
      <c r="G1829" s="10">
        <v>713.95</v>
      </c>
      <c r="H1829" s="13">
        <v>0</v>
      </c>
      <c r="I1829" t="s">
        <v>1931</v>
      </c>
      <c r="J1829" s="16">
        <v>2141.85</v>
      </c>
      <c r="K1829" s="19">
        <f t="shared" si="140"/>
        <v>185311.87270000004</v>
      </c>
      <c r="L1829" s="22">
        <f t="shared" si="141"/>
        <v>1071.1668942196534</v>
      </c>
      <c r="M1829" s="22">
        <f t="shared" si="142"/>
        <v>53</v>
      </c>
      <c r="N1829" s="22" t="str">
        <f t="shared" si="143"/>
        <v>High Value</v>
      </c>
      <c r="O1829" s="22" t="str">
        <f t="shared" si="144"/>
        <v>Jan-2025</v>
      </c>
      <c r="P1829" s="22" t="s">
        <v>1747</v>
      </c>
      <c r="Q1829" s="22" t="s">
        <v>1555</v>
      </c>
      <c r="R1829" s="22" t="s">
        <v>522</v>
      </c>
      <c r="S1829" s="22"/>
      <c r="T1829" s="22"/>
    </row>
    <row r="1830" spans="1:20">
      <c r="A1830" t="s">
        <v>3767</v>
      </c>
      <c r="B1830" s="8">
        <v>45395</v>
      </c>
      <c r="C1830" t="s">
        <v>348</v>
      </c>
      <c r="D1830" t="s">
        <v>1576</v>
      </c>
      <c r="E1830" t="s">
        <v>1880</v>
      </c>
      <c r="F1830">
        <v>3</v>
      </c>
      <c r="G1830" s="10">
        <v>596</v>
      </c>
      <c r="H1830" s="13">
        <v>0.28000000000000003</v>
      </c>
      <c r="I1830" t="s">
        <v>1936</v>
      </c>
      <c r="J1830" s="16">
        <v>1287.3599999999999</v>
      </c>
      <c r="K1830" s="19">
        <f t="shared" si="140"/>
        <v>183170.0227</v>
      </c>
      <c r="L1830" s="22">
        <f t="shared" si="141"/>
        <v>1064.9419924418605</v>
      </c>
      <c r="M1830" s="22">
        <f t="shared" si="142"/>
        <v>53</v>
      </c>
      <c r="N1830" s="22" t="str">
        <f t="shared" si="143"/>
        <v>High Value</v>
      </c>
      <c r="O1830" s="22" t="str">
        <f t="shared" si="144"/>
        <v>Apr-2024</v>
      </c>
      <c r="P1830" s="22" t="s">
        <v>1577</v>
      </c>
      <c r="Q1830" s="22" t="s">
        <v>1531</v>
      </c>
      <c r="R1830" s="22" t="s">
        <v>349</v>
      </c>
      <c r="S1830" s="22"/>
      <c r="T1830" s="22"/>
    </row>
    <row r="1831" spans="1:20">
      <c r="A1831" t="s">
        <v>3768</v>
      </c>
      <c r="B1831" s="8">
        <v>45379</v>
      </c>
      <c r="C1831" t="s">
        <v>1046</v>
      </c>
      <c r="D1831" t="s">
        <v>1567</v>
      </c>
      <c r="E1831" t="s">
        <v>1893</v>
      </c>
      <c r="F1831">
        <v>2</v>
      </c>
      <c r="G1831" s="10">
        <v>169.46</v>
      </c>
      <c r="H1831" s="13">
        <v>0.03</v>
      </c>
      <c r="I1831" t="s">
        <v>1933</v>
      </c>
      <c r="J1831" s="16">
        <v>328.75240000000002</v>
      </c>
      <c r="K1831" s="19">
        <f t="shared" si="140"/>
        <v>181882.66269999999</v>
      </c>
      <c r="L1831" s="22">
        <f t="shared" si="141"/>
        <v>1063.6413023391813</v>
      </c>
      <c r="M1831" s="22">
        <f t="shared" si="142"/>
        <v>53</v>
      </c>
      <c r="N1831" s="22" t="str">
        <f t="shared" si="143"/>
        <v>Low Value</v>
      </c>
      <c r="O1831" s="22" t="str">
        <f t="shared" si="144"/>
        <v>Mar-2024</v>
      </c>
      <c r="P1831" s="22" t="s">
        <v>1568</v>
      </c>
      <c r="Q1831" s="22" t="s">
        <v>1569</v>
      </c>
      <c r="R1831" s="22" t="s">
        <v>1047</v>
      </c>
      <c r="S1831" s="22"/>
      <c r="T1831" s="22"/>
    </row>
    <row r="1832" spans="1:20">
      <c r="A1832" t="s">
        <v>3769</v>
      </c>
      <c r="B1832" s="8">
        <v>45860</v>
      </c>
      <c r="C1832" t="s">
        <v>946</v>
      </c>
      <c r="D1832" t="s">
        <v>1749</v>
      </c>
      <c r="E1832" t="s">
        <v>1906</v>
      </c>
      <c r="F1832">
        <v>4</v>
      </c>
      <c r="G1832" s="10">
        <v>611.91999999999996</v>
      </c>
      <c r="H1832" s="13">
        <v>0.2</v>
      </c>
      <c r="I1832" t="s">
        <v>1933</v>
      </c>
      <c r="J1832" s="16">
        <v>1958.144</v>
      </c>
      <c r="K1832" s="19">
        <f t="shared" si="140"/>
        <v>181553.91030000002</v>
      </c>
      <c r="L1832" s="22">
        <f t="shared" si="141"/>
        <v>1067.9641782352942</v>
      </c>
      <c r="M1832" s="22">
        <f t="shared" si="142"/>
        <v>52</v>
      </c>
      <c r="N1832" s="22" t="str">
        <f t="shared" si="143"/>
        <v>High Value</v>
      </c>
      <c r="O1832" s="22" t="str">
        <f t="shared" si="144"/>
        <v>Jul-2025</v>
      </c>
      <c r="P1832" s="22" t="s">
        <v>1750</v>
      </c>
      <c r="Q1832" s="22" t="s">
        <v>1569</v>
      </c>
      <c r="R1832" s="22" t="s">
        <v>947</v>
      </c>
      <c r="S1832" s="22"/>
      <c r="T1832" s="22"/>
    </row>
    <row r="1833" spans="1:20">
      <c r="A1833" t="s">
        <v>3770</v>
      </c>
      <c r="B1833" s="8">
        <v>45704</v>
      </c>
      <c r="C1833" t="s">
        <v>22</v>
      </c>
      <c r="D1833" t="s">
        <v>1777</v>
      </c>
      <c r="E1833" t="s">
        <v>1908</v>
      </c>
      <c r="F1833">
        <v>2</v>
      </c>
      <c r="G1833" s="10">
        <v>25.3</v>
      </c>
      <c r="H1833" s="13">
        <v>0.21</v>
      </c>
      <c r="I1833" t="s">
        <v>1931</v>
      </c>
      <c r="J1833" s="16">
        <v>39.973999999999997</v>
      </c>
      <c r="K1833" s="19">
        <f t="shared" si="140"/>
        <v>179595.76629999999</v>
      </c>
      <c r="L1833" s="22">
        <f t="shared" si="141"/>
        <v>1062.6968420118342</v>
      </c>
      <c r="M1833" s="22">
        <f t="shared" si="142"/>
        <v>51</v>
      </c>
      <c r="N1833" s="22" t="str">
        <f t="shared" si="143"/>
        <v>Low Value</v>
      </c>
      <c r="O1833" s="22" t="str">
        <f t="shared" si="144"/>
        <v>Feb-2025</v>
      </c>
      <c r="P1833" s="22" t="s">
        <v>1778</v>
      </c>
      <c r="Q1833" s="22" t="s">
        <v>1531</v>
      </c>
      <c r="R1833" s="22" t="s">
        <v>3941</v>
      </c>
      <c r="S1833" s="22"/>
      <c r="T1833" s="22"/>
    </row>
    <row r="1834" spans="1:20">
      <c r="A1834" t="s">
        <v>3771</v>
      </c>
      <c r="B1834" s="8">
        <v>45327</v>
      </c>
      <c r="C1834" t="s">
        <v>1334</v>
      </c>
      <c r="D1834" t="s">
        <v>1774</v>
      </c>
      <c r="E1834" t="s">
        <v>1896</v>
      </c>
      <c r="F1834">
        <v>4</v>
      </c>
      <c r="G1834" s="10">
        <v>166.93</v>
      </c>
      <c r="H1834" s="13">
        <v>0.02</v>
      </c>
      <c r="I1834" t="s">
        <v>1933</v>
      </c>
      <c r="J1834" s="16">
        <v>654.36559999999997</v>
      </c>
      <c r="K1834" s="19">
        <f t="shared" si="140"/>
        <v>179555.7923</v>
      </c>
      <c r="L1834" s="22">
        <f t="shared" si="141"/>
        <v>1068.7844779761904</v>
      </c>
      <c r="M1834" s="22">
        <f t="shared" si="142"/>
        <v>51</v>
      </c>
      <c r="N1834" s="22" t="str">
        <f t="shared" si="143"/>
        <v>Low Value</v>
      </c>
      <c r="O1834" s="22" t="str">
        <f t="shared" si="144"/>
        <v>Feb-2024</v>
      </c>
      <c r="P1834" s="22" t="s">
        <v>1775</v>
      </c>
      <c r="Q1834" s="22" t="s">
        <v>1569</v>
      </c>
      <c r="R1834" s="22" t="s">
        <v>1335</v>
      </c>
      <c r="S1834" s="22"/>
      <c r="T1834" s="22"/>
    </row>
    <row r="1835" spans="1:20">
      <c r="A1835" t="s">
        <v>3772</v>
      </c>
      <c r="B1835" s="8">
        <v>45721</v>
      </c>
      <c r="C1835" t="s">
        <v>889</v>
      </c>
      <c r="D1835" t="s">
        <v>1734</v>
      </c>
      <c r="E1835" t="s">
        <v>1899</v>
      </c>
      <c r="F1835">
        <v>4</v>
      </c>
      <c r="G1835" s="10">
        <v>861.55</v>
      </c>
      <c r="H1835" s="13">
        <v>0.12</v>
      </c>
      <c r="I1835" t="s">
        <v>1931</v>
      </c>
      <c r="J1835" s="16">
        <v>3032.6559999999999</v>
      </c>
      <c r="K1835" s="19">
        <f t="shared" si="140"/>
        <v>178901.42669999998</v>
      </c>
      <c r="L1835" s="22">
        <f t="shared" si="141"/>
        <v>1071.2660281437124</v>
      </c>
      <c r="M1835" s="22">
        <f t="shared" si="142"/>
        <v>50</v>
      </c>
      <c r="N1835" s="22" t="str">
        <f t="shared" si="143"/>
        <v>High Value</v>
      </c>
      <c r="O1835" s="22" t="str">
        <f t="shared" si="144"/>
        <v>Mar-2025</v>
      </c>
      <c r="P1835" s="22" t="s">
        <v>1735</v>
      </c>
      <c r="Q1835" s="22" t="s">
        <v>1555</v>
      </c>
      <c r="R1835" s="22" t="s">
        <v>890</v>
      </c>
      <c r="S1835" s="22"/>
      <c r="T1835" s="22"/>
    </row>
    <row r="1836" spans="1:20">
      <c r="A1836" t="s">
        <v>3773</v>
      </c>
      <c r="B1836" s="8">
        <v>45842</v>
      </c>
      <c r="C1836" t="s">
        <v>1122</v>
      </c>
      <c r="D1836" t="s">
        <v>1681</v>
      </c>
      <c r="E1836" t="s">
        <v>1880</v>
      </c>
      <c r="F1836">
        <v>3</v>
      </c>
      <c r="G1836" s="10">
        <v>56.17</v>
      </c>
      <c r="H1836" s="13">
        <v>0.01</v>
      </c>
      <c r="I1836" t="s">
        <v>1936</v>
      </c>
      <c r="J1836" s="16">
        <v>166.82490000000001</v>
      </c>
      <c r="K1836" s="19">
        <f t="shared" si="140"/>
        <v>175868.77069999999</v>
      </c>
      <c r="L1836" s="22">
        <f t="shared" si="141"/>
        <v>1059.4504259036144</v>
      </c>
      <c r="M1836" s="22">
        <f t="shared" si="142"/>
        <v>50</v>
      </c>
      <c r="N1836" s="22" t="str">
        <f t="shared" si="143"/>
        <v>Low Value</v>
      </c>
      <c r="O1836" s="22" t="str">
        <f t="shared" si="144"/>
        <v>Jul-2025</v>
      </c>
      <c r="P1836" s="22" t="s">
        <v>1682</v>
      </c>
      <c r="Q1836" s="22" t="s">
        <v>1531</v>
      </c>
      <c r="R1836" s="22" t="s">
        <v>1123</v>
      </c>
      <c r="S1836" s="22"/>
      <c r="T1836" s="22"/>
    </row>
    <row r="1837" spans="1:20">
      <c r="A1837" t="s">
        <v>3774</v>
      </c>
      <c r="B1837" s="8">
        <v>45862</v>
      </c>
      <c r="C1837" t="s">
        <v>849</v>
      </c>
      <c r="D1837" t="s">
        <v>1590</v>
      </c>
      <c r="E1837" t="s">
        <v>1920</v>
      </c>
      <c r="F1837">
        <v>1</v>
      </c>
      <c r="G1837" s="10">
        <v>582.29</v>
      </c>
      <c r="H1837" s="13">
        <v>0.2</v>
      </c>
      <c r="I1837" t="s">
        <v>1931</v>
      </c>
      <c r="J1837" s="16">
        <v>465.83199999999999</v>
      </c>
      <c r="K1837" s="19">
        <f t="shared" si="140"/>
        <v>175701.94580000002</v>
      </c>
      <c r="L1837" s="22">
        <f t="shared" si="141"/>
        <v>1064.8602775757577</v>
      </c>
      <c r="M1837" s="22">
        <f t="shared" si="142"/>
        <v>50</v>
      </c>
      <c r="N1837" s="22" t="str">
        <f t="shared" si="143"/>
        <v>Low Value</v>
      </c>
      <c r="O1837" s="22" t="str">
        <f t="shared" si="144"/>
        <v>Jul-2025</v>
      </c>
      <c r="P1837" s="22" t="s">
        <v>1591</v>
      </c>
      <c r="Q1837" s="22" t="s">
        <v>1531</v>
      </c>
      <c r="R1837" s="22" t="s">
        <v>850</v>
      </c>
      <c r="S1837" s="22"/>
      <c r="T1837" s="22"/>
    </row>
    <row r="1838" spans="1:20">
      <c r="A1838" t="s">
        <v>3775</v>
      </c>
      <c r="B1838" s="8">
        <v>45681</v>
      </c>
      <c r="C1838" t="s">
        <v>833</v>
      </c>
      <c r="D1838" t="s">
        <v>1804</v>
      </c>
      <c r="E1838" t="s">
        <v>1859</v>
      </c>
      <c r="F1838">
        <v>3</v>
      </c>
      <c r="G1838" s="10">
        <v>63.96</v>
      </c>
      <c r="H1838" s="13">
        <v>0.02</v>
      </c>
      <c r="I1838" t="s">
        <v>1931</v>
      </c>
      <c r="J1838" s="16">
        <v>188.04239999999999</v>
      </c>
      <c r="K1838" s="19">
        <f t="shared" si="140"/>
        <v>175236.11380000002</v>
      </c>
      <c r="L1838" s="22">
        <f t="shared" si="141"/>
        <v>1068.5128890243905</v>
      </c>
      <c r="M1838" s="22">
        <f t="shared" si="142"/>
        <v>50</v>
      </c>
      <c r="N1838" s="22" t="str">
        <f t="shared" si="143"/>
        <v>Low Value</v>
      </c>
      <c r="O1838" s="22" t="str">
        <f t="shared" si="144"/>
        <v>Jan-2025</v>
      </c>
      <c r="P1838" s="22" t="s">
        <v>1805</v>
      </c>
      <c r="Q1838" s="22" t="s">
        <v>1555</v>
      </c>
      <c r="R1838" s="22" t="s">
        <v>834</v>
      </c>
      <c r="S1838" s="22"/>
      <c r="T1838" s="22"/>
    </row>
    <row r="1839" spans="1:20">
      <c r="A1839" t="s">
        <v>3776</v>
      </c>
      <c r="B1839" s="8">
        <v>45392</v>
      </c>
      <c r="C1839" t="s">
        <v>238</v>
      </c>
      <c r="D1839" t="s">
        <v>1567</v>
      </c>
      <c r="E1839" t="s">
        <v>1901</v>
      </c>
      <c r="F1839">
        <v>1</v>
      </c>
      <c r="G1839" s="10">
        <v>829.83</v>
      </c>
      <c r="H1839" s="13">
        <v>0.26</v>
      </c>
      <c r="I1839" t="s">
        <v>1936</v>
      </c>
      <c r="J1839" s="16">
        <v>614.07420000000002</v>
      </c>
      <c r="K1839" s="19">
        <f t="shared" si="140"/>
        <v>175048.07140000002</v>
      </c>
      <c r="L1839" s="22">
        <f t="shared" si="141"/>
        <v>1073.9145484662577</v>
      </c>
      <c r="M1839" s="22">
        <f t="shared" si="142"/>
        <v>50</v>
      </c>
      <c r="N1839" s="22" t="str">
        <f t="shared" si="143"/>
        <v>Low Value</v>
      </c>
      <c r="O1839" s="22" t="str">
        <f t="shared" si="144"/>
        <v>Apr-2024</v>
      </c>
      <c r="P1839" s="22" t="s">
        <v>1568</v>
      </c>
      <c r="Q1839" s="22" t="s">
        <v>1569</v>
      </c>
      <c r="R1839" s="22" t="s">
        <v>239</v>
      </c>
      <c r="S1839" s="22"/>
      <c r="T1839" s="22"/>
    </row>
    <row r="1840" spans="1:20">
      <c r="A1840" t="s">
        <v>3777</v>
      </c>
      <c r="B1840" s="8">
        <v>45586</v>
      </c>
      <c r="C1840" t="s">
        <v>1151</v>
      </c>
      <c r="D1840" t="s">
        <v>1652</v>
      </c>
      <c r="E1840" t="s">
        <v>1911</v>
      </c>
      <c r="F1840">
        <v>2</v>
      </c>
      <c r="G1840" s="10">
        <v>858.15</v>
      </c>
      <c r="H1840" s="13">
        <v>0.03</v>
      </c>
      <c r="I1840" t="s">
        <v>1931</v>
      </c>
      <c r="J1840" s="16">
        <v>1664.8109999999999</v>
      </c>
      <c r="K1840" s="19">
        <f t="shared" si="140"/>
        <v>174433.99720000001</v>
      </c>
      <c r="L1840" s="22">
        <f t="shared" si="141"/>
        <v>1076.7530691358024</v>
      </c>
      <c r="M1840" s="22">
        <f t="shared" si="142"/>
        <v>50</v>
      </c>
      <c r="N1840" s="22" t="str">
        <f t="shared" si="143"/>
        <v>High Value</v>
      </c>
      <c r="O1840" s="22" t="str">
        <f t="shared" si="144"/>
        <v>Oct-2024</v>
      </c>
      <c r="P1840" s="22" t="s">
        <v>1653</v>
      </c>
      <c r="Q1840" s="22" t="s">
        <v>1531</v>
      </c>
      <c r="R1840" s="22" t="s">
        <v>1152</v>
      </c>
      <c r="S1840" s="22"/>
      <c r="T1840" s="22"/>
    </row>
    <row r="1841" spans="1:20">
      <c r="A1841" t="s">
        <v>3778</v>
      </c>
      <c r="B1841" s="8">
        <v>45340</v>
      </c>
      <c r="C1841" t="s">
        <v>1119</v>
      </c>
      <c r="D1841" t="s">
        <v>1774</v>
      </c>
      <c r="E1841" t="s">
        <v>1904</v>
      </c>
      <c r="F1841">
        <v>3</v>
      </c>
      <c r="G1841" s="10">
        <v>717.32</v>
      </c>
      <c r="H1841" s="13">
        <v>0.23</v>
      </c>
      <c r="I1841" t="s">
        <v>1936</v>
      </c>
      <c r="J1841" s="16">
        <v>1657.0092</v>
      </c>
      <c r="K1841" s="19">
        <f t="shared" si="140"/>
        <v>172769.18620000003</v>
      </c>
      <c r="L1841" s="22">
        <f t="shared" si="141"/>
        <v>1073.1005354037268</v>
      </c>
      <c r="M1841" s="22">
        <f t="shared" si="142"/>
        <v>50</v>
      </c>
      <c r="N1841" s="22" t="str">
        <f t="shared" si="143"/>
        <v>High Value</v>
      </c>
      <c r="O1841" s="22" t="str">
        <f t="shared" si="144"/>
        <v>Feb-2024</v>
      </c>
      <c r="P1841" s="22" t="s">
        <v>1775</v>
      </c>
      <c r="Q1841" s="22" t="s">
        <v>1569</v>
      </c>
      <c r="R1841" s="22" t="s">
        <v>1120</v>
      </c>
      <c r="S1841" s="22"/>
      <c r="T1841" s="22"/>
    </row>
    <row r="1842" spans="1:20">
      <c r="A1842" t="s">
        <v>3779</v>
      </c>
      <c r="B1842" s="8">
        <v>45853</v>
      </c>
      <c r="C1842" t="s">
        <v>1319</v>
      </c>
      <c r="D1842" t="s">
        <v>1804</v>
      </c>
      <c r="E1842" t="s">
        <v>1901</v>
      </c>
      <c r="F1842">
        <v>1</v>
      </c>
      <c r="G1842" s="10">
        <v>163.19999999999999</v>
      </c>
      <c r="H1842" s="13">
        <v>0.22</v>
      </c>
      <c r="I1842" t="s">
        <v>1933</v>
      </c>
      <c r="J1842" s="16">
        <v>127.29600000000001</v>
      </c>
      <c r="K1842" s="19">
        <f t="shared" si="140"/>
        <v>171112.17700000003</v>
      </c>
      <c r="L1842" s="22">
        <f t="shared" si="141"/>
        <v>1069.4511062500001</v>
      </c>
      <c r="M1842" s="22">
        <f t="shared" si="142"/>
        <v>50</v>
      </c>
      <c r="N1842" s="22" t="str">
        <f t="shared" si="143"/>
        <v>Low Value</v>
      </c>
      <c r="O1842" s="22" t="str">
        <f t="shared" si="144"/>
        <v>Jul-2025</v>
      </c>
      <c r="P1842" s="22" t="s">
        <v>1805</v>
      </c>
      <c r="Q1842" s="22" t="s">
        <v>1555</v>
      </c>
      <c r="R1842" s="22" t="s">
        <v>1320</v>
      </c>
      <c r="S1842" s="22"/>
      <c r="T1842" s="22"/>
    </row>
    <row r="1843" spans="1:20">
      <c r="A1843" t="s">
        <v>3780</v>
      </c>
      <c r="B1843" s="8">
        <v>45489</v>
      </c>
      <c r="C1843" t="s">
        <v>431</v>
      </c>
      <c r="D1843" t="s">
        <v>1798</v>
      </c>
      <c r="E1843" t="s">
        <v>1901</v>
      </c>
      <c r="F1843">
        <v>2</v>
      </c>
      <c r="G1843" s="10">
        <v>966.71</v>
      </c>
      <c r="H1843" s="13">
        <v>0.11</v>
      </c>
      <c r="I1843" t="s">
        <v>1931</v>
      </c>
      <c r="J1843" s="16">
        <v>1720.7438</v>
      </c>
      <c r="K1843" s="19">
        <f t="shared" si="140"/>
        <v>170984.88100000002</v>
      </c>
      <c r="L1843" s="22">
        <f t="shared" si="141"/>
        <v>1075.3766100628932</v>
      </c>
      <c r="M1843" s="22">
        <f t="shared" si="142"/>
        <v>49</v>
      </c>
      <c r="N1843" s="22" t="str">
        <f t="shared" si="143"/>
        <v>High Value</v>
      </c>
      <c r="O1843" s="22" t="str">
        <f t="shared" si="144"/>
        <v>Jul-2024</v>
      </c>
      <c r="P1843" s="22" t="s">
        <v>1799</v>
      </c>
      <c r="Q1843" s="22" t="s">
        <v>1569</v>
      </c>
      <c r="R1843" s="22" t="s">
        <v>432</v>
      </c>
      <c r="S1843" s="22"/>
      <c r="T1843" s="22"/>
    </row>
    <row r="1844" spans="1:20">
      <c r="A1844" t="s">
        <v>3781</v>
      </c>
      <c r="B1844" s="8">
        <v>45761</v>
      </c>
      <c r="C1844" t="s">
        <v>1087</v>
      </c>
      <c r="D1844" t="s">
        <v>1655</v>
      </c>
      <c r="E1844" t="s">
        <v>1904</v>
      </c>
      <c r="F1844">
        <v>2</v>
      </c>
      <c r="G1844" s="10">
        <v>873.94</v>
      </c>
      <c r="H1844" s="13">
        <v>0.14000000000000001</v>
      </c>
      <c r="I1844" t="s">
        <v>1936</v>
      </c>
      <c r="J1844" s="16">
        <v>1503.1768</v>
      </c>
      <c r="K1844" s="19">
        <f t="shared" si="140"/>
        <v>169264.13720000003</v>
      </c>
      <c r="L1844" s="22">
        <f t="shared" si="141"/>
        <v>1071.2920075949369</v>
      </c>
      <c r="M1844" s="22">
        <f t="shared" si="142"/>
        <v>49</v>
      </c>
      <c r="N1844" s="22" t="str">
        <f t="shared" si="143"/>
        <v>High Value</v>
      </c>
      <c r="O1844" s="22" t="str">
        <f t="shared" si="144"/>
        <v>Apr-2025</v>
      </c>
      <c r="P1844" s="22" t="s">
        <v>1656</v>
      </c>
      <c r="Q1844" s="22" t="s">
        <v>1560</v>
      </c>
      <c r="R1844" s="22" t="s">
        <v>1088</v>
      </c>
      <c r="S1844" s="22"/>
      <c r="T1844" s="22"/>
    </row>
    <row r="1845" spans="1:20">
      <c r="A1845" t="s">
        <v>3782</v>
      </c>
      <c r="B1845" s="8">
        <v>45379</v>
      </c>
      <c r="C1845" t="s">
        <v>500</v>
      </c>
      <c r="D1845" t="s">
        <v>1529</v>
      </c>
      <c r="E1845" t="s">
        <v>1873</v>
      </c>
      <c r="F1845">
        <v>1</v>
      </c>
      <c r="G1845" s="10">
        <v>140.24</v>
      </c>
      <c r="H1845" s="13">
        <v>0.27</v>
      </c>
      <c r="I1845" t="s">
        <v>1931</v>
      </c>
      <c r="J1845" s="16">
        <v>102.37520000000001</v>
      </c>
      <c r="K1845" s="19">
        <f t="shared" si="140"/>
        <v>167760.96039999995</v>
      </c>
      <c r="L1845" s="22">
        <f t="shared" si="141"/>
        <v>1068.5411490445856</v>
      </c>
      <c r="M1845" s="22">
        <f t="shared" si="142"/>
        <v>49</v>
      </c>
      <c r="N1845" s="22" t="str">
        <f t="shared" si="143"/>
        <v>Low Value</v>
      </c>
      <c r="O1845" s="22" t="str">
        <f t="shared" si="144"/>
        <v>Mar-2024</v>
      </c>
      <c r="P1845" s="22" t="s">
        <v>1530</v>
      </c>
      <c r="Q1845" s="22" t="s">
        <v>1531</v>
      </c>
      <c r="R1845" s="22" t="s">
        <v>501</v>
      </c>
      <c r="S1845" s="22"/>
      <c r="T1845" s="22"/>
    </row>
    <row r="1846" spans="1:20">
      <c r="A1846" t="s">
        <v>3783</v>
      </c>
      <c r="B1846" s="8">
        <v>45716</v>
      </c>
      <c r="C1846" t="s">
        <v>655</v>
      </c>
      <c r="D1846" t="s">
        <v>1681</v>
      </c>
      <c r="E1846" t="s">
        <v>1880</v>
      </c>
      <c r="F1846">
        <v>2</v>
      </c>
      <c r="G1846" s="10">
        <v>549.91999999999996</v>
      </c>
      <c r="H1846" s="13">
        <v>0.28000000000000003</v>
      </c>
      <c r="I1846" t="s">
        <v>1931</v>
      </c>
      <c r="J1846" s="16">
        <v>791.88479999999993</v>
      </c>
      <c r="K1846" s="19">
        <f t="shared" si="140"/>
        <v>167658.58519999997</v>
      </c>
      <c r="L1846" s="22">
        <f t="shared" si="141"/>
        <v>1074.7345205128204</v>
      </c>
      <c r="M1846" s="22">
        <f t="shared" si="142"/>
        <v>49</v>
      </c>
      <c r="N1846" s="22" t="str">
        <f t="shared" si="143"/>
        <v>Low Value</v>
      </c>
      <c r="O1846" s="22" t="str">
        <f t="shared" si="144"/>
        <v>Feb-2025</v>
      </c>
      <c r="P1846" s="22" t="s">
        <v>1682</v>
      </c>
      <c r="Q1846" s="22" t="s">
        <v>1531</v>
      </c>
      <c r="R1846" s="22" t="s">
        <v>656</v>
      </c>
      <c r="S1846" s="22"/>
      <c r="T1846" s="22"/>
    </row>
    <row r="1847" spans="1:20">
      <c r="A1847" t="s">
        <v>3784</v>
      </c>
      <c r="B1847" s="8">
        <v>45364</v>
      </c>
      <c r="C1847" t="s">
        <v>385</v>
      </c>
      <c r="D1847" t="s">
        <v>1597</v>
      </c>
      <c r="E1847" t="s">
        <v>1880</v>
      </c>
      <c r="F1847">
        <v>4</v>
      </c>
      <c r="G1847" s="10">
        <v>715.88</v>
      </c>
      <c r="H1847" s="13">
        <v>0.19</v>
      </c>
      <c r="I1847" t="s">
        <v>1933</v>
      </c>
      <c r="J1847" s="16">
        <v>2319.4512</v>
      </c>
      <c r="K1847" s="19">
        <f t="shared" si="140"/>
        <v>166866.70039999997</v>
      </c>
      <c r="L1847" s="22">
        <f t="shared" si="141"/>
        <v>1076.5593574193547</v>
      </c>
      <c r="M1847" s="22">
        <f t="shared" si="142"/>
        <v>49</v>
      </c>
      <c r="N1847" s="22" t="str">
        <f t="shared" si="143"/>
        <v>High Value</v>
      </c>
      <c r="O1847" s="22" t="str">
        <f t="shared" si="144"/>
        <v>Mar-2024</v>
      </c>
      <c r="P1847" s="22" t="s">
        <v>1598</v>
      </c>
      <c r="Q1847" s="22" t="s">
        <v>1569</v>
      </c>
      <c r="R1847" s="22" t="s">
        <v>386</v>
      </c>
      <c r="S1847" s="22"/>
      <c r="T1847" s="22"/>
    </row>
    <row r="1848" spans="1:20">
      <c r="A1848" t="s">
        <v>3785</v>
      </c>
      <c r="B1848" s="8">
        <v>45752</v>
      </c>
      <c r="C1848" t="s">
        <v>1154</v>
      </c>
      <c r="D1848" t="s">
        <v>1539</v>
      </c>
      <c r="E1848" t="s">
        <v>1889</v>
      </c>
      <c r="F1848">
        <v>3</v>
      </c>
      <c r="G1848" s="10">
        <v>591.9</v>
      </c>
      <c r="H1848" s="13">
        <v>0.27</v>
      </c>
      <c r="I1848" t="s">
        <v>1931</v>
      </c>
      <c r="J1848" s="16">
        <v>1296.261</v>
      </c>
      <c r="K1848" s="19">
        <f t="shared" si="140"/>
        <v>164547.24919999996</v>
      </c>
      <c r="L1848" s="22">
        <f t="shared" si="141"/>
        <v>1068.488631168831</v>
      </c>
      <c r="M1848" s="22">
        <f t="shared" si="142"/>
        <v>48</v>
      </c>
      <c r="N1848" s="22" t="str">
        <f t="shared" si="143"/>
        <v>High Value</v>
      </c>
      <c r="O1848" s="22" t="str">
        <f t="shared" si="144"/>
        <v>Apr-2025</v>
      </c>
      <c r="P1848" s="22" t="s">
        <v>1540</v>
      </c>
      <c r="Q1848" s="22" t="s">
        <v>1536</v>
      </c>
      <c r="R1848" s="22" t="s">
        <v>1155</v>
      </c>
      <c r="S1848" s="22"/>
      <c r="T1848" s="22"/>
    </row>
    <row r="1849" spans="1:20">
      <c r="A1849" t="s">
        <v>3786</v>
      </c>
      <c r="B1849" s="8">
        <v>45883</v>
      </c>
      <c r="C1849" t="s">
        <v>1166</v>
      </c>
      <c r="D1849" t="s">
        <v>1614</v>
      </c>
      <c r="E1849" t="s">
        <v>1896</v>
      </c>
      <c r="F1849">
        <v>2</v>
      </c>
      <c r="G1849" s="10">
        <v>523.14</v>
      </c>
      <c r="H1849" s="13">
        <v>0.13</v>
      </c>
      <c r="I1849" t="s">
        <v>1933</v>
      </c>
      <c r="J1849" s="16">
        <v>910.2636</v>
      </c>
      <c r="K1849" s="19">
        <f t="shared" si="140"/>
        <v>163250.98819999999</v>
      </c>
      <c r="L1849" s="22">
        <f t="shared" si="141"/>
        <v>1066.999922875817</v>
      </c>
      <c r="M1849" s="22">
        <f t="shared" si="142"/>
        <v>48</v>
      </c>
      <c r="N1849" s="22" t="str">
        <f t="shared" si="143"/>
        <v>Low Value</v>
      </c>
      <c r="O1849" s="22" t="str">
        <f t="shared" si="144"/>
        <v>Aug-2025</v>
      </c>
      <c r="P1849" s="22" t="s">
        <v>1615</v>
      </c>
      <c r="Q1849" s="22" t="s">
        <v>1569</v>
      </c>
      <c r="R1849" s="22" t="s">
        <v>1167</v>
      </c>
      <c r="S1849" s="22"/>
      <c r="T1849" s="22"/>
    </row>
    <row r="1850" spans="1:20">
      <c r="A1850" t="s">
        <v>3787</v>
      </c>
      <c r="B1850" s="8">
        <v>45477</v>
      </c>
      <c r="C1850" t="s">
        <v>731</v>
      </c>
      <c r="D1850" t="s">
        <v>1762</v>
      </c>
      <c r="E1850" t="s">
        <v>1906</v>
      </c>
      <c r="F1850">
        <v>2</v>
      </c>
      <c r="G1850" s="10">
        <v>478.62</v>
      </c>
      <c r="H1850" s="13">
        <v>0.17</v>
      </c>
      <c r="I1850" t="s">
        <v>1936</v>
      </c>
      <c r="J1850" s="16">
        <v>794.50919999999996</v>
      </c>
      <c r="K1850" s="19">
        <f t="shared" si="140"/>
        <v>162340.72459999999</v>
      </c>
      <c r="L1850" s="22">
        <f t="shared" si="141"/>
        <v>1068.0310828947368</v>
      </c>
      <c r="M1850" s="22">
        <f t="shared" si="142"/>
        <v>47</v>
      </c>
      <c r="N1850" s="22" t="str">
        <f t="shared" si="143"/>
        <v>Low Value</v>
      </c>
      <c r="O1850" s="22" t="str">
        <f t="shared" si="144"/>
        <v>Jul-2024</v>
      </c>
      <c r="P1850" s="22" t="s">
        <v>1763</v>
      </c>
      <c r="Q1850" s="22" t="s">
        <v>1536</v>
      </c>
      <c r="R1850" s="22" t="s">
        <v>732</v>
      </c>
      <c r="S1850" s="22"/>
      <c r="T1850" s="22"/>
    </row>
    <row r="1851" spans="1:20">
      <c r="A1851" t="s">
        <v>3788</v>
      </c>
      <c r="B1851" s="8">
        <v>45556</v>
      </c>
      <c r="C1851" t="s">
        <v>943</v>
      </c>
      <c r="D1851" t="s">
        <v>1801</v>
      </c>
      <c r="E1851" t="s">
        <v>1864</v>
      </c>
      <c r="F1851">
        <v>4</v>
      </c>
      <c r="G1851" s="10">
        <v>740.5</v>
      </c>
      <c r="H1851" s="13">
        <v>0.17</v>
      </c>
      <c r="I1851" t="s">
        <v>1933</v>
      </c>
      <c r="J1851" s="16">
        <v>2458.46</v>
      </c>
      <c r="K1851" s="19">
        <f t="shared" si="140"/>
        <v>161546.21539999999</v>
      </c>
      <c r="L1851" s="22">
        <f t="shared" si="141"/>
        <v>1069.842486092715</v>
      </c>
      <c r="M1851" s="22">
        <f t="shared" si="142"/>
        <v>47</v>
      </c>
      <c r="N1851" s="22" t="str">
        <f t="shared" si="143"/>
        <v>High Value</v>
      </c>
      <c r="O1851" s="22" t="str">
        <f t="shared" si="144"/>
        <v>Sep-2024</v>
      </c>
      <c r="P1851" s="22" t="s">
        <v>1802</v>
      </c>
      <c r="Q1851" s="22" t="s">
        <v>1569</v>
      </c>
      <c r="R1851" s="22" t="s">
        <v>944</v>
      </c>
      <c r="S1851" s="22"/>
      <c r="T1851" s="22"/>
    </row>
    <row r="1852" spans="1:20">
      <c r="A1852" t="s">
        <v>3789</v>
      </c>
      <c r="B1852" s="8">
        <v>45465</v>
      </c>
      <c r="C1852" t="s">
        <v>388</v>
      </c>
      <c r="D1852" t="s">
        <v>1690</v>
      </c>
      <c r="E1852" t="s">
        <v>1868</v>
      </c>
      <c r="F1852">
        <v>1</v>
      </c>
      <c r="G1852" s="10">
        <v>780.24</v>
      </c>
      <c r="H1852" s="13">
        <v>0.04</v>
      </c>
      <c r="I1852" t="s">
        <v>1936</v>
      </c>
      <c r="J1852" s="16">
        <v>749.03039999999999</v>
      </c>
      <c r="K1852" s="19">
        <f t="shared" si="140"/>
        <v>159087.75539999999</v>
      </c>
      <c r="L1852" s="22">
        <f t="shared" si="141"/>
        <v>1060.5850359999999</v>
      </c>
      <c r="M1852" s="22">
        <f t="shared" si="142"/>
        <v>46</v>
      </c>
      <c r="N1852" s="22" t="str">
        <f t="shared" si="143"/>
        <v>Low Value</v>
      </c>
      <c r="O1852" s="22" t="str">
        <f t="shared" si="144"/>
        <v>Jun-2024</v>
      </c>
      <c r="P1852" s="22" t="s">
        <v>1691</v>
      </c>
      <c r="Q1852" s="22" t="s">
        <v>1536</v>
      </c>
      <c r="R1852" s="22" t="s">
        <v>389</v>
      </c>
      <c r="S1852" s="22"/>
      <c r="T1852" s="22"/>
    </row>
    <row r="1853" spans="1:20">
      <c r="A1853" t="s">
        <v>3790</v>
      </c>
      <c r="B1853" s="8">
        <v>45552</v>
      </c>
      <c r="C1853" t="s">
        <v>373</v>
      </c>
      <c r="D1853" t="s">
        <v>1765</v>
      </c>
      <c r="E1853" t="s">
        <v>1911</v>
      </c>
      <c r="F1853">
        <v>4</v>
      </c>
      <c r="G1853" s="10">
        <v>579.24</v>
      </c>
      <c r="H1853" s="13">
        <v>0.04</v>
      </c>
      <c r="I1853" t="s">
        <v>1936</v>
      </c>
      <c r="J1853" s="16">
        <v>2224.2815999999998</v>
      </c>
      <c r="K1853" s="19">
        <f t="shared" si="140"/>
        <v>158338.72499999998</v>
      </c>
      <c r="L1853" s="22">
        <f t="shared" si="141"/>
        <v>1062.6760067114092</v>
      </c>
      <c r="M1853" s="22">
        <f t="shared" si="142"/>
        <v>46</v>
      </c>
      <c r="N1853" s="22" t="str">
        <f t="shared" si="143"/>
        <v>High Value</v>
      </c>
      <c r="O1853" s="22" t="str">
        <f t="shared" si="144"/>
        <v>Sep-2024</v>
      </c>
      <c r="P1853" s="22" t="s">
        <v>1766</v>
      </c>
      <c r="Q1853" s="22" t="s">
        <v>1560</v>
      </c>
      <c r="R1853" s="22" t="s">
        <v>374</v>
      </c>
      <c r="S1853" s="22"/>
      <c r="T1853" s="22"/>
    </row>
    <row r="1854" spans="1:20">
      <c r="A1854" t="s">
        <v>3791</v>
      </c>
      <c r="B1854" s="8">
        <v>45635</v>
      </c>
      <c r="C1854" t="s">
        <v>1154</v>
      </c>
      <c r="D1854" t="s">
        <v>1534</v>
      </c>
      <c r="E1854" t="s">
        <v>1868</v>
      </c>
      <c r="F1854">
        <v>3</v>
      </c>
      <c r="G1854" s="10">
        <v>268.95</v>
      </c>
      <c r="H1854" s="13">
        <v>0.04</v>
      </c>
      <c r="I1854" t="s">
        <v>1933</v>
      </c>
      <c r="J1854" s="16">
        <v>774.57599999999991</v>
      </c>
      <c r="K1854" s="19">
        <f t="shared" si="140"/>
        <v>156114.44339999999</v>
      </c>
      <c r="L1854" s="22">
        <f t="shared" si="141"/>
        <v>1054.8273202702701</v>
      </c>
      <c r="M1854" s="22">
        <f t="shared" si="142"/>
        <v>46</v>
      </c>
      <c r="N1854" s="22" t="str">
        <f t="shared" si="143"/>
        <v>Low Value</v>
      </c>
      <c r="O1854" s="22" t="str">
        <f t="shared" si="144"/>
        <v>Dec-2024</v>
      </c>
      <c r="P1854" s="22" t="s">
        <v>1535</v>
      </c>
      <c r="Q1854" s="22" t="s">
        <v>1536</v>
      </c>
      <c r="R1854" s="22" t="s">
        <v>1155</v>
      </c>
      <c r="S1854" s="22"/>
      <c r="T1854" s="22"/>
    </row>
    <row r="1855" spans="1:20">
      <c r="A1855" t="s">
        <v>3792</v>
      </c>
      <c r="B1855" s="8">
        <v>45740</v>
      </c>
      <c r="C1855" t="s">
        <v>960</v>
      </c>
      <c r="D1855" t="s">
        <v>1549</v>
      </c>
      <c r="E1855" t="s">
        <v>1876</v>
      </c>
      <c r="F1855">
        <v>1</v>
      </c>
      <c r="G1855" s="10">
        <v>47.47</v>
      </c>
      <c r="H1855" s="13">
        <v>0.28000000000000003</v>
      </c>
      <c r="I1855" t="s">
        <v>1931</v>
      </c>
      <c r="J1855" s="16">
        <v>34.178400000000003</v>
      </c>
      <c r="K1855" s="19">
        <f t="shared" si="140"/>
        <v>155339.86739999999</v>
      </c>
      <c r="L1855" s="22">
        <f t="shared" si="141"/>
        <v>1056.7337918367346</v>
      </c>
      <c r="M1855" s="22">
        <f t="shared" si="142"/>
        <v>45</v>
      </c>
      <c r="N1855" s="22" t="str">
        <f t="shared" si="143"/>
        <v>Low Value</v>
      </c>
      <c r="O1855" s="22" t="str">
        <f t="shared" si="144"/>
        <v>Mar-2025</v>
      </c>
      <c r="P1855" s="22" t="s">
        <v>1550</v>
      </c>
      <c r="Q1855" s="22" t="s">
        <v>1536</v>
      </c>
      <c r="R1855" s="22" t="s">
        <v>961</v>
      </c>
      <c r="S1855" s="22"/>
      <c r="T1855" s="22"/>
    </row>
    <row r="1856" spans="1:20">
      <c r="A1856" t="s">
        <v>3793</v>
      </c>
      <c r="B1856" s="8">
        <v>45796</v>
      </c>
      <c r="C1856" t="s">
        <v>821</v>
      </c>
      <c r="D1856" t="s">
        <v>1649</v>
      </c>
      <c r="E1856" t="s">
        <v>1914</v>
      </c>
      <c r="F1856">
        <v>3</v>
      </c>
      <c r="G1856" s="10">
        <v>858.81</v>
      </c>
      <c r="H1856" s="13">
        <v>7.0000000000000007E-2</v>
      </c>
      <c r="I1856" t="s">
        <v>1931</v>
      </c>
      <c r="J1856" s="16">
        <v>2396.0799000000002</v>
      </c>
      <c r="K1856" s="19">
        <f t="shared" si="140"/>
        <v>155305.68899999998</v>
      </c>
      <c r="L1856" s="22">
        <f t="shared" si="141"/>
        <v>1063.7375958904108</v>
      </c>
      <c r="M1856" s="22">
        <f t="shared" si="142"/>
        <v>45</v>
      </c>
      <c r="N1856" s="22" t="str">
        <f t="shared" si="143"/>
        <v>High Value</v>
      </c>
      <c r="O1856" s="22" t="str">
        <f t="shared" si="144"/>
        <v>May-2025</v>
      </c>
      <c r="P1856" s="22" t="s">
        <v>1650</v>
      </c>
      <c r="Q1856" s="22" t="s">
        <v>1560</v>
      </c>
      <c r="R1856" s="22" t="s">
        <v>822</v>
      </c>
      <c r="S1856" s="22"/>
      <c r="T1856" s="22"/>
    </row>
    <row r="1857" spans="1:20">
      <c r="A1857" t="s">
        <v>3794</v>
      </c>
      <c r="B1857" s="8">
        <v>45710</v>
      </c>
      <c r="C1857" t="s">
        <v>975</v>
      </c>
      <c r="D1857" t="s">
        <v>1603</v>
      </c>
      <c r="E1857" t="s">
        <v>1896</v>
      </c>
      <c r="F1857">
        <v>3</v>
      </c>
      <c r="G1857" s="10">
        <v>569.98</v>
      </c>
      <c r="H1857" s="13">
        <v>0.05</v>
      </c>
      <c r="I1857" t="s">
        <v>1931</v>
      </c>
      <c r="J1857" s="16">
        <v>1624.443</v>
      </c>
      <c r="K1857" s="19">
        <f t="shared" si="140"/>
        <v>152909.60909999997</v>
      </c>
      <c r="L1857" s="22">
        <f t="shared" si="141"/>
        <v>1054.5490282758619</v>
      </c>
      <c r="M1857" s="22">
        <f t="shared" si="142"/>
        <v>45</v>
      </c>
      <c r="N1857" s="22" t="str">
        <f t="shared" si="143"/>
        <v>High Value</v>
      </c>
      <c r="O1857" s="22" t="str">
        <f t="shared" si="144"/>
        <v>Feb-2025</v>
      </c>
      <c r="P1857" s="22" t="s">
        <v>1604</v>
      </c>
      <c r="Q1857" s="22" t="s">
        <v>1569</v>
      </c>
      <c r="R1857" s="22" t="s">
        <v>976</v>
      </c>
      <c r="S1857" s="22"/>
      <c r="T1857" s="22"/>
    </row>
    <row r="1858" spans="1:20">
      <c r="A1858" t="s">
        <v>3795</v>
      </c>
      <c r="B1858" s="8">
        <v>45596</v>
      </c>
      <c r="C1858" t="s">
        <v>1025</v>
      </c>
      <c r="D1858" t="s">
        <v>1777</v>
      </c>
      <c r="E1858" t="s">
        <v>1901</v>
      </c>
      <c r="F1858">
        <v>3</v>
      </c>
      <c r="G1858" s="10">
        <v>306.52</v>
      </c>
      <c r="H1858" s="13">
        <v>0.01</v>
      </c>
      <c r="I1858" t="s">
        <v>1936</v>
      </c>
      <c r="J1858" s="16">
        <v>910.36439999999993</v>
      </c>
      <c r="K1858" s="19">
        <f t="shared" ref="K1858:K1921" si="145">SUM(J1858:J3857)</f>
        <v>151285.16609999997</v>
      </c>
      <c r="L1858" s="22">
        <f t="shared" ref="L1858:L1921" si="146">AVERAGE(J1858:J3857)</f>
        <v>1050.5914312499999</v>
      </c>
      <c r="M1858" s="22">
        <f t="shared" ref="M1858:M1921" si="147">COUNTIF(I1858:I3857,"PayPal")</f>
        <v>45</v>
      </c>
      <c r="N1858" s="22" t="str">
        <f t="shared" ref="N1858:N1921" si="148">IF(J1858&gt;=1000,"High Value","Low Value")</f>
        <v>Low Value</v>
      </c>
      <c r="O1858" s="22" t="str">
        <f t="shared" ref="O1858:O1921" si="149">TEXT(B1858,"mmm-yyyy")</f>
        <v>Oct-2024</v>
      </c>
      <c r="P1858" s="22" t="s">
        <v>1778</v>
      </c>
      <c r="Q1858" s="22" t="s">
        <v>1531</v>
      </c>
      <c r="R1858" s="22" t="s">
        <v>1026</v>
      </c>
      <c r="S1858" s="22"/>
      <c r="T1858" s="22"/>
    </row>
    <row r="1859" spans="1:20">
      <c r="A1859" t="s">
        <v>3796</v>
      </c>
      <c r="B1859" s="8">
        <v>45354</v>
      </c>
      <c r="C1859" t="s">
        <v>235</v>
      </c>
      <c r="D1859" t="s">
        <v>1722</v>
      </c>
      <c r="E1859" t="s">
        <v>1904</v>
      </c>
      <c r="F1859">
        <v>3</v>
      </c>
      <c r="G1859" s="10">
        <v>184.67</v>
      </c>
      <c r="H1859" s="13">
        <v>0.03</v>
      </c>
      <c r="I1859" t="s">
        <v>1936</v>
      </c>
      <c r="J1859" s="16">
        <v>537.38969999999995</v>
      </c>
      <c r="K1859" s="19">
        <f t="shared" si="145"/>
        <v>150374.80169999995</v>
      </c>
      <c r="L1859" s="22">
        <f t="shared" si="146"/>
        <v>1051.5720398601395</v>
      </c>
      <c r="M1859" s="22">
        <f t="shared" si="147"/>
        <v>45</v>
      </c>
      <c r="N1859" s="22" t="str">
        <f t="shared" si="148"/>
        <v>Low Value</v>
      </c>
      <c r="O1859" s="22" t="str">
        <f t="shared" si="149"/>
        <v>Mar-2024</v>
      </c>
      <c r="P1859" s="22" t="s">
        <v>1723</v>
      </c>
      <c r="Q1859" s="22" t="s">
        <v>1560</v>
      </c>
      <c r="R1859" s="22" t="s">
        <v>236</v>
      </c>
      <c r="S1859" s="22"/>
      <c r="T1859" s="22"/>
    </row>
    <row r="1860" spans="1:20">
      <c r="A1860" t="s">
        <v>3797</v>
      </c>
      <c r="B1860" s="8">
        <v>45428</v>
      </c>
      <c r="C1860" t="s">
        <v>1473</v>
      </c>
      <c r="D1860" t="s">
        <v>1627</v>
      </c>
      <c r="E1860" t="s">
        <v>1880</v>
      </c>
      <c r="F1860">
        <v>4</v>
      </c>
      <c r="G1860" s="10">
        <v>189.56</v>
      </c>
      <c r="H1860" s="13">
        <v>0</v>
      </c>
      <c r="I1860" t="s">
        <v>1936</v>
      </c>
      <c r="J1860" s="16">
        <v>758.24</v>
      </c>
      <c r="K1860" s="19">
        <f t="shared" si="145"/>
        <v>149837.41199999995</v>
      </c>
      <c r="L1860" s="22">
        <f t="shared" si="146"/>
        <v>1055.1930422535208</v>
      </c>
      <c r="M1860" s="22">
        <f t="shared" si="147"/>
        <v>45</v>
      </c>
      <c r="N1860" s="22" t="str">
        <f t="shared" si="148"/>
        <v>Low Value</v>
      </c>
      <c r="O1860" s="22" t="str">
        <f t="shared" si="149"/>
        <v>May-2024</v>
      </c>
      <c r="P1860" s="22" t="s">
        <v>1628</v>
      </c>
      <c r="Q1860" s="22" t="s">
        <v>1531</v>
      </c>
      <c r="R1860" s="22" t="s">
        <v>1474</v>
      </c>
      <c r="S1860" s="22"/>
      <c r="T1860" s="22"/>
    </row>
    <row r="1861" spans="1:20">
      <c r="A1861" t="s">
        <v>3798</v>
      </c>
      <c r="B1861" s="8">
        <v>45511</v>
      </c>
      <c r="C1861" t="s">
        <v>676</v>
      </c>
      <c r="D1861" t="s">
        <v>1780</v>
      </c>
      <c r="E1861" t="s">
        <v>1880</v>
      </c>
      <c r="F1861">
        <v>1</v>
      </c>
      <c r="G1861" s="10">
        <v>805.24</v>
      </c>
      <c r="H1861" s="13">
        <v>0.04</v>
      </c>
      <c r="I1861" t="s">
        <v>1933</v>
      </c>
      <c r="J1861" s="16">
        <v>773.03039999999999</v>
      </c>
      <c r="K1861" s="19">
        <f t="shared" si="145"/>
        <v>149079.17199999996</v>
      </c>
      <c r="L1861" s="22">
        <f t="shared" si="146"/>
        <v>1057.2990921985813</v>
      </c>
      <c r="M1861" s="22">
        <f t="shared" si="147"/>
        <v>45</v>
      </c>
      <c r="N1861" s="22" t="str">
        <f t="shared" si="148"/>
        <v>Low Value</v>
      </c>
      <c r="O1861" s="22" t="str">
        <f t="shared" si="149"/>
        <v>Aug-2024</v>
      </c>
      <c r="P1861" s="22" t="s">
        <v>1781</v>
      </c>
      <c r="Q1861" s="22" t="s">
        <v>1536</v>
      </c>
      <c r="R1861" s="22" t="s">
        <v>677</v>
      </c>
      <c r="S1861" s="22"/>
      <c r="T1861" s="22"/>
    </row>
    <row r="1862" spans="1:20">
      <c r="A1862" t="s">
        <v>3799</v>
      </c>
      <c r="B1862" s="8">
        <v>45549</v>
      </c>
      <c r="C1862" t="s">
        <v>617</v>
      </c>
      <c r="D1862" t="s">
        <v>1716</v>
      </c>
      <c r="E1862" t="s">
        <v>1914</v>
      </c>
      <c r="F1862">
        <v>3</v>
      </c>
      <c r="G1862" s="10">
        <v>683.74</v>
      </c>
      <c r="H1862" s="13">
        <v>0.24</v>
      </c>
      <c r="I1862" t="s">
        <v>1931</v>
      </c>
      <c r="J1862" s="16">
        <v>1558.9272000000001</v>
      </c>
      <c r="K1862" s="19">
        <f t="shared" si="145"/>
        <v>148306.14159999994</v>
      </c>
      <c r="L1862" s="22">
        <f t="shared" si="146"/>
        <v>1059.3295828571424</v>
      </c>
      <c r="M1862" s="22">
        <f t="shared" si="147"/>
        <v>44</v>
      </c>
      <c r="N1862" s="22" t="str">
        <f t="shared" si="148"/>
        <v>High Value</v>
      </c>
      <c r="O1862" s="22" t="str">
        <f t="shared" si="149"/>
        <v>Sep-2024</v>
      </c>
      <c r="P1862" s="22" t="s">
        <v>1717</v>
      </c>
      <c r="Q1862" s="22" t="s">
        <v>1569</v>
      </c>
      <c r="R1862" s="22" t="s">
        <v>618</v>
      </c>
      <c r="S1862" s="22"/>
      <c r="T1862" s="22"/>
    </row>
    <row r="1863" spans="1:20">
      <c r="A1863" t="s">
        <v>3800</v>
      </c>
      <c r="B1863" s="8">
        <v>45573</v>
      </c>
      <c r="C1863" t="s">
        <v>682</v>
      </c>
      <c r="D1863" t="s">
        <v>1722</v>
      </c>
      <c r="E1863" t="s">
        <v>1917</v>
      </c>
      <c r="F1863">
        <v>3</v>
      </c>
      <c r="G1863" s="10">
        <v>439.21</v>
      </c>
      <c r="H1863" s="13">
        <v>0.28000000000000003</v>
      </c>
      <c r="I1863" t="s">
        <v>1936</v>
      </c>
      <c r="J1863" s="16">
        <v>948.69359999999983</v>
      </c>
      <c r="K1863" s="19">
        <f t="shared" si="145"/>
        <v>146747.21439999997</v>
      </c>
      <c r="L1863" s="22">
        <f t="shared" si="146"/>
        <v>1055.7353553956832</v>
      </c>
      <c r="M1863" s="22">
        <f t="shared" si="147"/>
        <v>44</v>
      </c>
      <c r="N1863" s="22" t="str">
        <f t="shared" si="148"/>
        <v>Low Value</v>
      </c>
      <c r="O1863" s="22" t="str">
        <f t="shared" si="149"/>
        <v>Oct-2024</v>
      </c>
      <c r="P1863" s="22" t="s">
        <v>1723</v>
      </c>
      <c r="Q1863" s="22" t="s">
        <v>1560</v>
      </c>
      <c r="R1863" s="22" t="s">
        <v>683</v>
      </c>
      <c r="S1863" s="22"/>
      <c r="T1863" s="22"/>
    </row>
    <row r="1864" spans="1:20">
      <c r="A1864" t="s">
        <v>3801</v>
      </c>
      <c r="B1864" s="8">
        <v>45904</v>
      </c>
      <c r="C1864" t="s">
        <v>409</v>
      </c>
      <c r="D1864" t="s">
        <v>1752</v>
      </c>
      <c r="E1864" t="s">
        <v>1883</v>
      </c>
      <c r="F1864">
        <v>1</v>
      </c>
      <c r="G1864" s="10">
        <v>126.92</v>
      </c>
      <c r="H1864" s="13">
        <v>0.24</v>
      </c>
      <c r="I1864" t="s">
        <v>1936</v>
      </c>
      <c r="J1864" s="16">
        <v>96.459199999999996</v>
      </c>
      <c r="K1864" s="19">
        <f t="shared" si="145"/>
        <v>145798.52079999997</v>
      </c>
      <c r="L1864" s="22">
        <f t="shared" si="146"/>
        <v>1056.5110202898547</v>
      </c>
      <c r="M1864" s="22">
        <f t="shared" si="147"/>
        <v>44</v>
      </c>
      <c r="N1864" s="22" t="str">
        <f t="shared" si="148"/>
        <v>Low Value</v>
      </c>
      <c r="O1864" s="22" t="str">
        <f t="shared" si="149"/>
        <v>Sep-2025</v>
      </c>
      <c r="P1864" s="22" t="s">
        <v>1753</v>
      </c>
      <c r="Q1864" s="22" t="s">
        <v>1555</v>
      </c>
      <c r="R1864" s="22" t="s">
        <v>410</v>
      </c>
      <c r="S1864" s="22"/>
      <c r="T1864" s="22"/>
    </row>
    <row r="1865" spans="1:20">
      <c r="A1865" t="s">
        <v>3802</v>
      </c>
      <c r="B1865" s="8">
        <v>45489</v>
      </c>
      <c r="C1865" t="s">
        <v>26</v>
      </c>
      <c r="D1865" t="s">
        <v>1774</v>
      </c>
      <c r="E1865" t="s">
        <v>1876</v>
      </c>
      <c r="F1865">
        <v>4</v>
      </c>
      <c r="G1865" s="10">
        <v>834.7</v>
      </c>
      <c r="H1865" s="13">
        <v>0.14000000000000001</v>
      </c>
      <c r="I1865" t="s">
        <v>1931</v>
      </c>
      <c r="J1865" s="16">
        <v>2871.3679999999999</v>
      </c>
      <c r="K1865" s="19">
        <f t="shared" si="145"/>
        <v>145702.06159999996</v>
      </c>
      <c r="L1865" s="22">
        <f t="shared" si="146"/>
        <v>1063.5186978102186</v>
      </c>
      <c r="M1865" s="22">
        <f t="shared" si="147"/>
        <v>44</v>
      </c>
      <c r="N1865" s="22" t="str">
        <f t="shared" si="148"/>
        <v>High Value</v>
      </c>
      <c r="O1865" s="22" t="str">
        <f t="shared" si="149"/>
        <v>Jul-2024</v>
      </c>
      <c r="P1865" s="22" t="s">
        <v>1775</v>
      </c>
      <c r="Q1865" s="22" t="s">
        <v>1569</v>
      </c>
      <c r="R1865" s="22" t="s">
        <v>27</v>
      </c>
      <c r="S1865" s="22"/>
      <c r="T1865" s="22"/>
    </row>
    <row r="1866" spans="1:20">
      <c r="A1866" t="s">
        <v>3803</v>
      </c>
      <c r="B1866" s="8">
        <v>45909</v>
      </c>
      <c r="C1866" t="s">
        <v>1067</v>
      </c>
      <c r="D1866" t="s">
        <v>1678</v>
      </c>
      <c r="E1866" t="s">
        <v>1899</v>
      </c>
      <c r="F1866">
        <v>2</v>
      </c>
      <c r="G1866" s="10">
        <v>271.88</v>
      </c>
      <c r="H1866" s="13">
        <v>0.11</v>
      </c>
      <c r="I1866" t="s">
        <v>1936</v>
      </c>
      <c r="J1866" s="16">
        <v>483.94639999999998</v>
      </c>
      <c r="K1866" s="19">
        <f t="shared" si="145"/>
        <v>142830.69359999994</v>
      </c>
      <c r="L1866" s="22">
        <f t="shared" si="146"/>
        <v>1050.2256882352938</v>
      </c>
      <c r="M1866" s="22">
        <f t="shared" si="147"/>
        <v>44</v>
      </c>
      <c r="N1866" s="22" t="str">
        <f t="shared" si="148"/>
        <v>Low Value</v>
      </c>
      <c r="O1866" s="22" t="str">
        <f t="shared" si="149"/>
        <v>Sep-2025</v>
      </c>
      <c r="P1866" s="22" t="s">
        <v>1679</v>
      </c>
      <c r="Q1866" s="22" t="s">
        <v>1531</v>
      </c>
      <c r="R1866" s="22" t="s">
        <v>1068</v>
      </c>
      <c r="S1866" s="22"/>
      <c r="T1866" s="22"/>
    </row>
    <row r="1867" spans="1:20">
      <c r="A1867" t="s">
        <v>3804</v>
      </c>
      <c r="B1867" s="8">
        <v>45720</v>
      </c>
      <c r="C1867" t="s">
        <v>1467</v>
      </c>
      <c r="D1867" t="s">
        <v>1576</v>
      </c>
      <c r="E1867" t="s">
        <v>1864</v>
      </c>
      <c r="F1867">
        <v>4</v>
      </c>
      <c r="G1867" s="10">
        <v>972.14</v>
      </c>
      <c r="H1867" s="13">
        <v>0.25</v>
      </c>
      <c r="I1867" t="s">
        <v>1931</v>
      </c>
      <c r="J1867" s="16">
        <v>2916.42</v>
      </c>
      <c r="K1867" s="19">
        <f t="shared" si="145"/>
        <v>142346.74719999993</v>
      </c>
      <c r="L1867" s="22">
        <f t="shared" si="146"/>
        <v>1054.4203496296291</v>
      </c>
      <c r="M1867" s="22">
        <f t="shared" si="147"/>
        <v>44</v>
      </c>
      <c r="N1867" s="22" t="str">
        <f t="shared" si="148"/>
        <v>High Value</v>
      </c>
      <c r="O1867" s="22" t="str">
        <f t="shared" si="149"/>
        <v>Mar-2025</v>
      </c>
      <c r="P1867" s="22" t="s">
        <v>1577</v>
      </c>
      <c r="Q1867" s="22" t="s">
        <v>1531</v>
      </c>
      <c r="R1867" s="22" t="s">
        <v>1468</v>
      </c>
      <c r="S1867" s="22"/>
      <c r="T1867" s="22"/>
    </row>
    <row r="1868" spans="1:20">
      <c r="A1868" t="s">
        <v>3805</v>
      </c>
      <c r="B1868" s="8">
        <v>45831</v>
      </c>
      <c r="C1868" t="s">
        <v>330</v>
      </c>
      <c r="D1868" t="s">
        <v>1681</v>
      </c>
      <c r="E1868" t="s">
        <v>1876</v>
      </c>
      <c r="F1868">
        <v>3</v>
      </c>
      <c r="G1868" s="10">
        <v>523.66</v>
      </c>
      <c r="H1868" s="13">
        <v>0.27</v>
      </c>
      <c r="I1868" t="s">
        <v>1933</v>
      </c>
      <c r="J1868" s="16">
        <v>1146.8154</v>
      </c>
      <c r="K1868" s="19">
        <f t="shared" si="145"/>
        <v>139430.32719999994</v>
      </c>
      <c r="L1868" s="22">
        <f t="shared" si="146"/>
        <v>1040.5248298507458</v>
      </c>
      <c r="M1868" s="22">
        <f t="shared" si="147"/>
        <v>44</v>
      </c>
      <c r="N1868" s="22" t="str">
        <f t="shared" si="148"/>
        <v>High Value</v>
      </c>
      <c r="O1868" s="22" t="str">
        <f t="shared" si="149"/>
        <v>Jun-2025</v>
      </c>
      <c r="P1868" s="22" t="s">
        <v>1682</v>
      </c>
      <c r="Q1868" s="22" t="s">
        <v>1531</v>
      </c>
      <c r="R1868" s="22" t="s">
        <v>331</v>
      </c>
      <c r="S1868" s="22"/>
      <c r="T1868" s="22"/>
    </row>
    <row r="1869" spans="1:20">
      <c r="A1869" t="s">
        <v>3806</v>
      </c>
      <c r="B1869" s="8">
        <v>45602</v>
      </c>
      <c r="C1869" t="s">
        <v>497</v>
      </c>
      <c r="D1869" t="s">
        <v>1746</v>
      </c>
      <c r="E1869" t="s">
        <v>1868</v>
      </c>
      <c r="F1869">
        <v>4</v>
      </c>
      <c r="G1869" s="10">
        <v>838.99</v>
      </c>
      <c r="H1869" s="13">
        <v>0.16</v>
      </c>
      <c r="I1869" t="s">
        <v>1931</v>
      </c>
      <c r="J1869" s="16">
        <v>2819.0064000000002</v>
      </c>
      <c r="K1869" s="19">
        <f t="shared" si="145"/>
        <v>138283.51179999995</v>
      </c>
      <c r="L1869" s="22">
        <f t="shared" si="146"/>
        <v>1039.7256526315787</v>
      </c>
      <c r="M1869" s="22">
        <f t="shared" si="147"/>
        <v>43</v>
      </c>
      <c r="N1869" s="22" t="str">
        <f t="shared" si="148"/>
        <v>High Value</v>
      </c>
      <c r="O1869" s="22" t="str">
        <f t="shared" si="149"/>
        <v>Nov-2024</v>
      </c>
      <c r="P1869" s="22" t="s">
        <v>1747</v>
      </c>
      <c r="Q1869" s="22" t="s">
        <v>1555</v>
      </c>
      <c r="R1869" s="22" t="s">
        <v>498</v>
      </c>
      <c r="S1869" s="22"/>
      <c r="T1869" s="22"/>
    </row>
    <row r="1870" spans="1:20">
      <c r="A1870" t="s">
        <v>3807</v>
      </c>
      <c r="B1870" s="8">
        <v>45722</v>
      </c>
      <c r="C1870" t="s">
        <v>459</v>
      </c>
      <c r="D1870" t="s">
        <v>1576</v>
      </c>
      <c r="E1870" t="s">
        <v>1914</v>
      </c>
      <c r="F1870">
        <v>4</v>
      </c>
      <c r="G1870" s="10">
        <v>838.7</v>
      </c>
      <c r="H1870" s="13">
        <v>0.21</v>
      </c>
      <c r="I1870" t="s">
        <v>1936</v>
      </c>
      <c r="J1870" s="16">
        <v>2650.2919999999999</v>
      </c>
      <c r="K1870" s="19">
        <f t="shared" si="145"/>
        <v>135464.50539999997</v>
      </c>
      <c r="L1870" s="22">
        <f t="shared" si="146"/>
        <v>1026.2462530303028</v>
      </c>
      <c r="M1870" s="22">
        <f t="shared" si="147"/>
        <v>43</v>
      </c>
      <c r="N1870" s="22" t="str">
        <f t="shared" si="148"/>
        <v>High Value</v>
      </c>
      <c r="O1870" s="22" t="str">
        <f t="shared" si="149"/>
        <v>Mar-2025</v>
      </c>
      <c r="P1870" s="22" t="s">
        <v>1577</v>
      </c>
      <c r="Q1870" s="22" t="s">
        <v>1531</v>
      </c>
      <c r="R1870" s="22" t="s">
        <v>460</v>
      </c>
      <c r="S1870" s="22"/>
      <c r="T1870" s="22"/>
    </row>
    <row r="1871" spans="1:20">
      <c r="A1871" t="s">
        <v>3808</v>
      </c>
      <c r="B1871" s="8">
        <v>45794</v>
      </c>
      <c r="C1871" t="s">
        <v>1297</v>
      </c>
      <c r="D1871" t="s">
        <v>1777</v>
      </c>
      <c r="E1871" t="s">
        <v>1889</v>
      </c>
      <c r="F1871">
        <v>3</v>
      </c>
      <c r="G1871" s="10">
        <v>943.24</v>
      </c>
      <c r="H1871" s="13">
        <v>0.21</v>
      </c>
      <c r="I1871" t="s">
        <v>1931</v>
      </c>
      <c r="J1871" s="16">
        <v>2235.4787999999999</v>
      </c>
      <c r="K1871" s="19">
        <f t="shared" si="145"/>
        <v>132814.21339999995</v>
      </c>
      <c r="L1871" s="22">
        <f t="shared" si="146"/>
        <v>1013.848957251908</v>
      </c>
      <c r="M1871" s="22">
        <f t="shared" si="147"/>
        <v>43</v>
      </c>
      <c r="N1871" s="22" t="str">
        <f t="shared" si="148"/>
        <v>High Value</v>
      </c>
      <c r="O1871" s="22" t="str">
        <f t="shared" si="149"/>
        <v>May-2025</v>
      </c>
      <c r="P1871" s="22" t="s">
        <v>1778</v>
      </c>
      <c r="Q1871" s="22" t="s">
        <v>1531</v>
      </c>
      <c r="R1871" s="22" t="s">
        <v>3958</v>
      </c>
      <c r="S1871" s="22"/>
      <c r="T1871" s="22"/>
    </row>
    <row r="1872" spans="1:20">
      <c r="A1872" t="s">
        <v>3809</v>
      </c>
      <c r="B1872" s="8">
        <v>45659</v>
      </c>
      <c r="C1872" t="s">
        <v>943</v>
      </c>
      <c r="D1872" t="s">
        <v>1529</v>
      </c>
      <c r="E1872" t="s">
        <v>1914</v>
      </c>
      <c r="F1872">
        <v>2</v>
      </c>
      <c r="G1872" s="10">
        <v>310.33</v>
      </c>
      <c r="H1872" s="13">
        <v>0.26</v>
      </c>
      <c r="I1872" t="s">
        <v>1931</v>
      </c>
      <c r="J1872" s="16">
        <v>459.28840000000002</v>
      </c>
      <c r="K1872" s="19">
        <f t="shared" si="145"/>
        <v>130578.73459999994</v>
      </c>
      <c r="L1872" s="22">
        <f t="shared" si="146"/>
        <v>1004.4518046153842</v>
      </c>
      <c r="M1872" s="22">
        <f t="shared" si="147"/>
        <v>43</v>
      </c>
      <c r="N1872" s="22" t="str">
        <f t="shared" si="148"/>
        <v>Low Value</v>
      </c>
      <c r="O1872" s="22" t="str">
        <f t="shared" si="149"/>
        <v>Jan-2025</v>
      </c>
      <c r="P1872" s="22" t="s">
        <v>1530</v>
      </c>
      <c r="Q1872" s="22" t="s">
        <v>1531</v>
      </c>
      <c r="R1872" s="22" t="s">
        <v>944</v>
      </c>
      <c r="S1872" s="22"/>
      <c r="T1872" s="22"/>
    </row>
    <row r="1873" spans="1:20">
      <c r="A1873" t="s">
        <v>3810</v>
      </c>
      <c r="B1873" s="8">
        <v>45501</v>
      </c>
      <c r="C1873" t="s">
        <v>1082</v>
      </c>
      <c r="D1873" t="s">
        <v>1687</v>
      </c>
      <c r="E1873" t="s">
        <v>1859</v>
      </c>
      <c r="F1873">
        <v>3</v>
      </c>
      <c r="G1873" s="10">
        <v>201.05</v>
      </c>
      <c r="H1873" s="13">
        <v>0.23</v>
      </c>
      <c r="I1873" t="s">
        <v>1933</v>
      </c>
      <c r="J1873" s="16">
        <v>464.42550000000011</v>
      </c>
      <c r="K1873" s="19">
        <f t="shared" si="145"/>
        <v>130119.44619999995</v>
      </c>
      <c r="L1873" s="22">
        <f t="shared" si="146"/>
        <v>1008.6778775193794</v>
      </c>
      <c r="M1873" s="22">
        <f t="shared" si="147"/>
        <v>43</v>
      </c>
      <c r="N1873" s="22" t="str">
        <f t="shared" si="148"/>
        <v>Low Value</v>
      </c>
      <c r="O1873" s="22" t="str">
        <f t="shared" si="149"/>
        <v>Jul-2024</v>
      </c>
      <c r="P1873" s="22" t="s">
        <v>1688</v>
      </c>
      <c r="Q1873" s="22" t="s">
        <v>1569</v>
      </c>
      <c r="R1873" s="22" t="s">
        <v>1083</v>
      </c>
      <c r="S1873" s="22"/>
      <c r="T1873" s="22"/>
    </row>
    <row r="1874" spans="1:20">
      <c r="A1874" t="s">
        <v>3811</v>
      </c>
      <c r="B1874" s="8">
        <v>45408</v>
      </c>
      <c r="C1874" t="s">
        <v>807</v>
      </c>
      <c r="D1874" t="s">
        <v>1728</v>
      </c>
      <c r="E1874" t="s">
        <v>1914</v>
      </c>
      <c r="F1874">
        <v>1</v>
      </c>
      <c r="G1874" s="10">
        <v>803.37</v>
      </c>
      <c r="H1874" s="13">
        <v>0.3</v>
      </c>
      <c r="I1874" t="s">
        <v>1933</v>
      </c>
      <c r="J1874" s="16">
        <v>562.35899999999992</v>
      </c>
      <c r="K1874" s="19">
        <f t="shared" si="145"/>
        <v>129655.02069999994</v>
      </c>
      <c r="L1874" s="22">
        <f t="shared" si="146"/>
        <v>1012.9298492187495</v>
      </c>
      <c r="M1874" s="22">
        <f t="shared" si="147"/>
        <v>42</v>
      </c>
      <c r="N1874" s="22" t="str">
        <f t="shared" si="148"/>
        <v>Low Value</v>
      </c>
      <c r="O1874" s="22" t="str">
        <f t="shared" si="149"/>
        <v>Apr-2024</v>
      </c>
      <c r="P1874" s="22" t="s">
        <v>1729</v>
      </c>
      <c r="Q1874" s="22" t="s">
        <v>1536</v>
      </c>
      <c r="R1874" s="22" t="s">
        <v>808</v>
      </c>
      <c r="S1874" s="22"/>
      <c r="T1874" s="22"/>
    </row>
    <row r="1875" spans="1:20">
      <c r="A1875" t="s">
        <v>3812</v>
      </c>
      <c r="B1875" s="8">
        <v>45886</v>
      </c>
      <c r="C1875" t="s">
        <v>143</v>
      </c>
      <c r="D1875" t="s">
        <v>1737</v>
      </c>
      <c r="E1875" t="s">
        <v>1908</v>
      </c>
      <c r="F1875">
        <v>3</v>
      </c>
      <c r="G1875" s="10">
        <v>259.98</v>
      </c>
      <c r="H1875" s="13">
        <v>7.0000000000000007E-2</v>
      </c>
      <c r="I1875" t="s">
        <v>1936</v>
      </c>
      <c r="J1875" s="16">
        <v>725.3442</v>
      </c>
      <c r="K1875" s="19">
        <f t="shared" si="145"/>
        <v>129092.66169999994</v>
      </c>
      <c r="L1875" s="22">
        <f t="shared" si="146"/>
        <v>1016.4776511811019</v>
      </c>
      <c r="M1875" s="22">
        <f t="shared" si="147"/>
        <v>41</v>
      </c>
      <c r="N1875" s="22" t="str">
        <f t="shared" si="148"/>
        <v>Low Value</v>
      </c>
      <c r="O1875" s="22" t="str">
        <f t="shared" si="149"/>
        <v>Aug-2025</v>
      </c>
      <c r="P1875" s="22" t="s">
        <v>1738</v>
      </c>
      <c r="Q1875" s="22" t="s">
        <v>1569</v>
      </c>
      <c r="R1875" s="22" t="s">
        <v>144</v>
      </c>
      <c r="S1875" s="22"/>
      <c r="T1875" s="22"/>
    </row>
    <row r="1876" spans="1:20">
      <c r="A1876" t="s">
        <v>3813</v>
      </c>
      <c r="B1876" s="8">
        <v>45426</v>
      </c>
      <c r="C1876" t="s">
        <v>424</v>
      </c>
      <c r="D1876" t="s">
        <v>1539</v>
      </c>
      <c r="E1876" t="s">
        <v>1873</v>
      </c>
      <c r="F1876">
        <v>4</v>
      </c>
      <c r="G1876" s="10">
        <v>591.9</v>
      </c>
      <c r="H1876" s="13">
        <v>0.2</v>
      </c>
      <c r="I1876" t="s">
        <v>1933</v>
      </c>
      <c r="J1876" s="16">
        <v>1894.08</v>
      </c>
      <c r="K1876" s="19">
        <f t="shared" si="145"/>
        <v>128367.31749999995</v>
      </c>
      <c r="L1876" s="22">
        <f t="shared" si="146"/>
        <v>1018.7882341269838</v>
      </c>
      <c r="M1876" s="22">
        <f t="shared" si="147"/>
        <v>41</v>
      </c>
      <c r="N1876" s="22" t="str">
        <f t="shared" si="148"/>
        <v>High Value</v>
      </c>
      <c r="O1876" s="22" t="str">
        <f t="shared" si="149"/>
        <v>May-2024</v>
      </c>
      <c r="P1876" s="22" t="s">
        <v>1540</v>
      </c>
      <c r="Q1876" s="22" t="s">
        <v>1536</v>
      </c>
      <c r="R1876" s="22" t="s">
        <v>425</v>
      </c>
      <c r="S1876" s="22"/>
      <c r="T1876" s="22"/>
    </row>
    <row r="1877" spans="1:20">
      <c r="A1877" t="s">
        <v>3814</v>
      </c>
      <c r="B1877" s="8">
        <v>45730</v>
      </c>
      <c r="C1877" t="s">
        <v>127</v>
      </c>
      <c r="D1877" t="s">
        <v>1734</v>
      </c>
      <c r="E1877" t="s">
        <v>1901</v>
      </c>
      <c r="F1877">
        <v>2</v>
      </c>
      <c r="G1877" s="10">
        <v>396.9</v>
      </c>
      <c r="H1877" s="13">
        <v>0.18</v>
      </c>
      <c r="I1877" t="s">
        <v>1933</v>
      </c>
      <c r="J1877" s="16">
        <v>650.91600000000005</v>
      </c>
      <c r="K1877" s="19">
        <f t="shared" si="145"/>
        <v>126473.23749999993</v>
      </c>
      <c r="L1877" s="22">
        <f t="shared" si="146"/>
        <v>1011.7858999999994</v>
      </c>
      <c r="M1877" s="22">
        <f t="shared" si="147"/>
        <v>40</v>
      </c>
      <c r="N1877" s="22" t="str">
        <f t="shared" si="148"/>
        <v>Low Value</v>
      </c>
      <c r="O1877" s="22" t="str">
        <f t="shared" si="149"/>
        <v>Mar-2025</v>
      </c>
      <c r="P1877" s="22" t="s">
        <v>1735</v>
      </c>
      <c r="Q1877" s="22" t="s">
        <v>1555</v>
      </c>
      <c r="R1877" s="22" t="s">
        <v>128</v>
      </c>
      <c r="S1877" s="22"/>
      <c r="T1877" s="22"/>
    </row>
    <row r="1878" spans="1:20">
      <c r="A1878" t="s">
        <v>3815</v>
      </c>
      <c r="B1878" s="8">
        <v>45731</v>
      </c>
      <c r="C1878" t="s">
        <v>1391</v>
      </c>
      <c r="D1878" t="s">
        <v>1849</v>
      </c>
      <c r="E1878" t="s">
        <v>1868</v>
      </c>
      <c r="F1878">
        <v>1</v>
      </c>
      <c r="G1878" s="10">
        <v>176.84</v>
      </c>
      <c r="H1878" s="13">
        <v>0.19</v>
      </c>
      <c r="I1878" t="s">
        <v>1931</v>
      </c>
      <c r="J1878" s="16">
        <v>143.24039999999999</v>
      </c>
      <c r="K1878" s="19">
        <f t="shared" si="145"/>
        <v>125822.32149999993</v>
      </c>
      <c r="L1878" s="22">
        <f t="shared" si="146"/>
        <v>1014.6961411290317</v>
      </c>
      <c r="M1878" s="22">
        <f t="shared" si="147"/>
        <v>39</v>
      </c>
      <c r="N1878" s="22" t="str">
        <f t="shared" si="148"/>
        <v>Low Value</v>
      </c>
      <c r="O1878" s="22" t="str">
        <f t="shared" si="149"/>
        <v>Mar-2025</v>
      </c>
      <c r="P1878" s="22" t="s">
        <v>1850</v>
      </c>
      <c r="Q1878" s="22" t="s">
        <v>1531</v>
      </c>
      <c r="R1878" s="22" t="s">
        <v>1392</v>
      </c>
      <c r="S1878" s="22"/>
      <c r="T1878" s="22"/>
    </row>
    <row r="1879" spans="1:20">
      <c r="A1879" t="s">
        <v>3816</v>
      </c>
      <c r="B1879" s="8">
        <v>45272</v>
      </c>
      <c r="C1879" t="s">
        <v>812</v>
      </c>
      <c r="D1879" t="s">
        <v>1627</v>
      </c>
      <c r="E1879" t="s">
        <v>1859</v>
      </c>
      <c r="F1879">
        <v>2</v>
      </c>
      <c r="G1879" s="10">
        <v>614.21</v>
      </c>
      <c r="H1879" s="13">
        <v>0.11</v>
      </c>
      <c r="I1879" t="s">
        <v>1933</v>
      </c>
      <c r="J1879" s="16">
        <v>1093.2937999999999</v>
      </c>
      <c r="K1879" s="19">
        <f t="shared" si="145"/>
        <v>125679.08109999994</v>
      </c>
      <c r="L1879" s="22">
        <f t="shared" si="146"/>
        <v>1021.781147154471</v>
      </c>
      <c r="M1879" s="22">
        <f t="shared" si="147"/>
        <v>39</v>
      </c>
      <c r="N1879" s="22" t="str">
        <f t="shared" si="148"/>
        <v>High Value</v>
      </c>
      <c r="O1879" s="22" t="str">
        <f t="shared" si="149"/>
        <v>Dec-2023</v>
      </c>
      <c r="P1879" s="22" t="s">
        <v>1628</v>
      </c>
      <c r="Q1879" s="22" t="s">
        <v>1531</v>
      </c>
      <c r="R1879" s="22" t="s">
        <v>813</v>
      </c>
      <c r="S1879" s="22"/>
      <c r="T1879" s="22"/>
    </row>
    <row r="1880" spans="1:20">
      <c r="A1880" t="s">
        <v>3817</v>
      </c>
      <c r="B1880" s="8">
        <v>45584</v>
      </c>
      <c r="C1880" t="s">
        <v>376</v>
      </c>
      <c r="D1880" t="s">
        <v>2033</v>
      </c>
      <c r="E1880" t="s">
        <v>1886</v>
      </c>
      <c r="F1880">
        <v>3</v>
      </c>
      <c r="G1880" s="10">
        <v>604.66</v>
      </c>
      <c r="H1880" s="13">
        <v>0.18</v>
      </c>
      <c r="I1880" t="s">
        <v>1936</v>
      </c>
      <c r="J1880" s="16">
        <v>1487.4636</v>
      </c>
      <c r="K1880" s="19">
        <f t="shared" si="145"/>
        <v>124585.78729999995</v>
      </c>
      <c r="L1880" s="22">
        <f t="shared" si="146"/>
        <v>1021.1949778688521</v>
      </c>
      <c r="M1880" s="22">
        <f t="shared" si="147"/>
        <v>38</v>
      </c>
      <c r="N1880" s="22" t="str">
        <f t="shared" si="148"/>
        <v>High Value</v>
      </c>
      <c r="O1880" s="22" t="str">
        <f t="shared" si="149"/>
        <v>Oct-2024</v>
      </c>
      <c r="P1880" s="22" t="s">
        <v>1543</v>
      </c>
      <c r="Q1880" s="22" t="s">
        <v>1536</v>
      </c>
      <c r="R1880" s="22" t="s">
        <v>377</v>
      </c>
      <c r="S1880" s="22"/>
      <c r="T1880" s="22"/>
    </row>
    <row r="1881" spans="1:20">
      <c r="A1881" t="s">
        <v>3818</v>
      </c>
      <c r="B1881" s="8">
        <v>45534</v>
      </c>
      <c r="C1881" t="s">
        <v>1517</v>
      </c>
      <c r="D1881" t="s">
        <v>1539</v>
      </c>
      <c r="E1881" t="s">
        <v>1901</v>
      </c>
      <c r="F1881">
        <v>3</v>
      </c>
      <c r="G1881" s="10">
        <v>24.29</v>
      </c>
      <c r="H1881" s="13">
        <v>0.12</v>
      </c>
      <c r="I1881" t="s">
        <v>1933</v>
      </c>
      <c r="J1881" s="16">
        <v>64.125600000000006</v>
      </c>
      <c r="K1881" s="19">
        <f t="shared" si="145"/>
        <v>123098.32369999996</v>
      </c>
      <c r="L1881" s="22">
        <f t="shared" si="146"/>
        <v>1017.3415181818178</v>
      </c>
      <c r="M1881" s="22">
        <f t="shared" si="147"/>
        <v>38</v>
      </c>
      <c r="N1881" s="22" t="str">
        <f t="shared" si="148"/>
        <v>Low Value</v>
      </c>
      <c r="O1881" s="22" t="str">
        <f t="shared" si="149"/>
        <v>Aug-2024</v>
      </c>
      <c r="P1881" s="22" t="s">
        <v>1540</v>
      </c>
      <c r="Q1881" s="22" t="s">
        <v>1536</v>
      </c>
      <c r="R1881" s="22" t="s">
        <v>1518</v>
      </c>
      <c r="S1881" s="22"/>
      <c r="T1881" s="22"/>
    </row>
    <row r="1882" spans="1:20">
      <c r="A1882" t="s">
        <v>3819</v>
      </c>
      <c r="B1882" s="8">
        <v>45482</v>
      </c>
      <c r="C1882" t="s">
        <v>415</v>
      </c>
      <c r="D1882" t="s">
        <v>1743</v>
      </c>
      <c r="E1882" t="s">
        <v>1899</v>
      </c>
      <c r="F1882">
        <v>1</v>
      </c>
      <c r="G1882" s="10">
        <v>503.95</v>
      </c>
      <c r="H1882" s="13">
        <v>0.24</v>
      </c>
      <c r="I1882" t="s">
        <v>1933</v>
      </c>
      <c r="J1882" s="16">
        <v>383.00200000000001</v>
      </c>
      <c r="K1882" s="19">
        <f t="shared" si="145"/>
        <v>123034.19809999997</v>
      </c>
      <c r="L1882" s="22">
        <f t="shared" si="146"/>
        <v>1025.2849841666664</v>
      </c>
      <c r="M1882" s="22">
        <f t="shared" si="147"/>
        <v>37</v>
      </c>
      <c r="N1882" s="22" t="str">
        <f t="shared" si="148"/>
        <v>Low Value</v>
      </c>
      <c r="O1882" s="22" t="str">
        <f t="shared" si="149"/>
        <v>Jul-2024</v>
      </c>
      <c r="P1882" s="22" t="s">
        <v>1744</v>
      </c>
      <c r="Q1882" s="22" t="s">
        <v>1555</v>
      </c>
      <c r="R1882" s="22" t="s">
        <v>416</v>
      </c>
      <c r="S1882" s="22"/>
      <c r="T1882" s="22"/>
    </row>
    <row r="1883" spans="1:20">
      <c r="A1883" t="s">
        <v>3820</v>
      </c>
      <c r="B1883" s="8">
        <v>45475</v>
      </c>
      <c r="C1883" t="s">
        <v>1002</v>
      </c>
      <c r="D1883" t="s">
        <v>1707</v>
      </c>
      <c r="E1883" t="s">
        <v>1906</v>
      </c>
      <c r="F1883">
        <v>4</v>
      </c>
      <c r="G1883" s="10">
        <v>860.78</v>
      </c>
      <c r="H1883" s="13">
        <v>0.03</v>
      </c>
      <c r="I1883" t="s">
        <v>1931</v>
      </c>
      <c r="J1883" s="16">
        <v>3339.8263999999999</v>
      </c>
      <c r="K1883" s="19">
        <f t="shared" si="145"/>
        <v>122651.19609999996</v>
      </c>
      <c r="L1883" s="22">
        <f t="shared" si="146"/>
        <v>1030.6823201680668</v>
      </c>
      <c r="M1883" s="22">
        <f t="shared" si="147"/>
        <v>36</v>
      </c>
      <c r="N1883" s="22" t="str">
        <f t="shared" si="148"/>
        <v>High Value</v>
      </c>
      <c r="O1883" s="22" t="str">
        <f t="shared" si="149"/>
        <v>Jul-2024</v>
      </c>
      <c r="P1883" s="22" t="s">
        <v>1708</v>
      </c>
      <c r="Q1883" s="22" t="s">
        <v>1531</v>
      </c>
      <c r="R1883" s="22" t="s">
        <v>1003</v>
      </c>
      <c r="S1883" s="22"/>
      <c r="T1883" s="22"/>
    </row>
    <row r="1884" spans="1:20">
      <c r="A1884" t="s">
        <v>3821</v>
      </c>
      <c r="B1884" s="8">
        <v>45234</v>
      </c>
      <c r="C1884" t="s">
        <v>644</v>
      </c>
      <c r="D1884" t="s">
        <v>1678</v>
      </c>
      <c r="E1884" t="s">
        <v>1873</v>
      </c>
      <c r="F1884">
        <v>3</v>
      </c>
      <c r="G1884" s="10">
        <v>41.97</v>
      </c>
      <c r="H1884" s="13">
        <v>0.03</v>
      </c>
      <c r="I1884" t="s">
        <v>1936</v>
      </c>
      <c r="J1884" s="16">
        <v>122.1327</v>
      </c>
      <c r="K1884" s="19">
        <f t="shared" si="145"/>
        <v>119311.36969999998</v>
      </c>
      <c r="L1884" s="22">
        <f t="shared" si="146"/>
        <v>1011.1133025423727</v>
      </c>
      <c r="M1884" s="22">
        <f t="shared" si="147"/>
        <v>36</v>
      </c>
      <c r="N1884" s="22" t="str">
        <f t="shared" si="148"/>
        <v>Low Value</v>
      </c>
      <c r="O1884" s="22" t="str">
        <f t="shared" si="149"/>
        <v>Nov-2023</v>
      </c>
      <c r="P1884" s="22" t="s">
        <v>1679</v>
      </c>
      <c r="Q1884" s="22" t="s">
        <v>1531</v>
      </c>
      <c r="R1884" s="22" t="s">
        <v>645</v>
      </c>
      <c r="S1884" s="22"/>
      <c r="T1884" s="22"/>
    </row>
    <row r="1885" spans="1:20">
      <c r="A1885" t="s">
        <v>3822</v>
      </c>
      <c r="B1885" s="8">
        <v>45397</v>
      </c>
      <c r="C1885" t="s">
        <v>134</v>
      </c>
      <c r="D1885" t="s">
        <v>1590</v>
      </c>
      <c r="E1885" t="s">
        <v>1880</v>
      </c>
      <c r="F1885">
        <v>1</v>
      </c>
      <c r="G1885" s="10">
        <v>649.59</v>
      </c>
      <c r="H1885" s="13">
        <v>0.12</v>
      </c>
      <c r="I1885" t="s">
        <v>1936</v>
      </c>
      <c r="J1885" s="16">
        <v>571.63920000000007</v>
      </c>
      <c r="K1885" s="19">
        <f t="shared" si="145"/>
        <v>119189.23699999998</v>
      </c>
      <c r="L1885" s="22">
        <f t="shared" si="146"/>
        <v>1018.7114273504271</v>
      </c>
      <c r="M1885" s="22">
        <f t="shared" si="147"/>
        <v>36</v>
      </c>
      <c r="N1885" s="22" t="str">
        <f t="shared" si="148"/>
        <v>Low Value</v>
      </c>
      <c r="O1885" s="22" t="str">
        <f t="shared" si="149"/>
        <v>Apr-2024</v>
      </c>
      <c r="P1885" s="22" t="s">
        <v>1591</v>
      </c>
      <c r="Q1885" s="22" t="s">
        <v>1531</v>
      </c>
      <c r="R1885" s="22" t="s">
        <v>3943</v>
      </c>
      <c r="S1885" s="22"/>
      <c r="T1885" s="22"/>
    </row>
    <row r="1886" spans="1:20">
      <c r="A1886" t="s">
        <v>3823</v>
      </c>
      <c r="B1886" s="8">
        <v>45502</v>
      </c>
      <c r="C1886" t="s">
        <v>199</v>
      </c>
      <c r="D1886" t="s">
        <v>1743</v>
      </c>
      <c r="E1886" t="s">
        <v>1893</v>
      </c>
      <c r="F1886">
        <v>2</v>
      </c>
      <c r="G1886" s="10">
        <v>386.09</v>
      </c>
      <c r="H1886" s="13">
        <v>0.19</v>
      </c>
      <c r="I1886" t="s">
        <v>1933</v>
      </c>
      <c r="J1886" s="16">
        <v>625.46579999999994</v>
      </c>
      <c r="K1886" s="19">
        <f t="shared" si="145"/>
        <v>118617.59779999997</v>
      </c>
      <c r="L1886" s="22">
        <f t="shared" si="146"/>
        <v>1022.5654982758618</v>
      </c>
      <c r="M1886" s="22">
        <f t="shared" si="147"/>
        <v>36</v>
      </c>
      <c r="N1886" s="22" t="str">
        <f t="shared" si="148"/>
        <v>Low Value</v>
      </c>
      <c r="O1886" s="22" t="str">
        <f t="shared" si="149"/>
        <v>Jul-2024</v>
      </c>
      <c r="P1886" s="22" t="s">
        <v>1744</v>
      </c>
      <c r="Q1886" s="22" t="s">
        <v>1555</v>
      </c>
      <c r="R1886" s="22" t="s">
        <v>200</v>
      </c>
      <c r="S1886" s="22"/>
      <c r="T1886" s="22"/>
    </row>
    <row r="1887" spans="1:20">
      <c r="A1887" t="s">
        <v>3824</v>
      </c>
      <c r="B1887" s="8">
        <v>45644</v>
      </c>
      <c r="C1887" t="s">
        <v>348</v>
      </c>
      <c r="D1887" t="s">
        <v>1707</v>
      </c>
      <c r="E1887" t="s">
        <v>1901</v>
      </c>
      <c r="F1887">
        <v>1</v>
      </c>
      <c r="G1887" s="10">
        <v>891.62</v>
      </c>
      <c r="H1887" s="13">
        <v>0.06</v>
      </c>
      <c r="I1887" t="s">
        <v>1933</v>
      </c>
      <c r="J1887" s="16">
        <v>838.12279999999998</v>
      </c>
      <c r="K1887" s="19">
        <f t="shared" si="145"/>
        <v>117992.13199999998</v>
      </c>
      <c r="L1887" s="22">
        <f t="shared" si="146"/>
        <v>1026.0185391304346</v>
      </c>
      <c r="M1887" s="22">
        <f t="shared" si="147"/>
        <v>35</v>
      </c>
      <c r="N1887" s="22" t="str">
        <f t="shared" si="148"/>
        <v>Low Value</v>
      </c>
      <c r="O1887" s="22" t="str">
        <f t="shared" si="149"/>
        <v>Dec-2024</v>
      </c>
      <c r="P1887" s="22" t="s">
        <v>1708</v>
      </c>
      <c r="Q1887" s="22" t="s">
        <v>1531</v>
      </c>
      <c r="R1887" s="22" t="s">
        <v>349</v>
      </c>
      <c r="S1887" s="22"/>
      <c r="T1887" s="22"/>
    </row>
    <row r="1888" spans="1:20">
      <c r="A1888" t="s">
        <v>3825</v>
      </c>
      <c r="B1888" s="8">
        <v>45617</v>
      </c>
      <c r="C1888" t="s">
        <v>1184</v>
      </c>
      <c r="D1888" t="s">
        <v>1746</v>
      </c>
      <c r="E1888" t="s">
        <v>1908</v>
      </c>
      <c r="F1888">
        <v>2</v>
      </c>
      <c r="G1888" s="10">
        <v>558.9</v>
      </c>
      <c r="H1888" s="13">
        <v>0.05</v>
      </c>
      <c r="I1888" t="s">
        <v>1936</v>
      </c>
      <c r="J1888" s="16">
        <v>1061.9100000000001</v>
      </c>
      <c r="K1888" s="19">
        <f t="shared" si="145"/>
        <v>117154.00919999999</v>
      </c>
      <c r="L1888" s="22">
        <f t="shared" si="146"/>
        <v>1027.6667473684208</v>
      </c>
      <c r="M1888" s="22">
        <f t="shared" si="147"/>
        <v>34</v>
      </c>
      <c r="N1888" s="22" t="str">
        <f t="shared" si="148"/>
        <v>High Value</v>
      </c>
      <c r="O1888" s="22" t="str">
        <f t="shared" si="149"/>
        <v>Nov-2024</v>
      </c>
      <c r="P1888" s="22" t="s">
        <v>1747</v>
      </c>
      <c r="Q1888" s="22" t="s">
        <v>1555</v>
      </c>
      <c r="R1888" s="22" t="s">
        <v>1185</v>
      </c>
      <c r="S1888" s="22"/>
      <c r="T1888" s="22"/>
    </row>
    <row r="1889" spans="1:20">
      <c r="A1889" t="s">
        <v>3826</v>
      </c>
      <c r="B1889" s="8">
        <v>45797</v>
      </c>
      <c r="C1889" t="s">
        <v>1099</v>
      </c>
      <c r="D1889" t="s">
        <v>1534</v>
      </c>
      <c r="E1889" t="s">
        <v>1873</v>
      </c>
      <c r="F1889">
        <v>2</v>
      </c>
      <c r="G1889" s="10">
        <v>99.04</v>
      </c>
      <c r="H1889" s="13">
        <v>0.26</v>
      </c>
      <c r="I1889" t="s">
        <v>1936</v>
      </c>
      <c r="J1889" s="16">
        <v>146.57919999999999</v>
      </c>
      <c r="K1889" s="19">
        <f t="shared" si="145"/>
        <v>116092.09919999998</v>
      </c>
      <c r="L1889" s="22">
        <f t="shared" si="146"/>
        <v>1027.3637097345131</v>
      </c>
      <c r="M1889" s="22">
        <f t="shared" si="147"/>
        <v>34</v>
      </c>
      <c r="N1889" s="22" t="str">
        <f t="shared" si="148"/>
        <v>Low Value</v>
      </c>
      <c r="O1889" s="22" t="str">
        <f t="shared" si="149"/>
        <v>May-2025</v>
      </c>
      <c r="P1889" s="22" t="s">
        <v>1535</v>
      </c>
      <c r="Q1889" s="22" t="s">
        <v>1536</v>
      </c>
      <c r="R1889" s="22" t="s">
        <v>1100</v>
      </c>
      <c r="S1889" s="22"/>
      <c r="T1889" s="22"/>
    </row>
    <row r="1890" spans="1:20">
      <c r="A1890" t="s">
        <v>3827</v>
      </c>
      <c r="B1890" s="8">
        <v>45740</v>
      </c>
      <c r="C1890" t="s">
        <v>921</v>
      </c>
      <c r="D1890" t="s">
        <v>2033</v>
      </c>
      <c r="E1890" t="s">
        <v>1889</v>
      </c>
      <c r="F1890">
        <v>4</v>
      </c>
      <c r="G1890" s="10">
        <v>625.13</v>
      </c>
      <c r="H1890" s="13">
        <v>0.06</v>
      </c>
      <c r="I1890" t="s">
        <v>1931</v>
      </c>
      <c r="J1890" s="16">
        <v>2350.4888000000001</v>
      </c>
      <c r="K1890" s="19">
        <f t="shared" si="145"/>
        <v>115945.51999999997</v>
      </c>
      <c r="L1890" s="22">
        <f t="shared" si="146"/>
        <v>1035.2278571428569</v>
      </c>
      <c r="M1890" s="22">
        <f t="shared" si="147"/>
        <v>34</v>
      </c>
      <c r="N1890" s="22" t="str">
        <f t="shared" si="148"/>
        <v>High Value</v>
      </c>
      <c r="O1890" s="22" t="str">
        <f t="shared" si="149"/>
        <v>Mar-2025</v>
      </c>
      <c r="P1890" s="22" t="s">
        <v>1543</v>
      </c>
      <c r="Q1890" s="22" t="s">
        <v>1536</v>
      </c>
      <c r="R1890" s="22" t="s">
        <v>922</v>
      </c>
      <c r="S1890" s="22"/>
      <c r="T1890" s="22"/>
    </row>
    <row r="1891" spans="1:20">
      <c r="A1891" t="s">
        <v>3828</v>
      </c>
      <c r="B1891" s="8">
        <v>45824</v>
      </c>
      <c r="C1891" t="s">
        <v>143</v>
      </c>
      <c r="D1891" t="s">
        <v>1672</v>
      </c>
      <c r="E1891" t="s">
        <v>1917</v>
      </c>
      <c r="F1891">
        <v>4</v>
      </c>
      <c r="G1891" s="10">
        <v>38.380000000000003</v>
      </c>
      <c r="H1891" s="13">
        <v>0.16</v>
      </c>
      <c r="I1891" t="s">
        <v>1936</v>
      </c>
      <c r="J1891" s="16">
        <v>128.95679999999999</v>
      </c>
      <c r="K1891" s="19">
        <f t="shared" si="145"/>
        <v>113595.03119999998</v>
      </c>
      <c r="L1891" s="22">
        <f t="shared" si="146"/>
        <v>1023.3786594594593</v>
      </c>
      <c r="M1891" s="22">
        <f t="shared" si="147"/>
        <v>34</v>
      </c>
      <c r="N1891" s="22" t="str">
        <f t="shared" si="148"/>
        <v>Low Value</v>
      </c>
      <c r="O1891" s="22" t="str">
        <f t="shared" si="149"/>
        <v>Jun-2025</v>
      </c>
      <c r="P1891" s="22" t="s">
        <v>1673</v>
      </c>
      <c r="Q1891" s="22" t="s">
        <v>1531</v>
      </c>
      <c r="R1891" s="22" t="s">
        <v>144</v>
      </c>
      <c r="S1891" s="22"/>
      <c r="T1891" s="22"/>
    </row>
    <row r="1892" spans="1:20">
      <c r="A1892" t="s">
        <v>3829</v>
      </c>
      <c r="B1892" s="8">
        <v>45404</v>
      </c>
      <c r="C1892" t="s">
        <v>1500</v>
      </c>
      <c r="D1892" t="s">
        <v>1837</v>
      </c>
      <c r="E1892" t="s">
        <v>1896</v>
      </c>
      <c r="F1892">
        <v>4</v>
      </c>
      <c r="G1892" s="10">
        <v>731.72</v>
      </c>
      <c r="H1892" s="13">
        <v>0.22</v>
      </c>
      <c r="I1892" t="s">
        <v>1936</v>
      </c>
      <c r="J1892" s="16">
        <v>2282.9663999999998</v>
      </c>
      <c r="K1892" s="19">
        <f t="shared" si="145"/>
        <v>113466.07439999998</v>
      </c>
      <c r="L1892" s="22">
        <f t="shared" si="146"/>
        <v>1031.5097672727272</v>
      </c>
      <c r="M1892" s="22">
        <f t="shared" si="147"/>
        <v>34</v>
      </c>
      <c r="N1892" s="22" t="str">
        <f t="shared" si="148"/>
        <v>High Value</v>
      </c>
      <c r="O1892" s="22" t="str">
        <f t="shared" si="149"/>
        <v>Apr-2024</v>
      </c>
      <c r="P1892" s="22" t="s">
        <v>1838</v>
      </c>
      <c r="Q1892" s="22" t="s">
        <v>1555</v>
      </c>
      <c r="R1892" s="22" t="s">
        <v>1501</v>
      </c>
      <c r="S1892" s="22"/>
      <c r="T1892" s="22"/>
    </row>
    <row r="1893" spans="1:20">
      <c r="A1893" t="s">
        <v>3830</v>
      </c>
      <c r="B1893" s="8">
        <v>45916</v>
      </c>
      <c r="C1893" t="s">
        <v>1402</v>
      </c>
      <c r="D1893" t="s">
        <v>1798</v>
      </c>
      <c r="E1893" t="s">
        <v>1920</v>
      </c>
      <c r="F1893">
        <v>3</v>
      </c>
      <c r="G1893" s="10">
        <v>825.33</v>
      </c>
      <c r="H1893" s="13">
        <v>0.21</v>
      </c>
      <c r="I1893" t="s">
        <v>1931</v>
      </c>
      <c r="J1893" s="16">
        <v>1956.0320999999999</v>
      </c>
      <c r="K1893" s="19">
        <f t="shared" si="145"/>
        <v>111183.10799999996</v>
      </c>
      <c r="L1893" s="22">
        <f t="shared" si="146"/>
        <v>1020.0285137614676</v>
      </c>
      <c r="M1893" s="22">
        <f t="shared" si="147"/>
        <v>34</v>
      </c>
      <c r="N1893" s="22" t="str">
        <f t="shared" si="148"/>
        <v>High Value</v>
      </c>
      <c r="O1893" s="22" t="str">
        <f t="shared" si="149"/>
        <v>Sep-2025</v>
      </c>
      <c r="P1893" s="22" t="s">
        <v>1799</v>
      </c>
      <c r="Q1893" s="22" t="s">
        <v>1569</v>
      </c>
      <c r="R1893" s="22" t="s">
        <v>1403</v>
      </c>
      <c r="S1893" s="22"/>
      <c r="T1893" s="22"/>
    </row>
    <row r="1894" spans="1:20">
      <c r="A1894" t="s">
        <v>3831</v>
      </c>
      <c r="B1894" s="8">
        <v>45269</v>
      </c>
      <c r="C1894" t="s">
        <v>218</v>
      </c>
      <c r="D1894" t="s">
        <v>1765</v>
      </c>
      <c r="E1894" t="s">
        <v>1906</v>
      </c>
      <c r="F1894">
        <v>2</v>
      </c>
      <c r="G1894" s="10">
        <v>47.3</v>
      </c>
      <c r="H1894" s="13">
        <v>0.01</v>
      </c>
      <c r="I1894" t="s">
        <v>1933</v>
      </c>
      <c r="J1894" s="16">
        <v>93.653999999999996</v>
      </c>
      <c r="K1894" s="19">
        <f t="shared" si="145"/>
        <v>109227.07589999995</v>
      </c>
      <c r="L1894" s="22">
        <f t="shared" si="146"/>
        <v>1011.3618138888885</v>
      </c>
      <c r="M1894" s="22">
        <f t="shared" si="147"/>
        <v>34</v>
      </c>
      <c r="N1894" s="22" t="str">
        <f t="shared" si="148"/>
        <v>Low Value</v>
      </c>
      <c r="O1894" s="22" t="str">
        <f t="shared" si="149"/>
        <v>Dec-2023</v>
      </c>
      <c r="P1894" s="22" t="s">
        <v>1766</v>
      </c>
      <c r="Q1894" s="22" t="s">
        <v>1560</v>
      </c>
      <c r="R1894" s="22" t="s">
        <v>219</v>
      </c>
      <c r="S1894" s="22"/>
      <c r="T1894" s="22"/>
    </row>
    <row r="1895" spans="1:20">
      <c r="A1895" t="s">
        <v>3832</v>
      </c>
      <c r="B1895" s="8">
        <v>45493</v>
      </c>
      <c r="C1895" t="s">
        <v>565</v>
      </c>
      <c r="D1895" t="s">
        <v>1771</v>
      </c>
      <c r="E1895" t="s">
        <v>1914</v>
      </c>
      <c r="F1895">
        <v>1</v>
      </c>
      <c r="G1895" s="10">
        <v>389.12</v>
      </c>
      <c r="H1895" s="13">
        <v>0.18</v>
      </c>
      <c r="I1895" t="s">
        <v>1933</v>
      </c>
      <c r="J1895" s="16">
        <v>319.07839999999999</v>
      </c>
      <c r="K1895" s="19">
        <f t="shared" si="145"/>
        <v>109133.42189999996</v>
      </c>
      <c r="L1895" s="22">
        <f t="shared" si="146"/>
        <v>1019.9385224299061</v>
      </c>
      <c r="M1895" s="22">
        <f t="shared" si="147"/>
        <v>33</v>
      </c>
      <c r="N1895" s="22" t="str">
        <f t="shared" si="148"/>
        <v>Low Value</v>
      </c>
      <c r="O1895" s="22" t="str">
        <f t="shared" si="149"/>
        <v>Jul-2024</v>
      </c>
      <c r="P1895" s="22" t="s">
        <v>1772</v>
      </c>
      <c r="Q1895" s="22" t="s">
        <v>1569</v>
      </c>
      <c r="R1895" s="22" t="s">
        <v>566</v>
      </c>
      <c r="S1895" s="22"/>
      <c r="T1895" s="22"/>
    </row>
    <row r="1896" spans="1:20">
      <c r="A1896" t="s">
        <v>3833</v>
      </c>
      <c r="B1896" s="8">
        <v>45558</v>
      </c>
      <c r="C1896" t="s">
        <v>1405</v>
      </c>
      <c r="D1896" t="s">
        <v>1801</v>
      </c>
      <c r="E1896" t="s">
        <v>1917</v>
      </c>
      <c r="F1896">
        <v>3</v>
      </c>
      <c r="G1896" s="10">
        <v>543.83000000000004</v>
      </c>
      <c r="H1896" s="13">
        <v>0.05</v>
      </c>
      <c r="I1896" t="s">
        <v>1931</v>
      </c>
      <c r="J1896" s="16">
        <v>1549.9155000000001</v>
      </c>
      <c r="K1896" s="19">
        <f t="shared" si="145"/>
        <v>108814.34349999996</v>
      </c>
      <c r="L1896" s="22">
        <f t="shared" si="146"/>
        <v>1026.550410377358</v>
      </c>
      <c r="M1896" s="22">
        <f t="shared" si="147"/>
        <v>32</v>
      </c>
      <c r="N1896" s="22" t="str">
        <f t="shared" si="148"/>
        <v>High Value</v>
      </c>
      <c r="O1896" s="22" t="str">
        <f t="shared" si="149"/>
        <v>Sep-2024</v>
      </c>
      <c r="P1896" s="22" t="s">
        <v>1802</v>
      </c>
      <c r="Q1896" s="22" t="s">
        <v>1569</v>
      </c>
      <c r="R1896" s="22" t="s">
        <v>1406</v>
      </c>
      <c r="S1896" s="22"/>
      <c r="T1896" s="22"/>
    </row>
    <row r="1897" spans="1:20">
      <c r="A1897" t="s">
        <v>3834</v>
      </c>
      <c r="B1897" s="8">
        <v>45423</v>
      </c>
      <c r="C1897" t="s">
        <v>103</v>
      </c>
      <c r="D1897" t="s">
        <v>1586</v>
      </c>
      <c r="E1897" t="s">
        <v>1864</v>
      </c>
      <c r="F1897">
        <v>2</v>
      </c>
      <c r="G1897" s="10">
        <v>660.27</v>
      </c>
      <c r="H1897" s="13">
        <v>0.01</v>
      </c>
      <c r="I1897" t="s">
        <v>1933</v>
      </c>
      <c r="J1897" s="16">
        <v>1307.3345999999999</v>
      </c>
      <c r="K1897" s="19">
        <f t="shared" si="145"/>
        <v>107264.42799999996</v>
      </c>
      <c r="L1897" s="22">
        <f t="shared" si="146"/>
        <v>1021.5659809523805</v>
      </c>
      <c r="M1897" s="22">
        <f t="shared" si="147"/>
        <v>32</v>
      </c>
      <c r="N1897" s="22" t="str">
        <f t="shared" si="148"/>
        <v>High Value</v>
      </c>
      <c r="O1897" s="22" t="str">
        <f t="shared" si="149"/>
        <v>May-2024</v>
      </c>
      <c r="P1897" s="22" t="s">
        <v>1587</v>
      </c>
      <c r="Q1897" s="22" t="s">
        <v>1560</v>
      </c>
      <c r="R1897" s="22" t="s">
        <v>104</v>
      </c>
      <c r="S1897" s="22"/>
      <c r="T1897" s="22"/>
    </row>
    <row r="1898" spans="1:20">
      <c r="A1898" t="s">
        <v>3835</v>
      </c>
      <c r="B1898" s="8">
        <v>45780</v>
      </c>
      <c r="C1898" t="s">
        <v>1337</v>
      </c>
      <c r="D1898" t="s">
        <v>1583</v>
      </c>
      <c r="E1898" t="s">
        <v>1889</v>
      </c>
      <c r="F1898">
        <v>4</v>
      </c>
      <c r="G1898" s="10">
        <v>729.31</v>
      </c>
      <c r="H1898" s="13">
        <v>0.03</v>
      </c>
      <c r="I1898" t="s">
        <v>1931</v>
      </c>
      <c r="J1898" s="16">
        <v>2829.7228</v>
      </c>
      <c r="K1898" s="19">
        <f t="shared" si="145"/>
        <v>105957.09339999995</v>
      </c>
      <c r="L1898" s="22">
        <f t="shared" si="146"/>
        <v>1018.8182057692303</v>
      </c>
      <c r="M1898" s="22">
        <f t="shared" si="147"/>
        <v>31</v>
      </c>
      <c r="N1898" s="22" t="str">
        <f t="shared" si="148"/>
        <v>High Value</v>
      </c>
      <c r="O1898" s="22" t="str">
        <f t="shared" si="149"/>
        <v>May-2025</v>
      </c>
      <c r="P1898" s="22" t="s">
        <v>1584</v>
      </c>
      <c r="Q1898" s="22" t="s">
        <v>1531</v>
      </c>
      <c r="R1898" s="22" t="s">
        <v>1338</v>
      </c>
      <c r="S1898" s="22"/>
      <c r="T1898" s="22"/>
    </row>
    <row r="1899" spans="1:20">
      <c r="A1899" t="s">
        <v>3836</v>
      </c>
      <c r="B1899" s="8">
        <v>45345</v>
      </c>
      <c r="C1899" t="s">
        <v>1299</v>
      </c>
      <c r="D1899" t="s">
        <v>1816</v>
      </c>
      <c r="E1899" t="s">
        <v>1883</v>
      </c>
      <c r="F1899">
        <v>2</v>
      </c>
      <c r="G1899" s="10">
        <v>152.91</v>
      </c>
      <c r="H1899" s="13">
        <v>0.24</v>
      </c>
      <c r="I1899" t="s">
        <v>1933</v>
      </c>
      <c r="J1899" s="16">
        <v>232.42320000000001</v>
      </c>
      <c r="K1899" s="19">
        <f t="shared" si="145"/>
        <v>103127.37059999997</v>
      </c>
      <c r="L1899" s="22">
        <f t="shared" si="146"/>
        <v>1001.23660776699</v>
      </c>
      <c r="M1899" s="22">
        <f t="shared" si="147"/>
        <v>31</v>
      </c>
      <c r="N1899" s="22" t="str">
        <f t="shared" si="148"/>
        <v>Low Value</v>
      </c>
      <c r="O1899" s="22" t="str">
        <f t="shared" si="149"/>
        <v>Feb-2024</v>
      </c>
      <c r="P1899" s="22" t="s">
        <v>1817</v>
      </c>
      <c r="Q1899" s="22" t="s">
        <v>1560</v>
      </c>
      <c r="R1899" s="22" t="s">
        <v>1300</v>
      </c>
      <c r="S1899" s="22"/>
      <c r="T1899" s="22"/>
    </row>
    <row r="1900" spans="1:20">
      <c r="A1900" t="s">
        <v>3837</v>
      </c>
      <c r="B1900" s="8">
        <v>45344</v>
      </c>
      <c r="C1900" t="s">
        <v>1413</v>
      </c>
      <c r="D1900" t="s">
        <v>1777</v>
      </c>
      <c r="E1900" t="s">
        <v>1908</v>
      </c>
      <c r="F1900">
        <v>4</v>
      </c>
      <c r="G1900" s="10">
        <v>592.14</v>
      </c>
      <c r="H1900" s="13">
        <v>0.12</v>
      </c>
      <c r="I1900" t="s">
        <v>1936</v>
      </c>
      <c r="J1900" s="16">
        <v>2084.3328000000001</v>
      </c>
      <c r="K1900" s="19">
        <f t="shared" si="145"/>
        <v>102894.94739999996</v>
      </c>
      <c r="L1900" s="22">
        <f t="shared" si="146"/>
        <v>1008.7739941176467</v>
      </c>
      <c r="M1900" s="22">
        <f t="shared" si="147"/>
        <v>30</v>
      </c>
      <c r="N1900" s="22" t="str">
        <f t="shared" si="148"/>
        <v>High Value</v>
      </c>
      <c r="O1900" s="22" t="str">
        <f t="shared" si="149"/>
        <v>Feb-2024</v>
      </c>
      <c r="P1900" s="22" t="s">
        <v>1778</v>
      </c>
      <c r="Q1900" s="22" t="s">
        <v>1531</v>
      </c>
      <c r="R1900" s="22" t="s">
        <v>1414</v>
      </c>
      <c r="S1900" s="22"/>
      <c r="T1900" s="22"/>
    </row>
    <row r="1901" spans="1:20">
      <c r="A1901" t="s">
        <v>3838</v>
      </c>
      <c r="B1901" s="8">
        <v>45525</v>
      </c>
      <c r="C1901" t="s">
        <v>227</v>
      </c>
      <c r="D1901" t="s">
        <v>1789</v>
      </c>
      <c r="E1901" t="s">
        <v>1901</v>
      </c>
      <c r="F1901">
        <v>1</v>
      </c>
      <c r="G1901" s="10">
        <v>984.37</v>
      </c>
      <c r="H1901" s="13">
        <v>0</v>
      </c>
      <c r="I1901" t="s">
        <v>1933</v>
      </c>
      <c r="J1901" s="16">
        <v>984.37</v>
      </c>
      <c r="K1901" s="19">
        <f t="shared" si="145"/>
        <v>100810.61459999996</v>
      </c>
      <c r="L1901" s="22">
        <f t="shared" si="146"/>
        <v>998.12489702970254</v>
      </c>
      <c r="M1901" s="22">
        <f t="shared" si="147"/>
        <v>30</v>
      </c>
      <c r="N1901" s="22" t="str">
        <f t="shared" si="148"/>
        <v>Low Value</v>
      </c>
      <c r="O1901" s="22" t="str">
        <f t="shared" si="149"/>
        <v>Aug-2024</v>
      </c>
      <c r="P1901" s="22" t="s">
        <v>1790</v>
      </c>
      <c r="Q1901" s="22" t="s">
        <v>1560</v>
      </c>
      <c r="R1901" s="22" t="s">
        <v>228</v>
      </c>
      <c r="S1901" s="22"/>
      <c r="T1901" s="22"/>
    </row>
    <row r="1902" spans="1:20">
      <c r="A1902" t="s">
        <v>3839</v>
      </c>
      <c r="B1902" s="8">
        <v>45329</v>
      </c>
      <c r="C1902" t="s">
        <v>924</v>
      </c>
      <c r="D1902" t="s">
        <v>1534</v>
      </c>
      <c r="E1902" t="s">
        <v>1901</v>
      </c>
      <c r="F1902">
        <v>2</v>
      </c>
      <c r="G1902" s="10">
        <v>237.59</v>
      </c>
      <c r="H1902" s="13">
        <v>0.12</v>
      </c>
      <c r="I1902" t="s">
        <v>1931</v>
      </c>
      <c r="J1902" s="16">
        <v>418.15839999999997</v>
      </c>
      <c r="K1902" s="19">
        <f t="shared" si="145"/>
        <v>99826.244599999962</v>
      </c>
      <c r="L1902" s="22">
        <f t="shared" si="146"/>
        <v>998.26244599999961</v>
      </c>
      <c r="M1902" s="22">
        <f t="shared" si="147"/>
        <v>29</v>
      </c>
      <c r="N1902" s="22" t="str">
        <f t="shared" si="148"/>
        <v>Low Value</v>
      </c>
      <c r="O1902" s="22" t="str">
        <f t="shared" si="149"/>
        <v>Feb-2024</v>
      </c>
      <c r="P1902" s="22" t="s">
        <v>1535</v>
      </c>
      <c r="Q1902" s="22" t="s">
        <v>1536</v>
      </c>
      <c r="R1902" s="22" t="s">
        <v>925</v>
      </c>
      <c r="S1902" s="22"/>
      <c r="T1902" s="22"/>
    </row>
    <row r="1903" spans="1:20">
      <c r="A1903" t="s">
        <v>3840</v>
      </c>
      <c r="B1903" s="8">
        <v>45250</v>
      </c>
      <c r="C1903" t="s">
        <v>1328</v>
      </c>
      <c r="D1903" t="s">
        <v>1624</v>
      </c>
      <c r="E1903" t="s">
        <v>1889</v>
      </c>
      <c r="F1903">
        <v>1</v>
      </c>
      <c r="G1903" s="10">
        <v>52.06</v>
      </c>
      <c r="H1903" s="13">
        <v>0.27</v>
      </c>
      <c r="I1903" t="s">
        <v>1936</v>
      </c>
      <c r="J1903" s="16">
        <v>38.003799999999998</v>
      </c>
      <c r="K1903" s="19">
        <f t="shared" si="145"/>
        <v>99408.086199999962</v>
      </c>
      <c r="L1903" s="22">
        <f t="shared" si="146"/>
        <v>1004.1220828282825</v>
      </c>
      <c r="M1903" s="22">
        <f t="shared" si="147"/>
        <v>29</v>
      </c>
      <c r="N1903" s="22" t="str">
        <f t="shared" si="148"/>
        <v>Low Value</v>
      </c>
      <c r="O1903" s="22" t="str">
        <f t="shared" si="149"/>
        <v>Nov-2023</v>
      </c>
      <c r="P1903" s="22" t="s">
        <v>1625</v>
      </c>
      <c r="Q1903" s="22" t="s">
        <v>1536</v>
      </c>
      <c r="R1903" s="22" t="s">
        <v>1329</v>
      </c>
      <c r="S1903" s="22"/>
      <c r="T1903" s="22"/>
    </row>
    <row r="1904" spans="1:20">
      <c r="A1904" t="s">
        <v>3841</v>
      </c>
      <c r="B1904" s="8">
        <v>45691</v>
      </c>
      <c r="C1904" t="s">
        <v>1396</v>
      </c>
      <c r="D1904" t="s">
        <v>2033</v>
      </c>
      <c r="E1904" t="s">
        <v>1864</v>
      </c>
      <c r="F1904">
        <v>2</v>
      </c>
      <c r="G1904" s="10">
        <v>594.63</v>
      </c>
      <c r="H1904" s="13">
        <v>0.12</v>
      </c>
      <c r="I1904" t="s">
        <v>1931</v>
      </c>
      <c r="J1904" s="16">
        <v>1046.5488</v>
      </c>
      <c r="K1904" s="19">
        <f t="shared" si="145"/>
        <v>99370.082399999956</v>
      </c>
      <c r="L1904" s="22">
        <f t="shared" si="146"/>
        <v>1013.9804326530608</v>
      </c>
      <c r="M1904" s="22">
        <f t="shared" si="147"/>
        <v>29</v>
      </c>
      <c r="N1904" s="22" t="str">
        <f t="shared" si="148"/>
        <v>High Value</v>
      </c>
      <c r="O1904" s="22" t="str">
        <f t="shared" si="149"/>
        <v>Feb-2025</v>
      </c>
      <c r="P1904" s="22" t="s">
        <v>1543</v>
      </c>
      <c r="Q1904" s="22" t="s">
        <v>1536</v>
      </c>
      <c r="R1904" s="22" t="s">
        <v>1397</v>
      </c>
      <c r="S1904" s="22"/>
      <c r="T1904" s="22"/>
    </row>
    <row r="1905" spans="1:20">
      <c r="A1905" t="s">
        <v>3842</v>
      </c>
      <c r="B1905" s="8">
        <v>45644</v>
      </c>
      <c r="C1905" t="s">
        <v>554</v>
      </c>
      <c r="D1905" t="s">
        <v>2033</v>
      </c>
      <c r="E1905" t="s">
        <v>1859</v>
      </c>
      <c r="F1905">
        <v>3</v>
      </c>
      <c r="G1905" s="10">
        <v>476.1</v>
      </c>
      <c r="H1905" s="13">
        <v>0.05</v>
      </c>
      <c r="I1905" t="s">
        <v>1936</v>
      </c>
      <c r="J1905" s="16">
        <v>1356.885</v>
      </c>
      <c r="K1905" s="19">
        <f t="shared" si="145"/>
        <v>98323.533599999966</v>
      </c>
      <c r="L1905" s="22">
        <f t="shared" si="146"/>
        <v>1013.6446762886594</v>
      </c>
      <c r="M1905" s="22">
        <f t="shared" si="147"/>
        <v>29</v>
      </c>
      <c r="N1905" s="22" t="str">
        <f t="shared" si="148"/>
        <v>High Value</v>
      </c>
      <c r="O1905" s="22" t="str">
        <f t="shared" si="149"/>
        <v>Dec-2024</v>
      </c>
      <c r="P1905" s="22" t="s">
        <v>1543</v>
      </c>
      <c r="Q1905" s="22" t="s">
        <v>1536</v>
      </c>
      <c r="R1905" s="22" t="s">
        <v>555</v>
      </c>
      <c r="S1905" s="22"/>
      <c r="T1905" s="22"/>
    </row>
    <row r="1906" spans="1:20">
      <c r="A1906" t="s">
        <v>3843</v>
      </c>
      <c r="B1906" s="8">
        <v>45514</v>
      </c>
      <c r="C1906" t="s">
        <v>224</v>
      </c>
      <c r="D1906" t="s">
        <v>1737</v>
      </c>
      <c r="E1906" t="s">
        <v>1883</v>
      </c>
      <c r="F1906">
        <v>1</v>
      </c>
      <c r="G1906" s="10">
        <v>546.47</v>
      </c>
      <c r="H1906" s="13">
        <v>0.08</v>
      </c>
      <c r="I1906" t="s">
        <v>1936</v>
      </c>
      <c r="J1906" s="16">
        <v>502.75240000000002</v>
      </c>
      <c r="K1906" s="19">
        <f t="shared" si="145"/>
        <v>96966.648599999986</v>
      </c>
      <c r="L1906" s="22">
        <f t="shared" si="146"/>
        <v>1010.0692562499999</v>
      </c>
      <c r="M1906" s="22">
        <f t="shared" si="147"/>
        <v>29</v>
      </c>
      <c r="N1906" s="22" t="str">
        <f t="shared" si="148"/>
        <v>Low Value</v>
      </c>
      <c r="O1906" s="22" t="str">
        <f t="shared" si="149"/>
        <v>Aug-2024</v>
      </c>
      <c r="P1906" s="22" t="s">
        <v>1738</v>
      </c>
      <c r="Q1906" s="22" t="s">
        <v>1569</v>
      </c>
      <c r="R1906" s="22" t="s">
        <v>225</v>
      </c>
      <c r="S1906" s="22"/>
      <c r="T1906" s="22"/>
    </row>
    <row r="1907" spans="1:20">
      <c r="A1907" t="s">
        <v>3844</v>
      </c>
      <c r="B1907" s="8">
        <v>45760</v>
      </c>
      <c r="C1907" t="s">
        <v>580</v>
      </c>
      <c r="D1907" t="s">
        <v>1780</v>
      </c>
      <c r="E1907" t="s">
        <v>1901</v>
      </c>
      <c r="F1907">
        <v>1</v>
      </c>
      <c r="G1907" s="10">
        <v>979.49</v>
      </c>
      <c r="H1907" s="13">
        <v>0.19</v>
      </c>
      <c r="I1907" t="s">
        <v>1936</v>
      </c>
      <c r="J1907" s="16">
        <v>793.38690000000008</v>
      </c>
      <c r="K1907" s="19">
        <f t="shared" si="145"/>
        <v>96463.896199999974</v>
      </c>
      <c r="L1907" s="22">
        <f t="shared" si="146"/>
        <v>1015.4094336842103</v>
      </c>
      <c r="M1907" s="22">
        <f t="shared" si="147"/>
        <v>29</v>
      </c>
      <c r="N1907" s="22" t="str">
        <f t="shared" si="148"/>
        <v>Low Value</v>
      </c>
      <c r="O1907" s="22" t="str">
        <f t="shared" si="149"/>
        <v>Apr-2025</v>
      </c>
      <c r="P1907" s="22" t="s">
        <v>1781</v>
      </c>
      <c r="Q1907" s="22" t="s">
        <v>1536</v>
      </c>
      <c r="R1907" s="22" t="s">
        <v>581</v>
      </c>
      <c r="S1907" s="22"/>
      <c r="T1907" s="22"/>
    </row>
    <row r="1908" spans="1:20">
      <c r="A1908" t="s">
        <v>3845</v>
      </c>
      <c r="B1908" s="8">
        <v>45289</v>
      </c>
      <c r="C1908" t="s">
        <v>632</v>
      </c>
      <c r="D1908" t="s">
        <v>1597</v>
      </c>
      <c r="E1908" t="s">
        <v>1868</v>
      </c>
      <c r="F1908">
        <v>3</v>
      </c>
      <c r="G1908" s="10">
        <v>988.53</v>
      </c>
      <c r="H1908" s="13">
        <v>0.3</v>
      </c>
      <c r="I1908" t="s">
        <v>1936</v>
      </c>
      <c r="J1908" s="16">
        <v>2075.913</v>
      </c>
      <c r="K1908" s="19">
        <f t="shared" si="145"/>
        <v>95670.509299999976</v>
      </c>
      <c r="L1908" s="22">
        <f t="shared" si="146"/>
        <v>1017.7713755319146</v>
      </c>
      <c r="M1908" s="22">
        <f t="shared" si="147"/>
        <v>29</v>
      </c>
      <c r="N1908" s="22" t="str">
        <f t="shared" si="148"/>
        <v>High Value</v>
      </c>
      <c r="O1908" s="22" t="str">
        <f t="shared" si="149"/>
        <v>Dec-2023</v>
      </c>
      <c r="P1908" s="22" t="s">
        <v>1598</v>
      </c>
      <c r="Q1908" s="22" t="s">
        <v>1569</v>
      </c>
      <c r="R1908" s="22" t="s">
        <v>633</v>
      </c>
      <c r="S1908" s="22"/>
      <c r="T1908" s="22"/>
    </row>
    <row r="1909" spans="1:20">
      <c r="A1909" t="s">
        <v>3846</v>
      </c>
      <c r="B1909" s="8">
        <v>45704</v>
      </c>
      <c r="C1909" t="s">
        <v>815</v>
      </c>
      <c r="D1909" t="s">
        <v>1783</v>
      </c>
      <c r="E1909" t="s">
        <v>1873</v>
      </c>
      <c r="F1909">
        <v>4</v>
      </c>
      <c r="G1909" s="10">
        <v>849.29</v>
      </c>
      <c r="H1909" s="13">
        <v>0.26</v>
      </c>
      <c r="I1909" t="s">
        <v>1931</v>
      </c>
      <c r="J1909" s="16">
        <v>2513.8984</v>
      </c>
      <c r="K1909" s="19">
        <f t="shared" si="145"/>
        <v>93594.59629999999</v>
      </c>
      <c r="L1909" s="22">
        <f t="shared" si="146"/>
        <v>1006.3935086021504</v>
      </c>
      <c r="M1909" s="22">
        <f t="shared" si="147"/>
        <v>29</v>
      </c>
      <c r="N1909" s="22" t="str">
        <f t="shared" si="148"/>
        <v>High Value</v>
      </c>
      <c r="O1909" s="22" t="str">
        <f t="shared" si="149"/>
        <v>Feb-2025</v>
      </c>
      <c r="P1909" s="22" t="s">
        <v>1784</v>
      </c>
      <c r="Q1909" s="22" t="s">
        <v>1531</v>
      </c>
      <c r="R1909" s="22" t="s">
        <v>816</v>
      </c>
      <c r="S1909" s="22"/>
      <c r="T1909" s="22"/>
    </row>
    <row r="1910" spans="1:20">
      <c r="A1910" t="s">
        <v>3847</v>
      </c>
      <c r="B1910" s="8">
        <v>45318</v>
      </c>
      <c r="C1910" t="s">
        <v>1073</v>
      </c>
      <c r="D1910" t="s">
        <v>1840</v>
      </c>
      <c r="E1910" t="s">
        <v>1906</v>
      </c>
      <c r="F1910">
        <v>2</v>
      </c>
      <c r="G1910" s="10">
        <v>452.29</v>
      </c>
      <c r="H1910" s="13">
        <v>0.01</v>
      </c>
      <c r="I1910" t="s">
        <v>1936</v>
      </c>
      <c r="J1910" s="16">
        <v>895.53420000000006</v>
      </c>
      <c r="K1910" s="19">
        <f t="shared" si="145"/>
        <v>91080.697899999985</v>
      </c>
      <c r="L1910" s="22">
        <f t="shared" si="146"/>
        <v>990.0075858695651</v>
      </c>
      <c r="M1910" s="22">
        <f t="shared" si="147"/>
        <v>29</v>
      </c>
      <c r="N1910" s="22" t="str">
        <f t="shared" si="148"/>
        <v>Low Value</v>
      </c>
      <c r="O1910" s="22" t="str">
        <f t="shared" si="149"/>
        <v>Jan-2024</v>
      </c>
      <c r="P1910" s="22" t="s">
        <v>1841</v>
      </c>
      <c r="Q1910" s="22" t="s">
        <v>1569</v>
      </c>
      <c r="R1910" s="22" t="s">
        <v>1074</v>
      </c>
      <c r="S1910" s="22"/>
      <c r="T1910" s="22"/>
    </row>
    <row r="1911" spans="1:20">
      <c r="A1911" t="s">
        <v>3848</v>
      </c>
      <c r="B1911" s="8">
        <v>45495</v>
      </c>
      <c r="C1911" t="s">
        <v>1368</v>
      </c>
      <c r="D1911" t="s">
        <v>1716</v>
      </c>
      <c r="E1911" t="s">
        <v>1917</v>
      </c>
      <c r="F1911">
        <v>2</v>
      </c>
      <c r="G1911" s="10">
        <v>810.81</v>
      </c>
      <c r="H1911" s="13">
        <v>0.11</v>
      </c>
      <c r="I1911" t="s">
        <v>1936</v>
      </c>
      <c r="J1911" s="16">
        <v>1443.2418</v>
      </c>
      <c r="K1911" s="19">
        <f t="shared" si="145"/>
        <v>90185.163699999976</v>
      </c>
      <c r="L1911" s="22">
        <f t="shared" si="146"/>
        <v>991.04575494505468</v>
      </c>
      <c r="M1911" s="22">
        <f t="shared" si="147"/>
        <v>29</v>
      </c>
      <c r="N1911" s="22" t="str">
        <f t="shared" si="148"/>
        <v>High Value</v>
      </c>
      <c r="O1911" s="22" t="str">
        <f t="shared" si="149"/>
        <v>Jul-2024</v>
      </c>
      <c r="P1911" s="22" t="s">
        <v>1717</v>
      </c>
      <c r="Q1911" s="22" t="s">
        <v>1569</v>
      </c>
      <c r="R1911" s="22" t="s">
        <v>1369</v>
      </c>
      <c r="S1911" s="22"/>
      <c r="T1911" s="22"/>
    </row>
    <row r="1912" spans="1:20">
      <c r="A1912" t="s">
        <v>3849</v>
      </c>
      <c r="B1912" s="8">
        <v>45560</v>
      </c>
      <c r="C1912" t="s">
        <v>127</v>
      </c>
      <c r="D1912" t="s">
        <v>1737</v>
      </c>
      <c r="E1912" t="s">
        <v>1889</v>
      </c>
      <c r="F1912">
        <v>1</v>
      </c>
      <c r="G1912" s="10">
        <v>846.67</v>
      </c>
      <c r="H1912" s="13">
        <v>0.1</v>
      </c>
      <c r="I1912" t="s">
        <v>1936</v>
      </c>
      <c r="J1912" s="16">
        <v>762.00299999999993</v>
      </c>
      <c r="K1912" s="19">
        <f t="shared" si="145"/>
        <v>88741.921899999987</v>
      </c>
      <c r="L1912" s="22">
        <f t="shared" si="146"/>
        <v>986.02135444444434</v>
      </c>
      <c r="M1912" s="22">
        <f t="shared" si="147"/>
        <v>29</v>
      </c>
      <c r="N1912" s="22" t="str">
        <f t="shared" si="148"/>
        <v>Low Value</v>
      </c>
      <c r="O1912" s="22" t="str">
        <f t="shared" si="149"/>
        <v>Sep-2024</v>
      </c>
      <c r="P1912" s="22" t="s">
        <v>1738</v>
      </c>
      <c r="Q1912" s="22" t="s">
        <v>1569</v>
      </c>
      <c r="R1912" s="22" t="s">
        <v>128</v>
      </c>
      <c r="S1912" s="22"/>
      <c r="T1912" s="22"/>
    </row>
    <row r="1913" spans="1:20">
      <c r="A1913" t="s">
        <v>3850</v>
      </c>
      <c r="B1913" s="8">
        <v>45367</v>
      </c>
      <c r="C1913" t="s">
        <v>78</v>
      </c>
      <c r="D1913" t="s">
        <v>1620</v>
      </c>
      <c r="E1913" t="s">
        <v>1883</v>
      </c>
      <c r="F1913">
        <v>4</v>
      </c>
      <c r="G1913" s="10">
        <v>73.55</v>
      </c>
      <c r="H1913" s="13">
        <v>0.24</v>
      </c>
      <c r="I1913" t="s">
        <v>1936</v>
      </c>
      <c r="J1913" s="16">
        <v>223.59200000000001</v>
      </c>
      <c r="K1913" s="19">
        <f t="shared" si="145"/>
        <v>87979.91889999999</v>
      </c>
      <c r="L1913" s="22">
        <f t="shared" si="146"/>
        <v>988.53841460674141</v>
      </c>
      <c r="M1913" s="22">
        <f t="shared" si="147"/>
        <v>29</v>
      </c>
      <c r="N1913" s="22" t="str">
        <f t="shared" si="148"/>
        <v>Low Value</v>
      </c>
      <c r="O1913" s="22" t="str">
        <f t="shared" si="149"/>
        <v>Mar-2024</v>
      </c>
      <c r="P1913" s="22" t="s">
        <v>1621</v>
      </c>
      <c r="Q1913" s="22" t="s">
        <v>1569</v>
      </c>
      <c r="R1913" s="22" t="s">
        <v>79</v>
      </c>
      <c r="S1913" s="22"/>
      <c r="T1913" s="22"/>
    </row>
    <row r="1914" spans="1:20">
      <c r="A1914" t="s">
        <v>3851</v>
      </c>
      <c r="B1914" s="8">
        <v>45861</v>
      </c>
      <c r="C1914" t="s">
        <v>883</v>
      </c>
      <c r="D1914" t="s">
        <v>1831</v>
      </c>
      <c r="E1914" t="s">
        <v>1883</v>
      </c>
      <c r="F1914">
        <v>1</v>
      </c>
      <c r="G1914" s="10">
        <v>882.03</v>
      </c>
      <c r="H1914" s="13">
        <v>0.04</v>
      </c>
      <c r="I1914" t="s">
        <v>1936</v>
      </c>
      <c r="J1914" s="16">
        <v>846.74879999999996</v>
      </c>
      <c r="K1914" s="19">
        <f t="shared" si="145"/>
        <v>87756.326899999985</v>
      </c>
      <c r="L1914" s="22">
        <f t="shared" si="146"/>
        <v>997.23098749999986</v>
      </c>
      <c r="M1914" s="22">
        <f t="shared" si="147"/>
        <v>29</v>
      </c>
      <c r="N1914" s="22" t="str">
        <f t="shared" si="148"/>
        <v>Low Value</v>
      </c>
      <c r="O1914" s="22" t="str">
        <f t="shared" si="149"/>
        <v>Jul-2025</v>
      </c>
      <c r="P1914" s="22" t="s">
        <v>1832</v>
      </c>
      <c r="Q1914" s="22" t="s">
        <v>1560</v>
      </c>
      <c r="R1914" s="22" t="s">
        <v>884</v>
      </c>
      <c r="S1914" s="22"/>
      <c r="T1914" s="22"/>
    </row>
    <row r="1915" spans="1:20">
      <c r="A1915" t="s">
        <v>3852</v>
      </c>
      <c r="B1915" s="8">
        <v>45589</v>
      </c>
      <c r="C1915" t="s">
        <v>43</v>
      </c>
      <c r="D1915" t="s">
        <v>1614</v>
      </c>
      <c r="E1915" t="s">
        <v>1906</v>
      </c>
      <c r="F1915">
        <v>1</v>
      </c>
      <c r="G1915" s="10">
        <v>958.44</v>
      </c>
      <c r="H1915" s="13">
        <v>0.21</v>
      </c>
      <c r="I1915" t="s">
        <v>1931</v>
      </c>
      <c r="J1915" s="16">
        <v>757.16760000000011</v>
      </c>
      <c r="K1915" s="19">
        <f t="shared" si="145"/>
        <v>86909.57809999997</v>
      </c>
      <c r="L1915" s="22">
        <f t="shared" si="146"/>
        <v>998.96066781609159</v>
      </c>
      <c r="M1915" s="22">
        <f t="shared" si="147"/>
        <v>29</v>
      </c>
      <c r="N1915" s="22" t="str">
        <f t="shared" si="148"/>
        <v>Low Value</v>
      </c>
      <c r="O1915" s="22" t="str">
        <f t="shared" si="149"/>
        <v>Oct-2024</v>
      </c>
      <c r="P1915" s="22" t="s">
        <v>1615</v>
      </c>
      <c r="Q1915" s="22" t="s">
        <v>1569</v>
      </c>
      <c r="R1915" s="22" t="s">
        <v>44</v>
      </c>
      <c r="S1915" s="22"/>
      <c r="T1915" s="22"/>
    </row>
    <row r="1916" spans="1:20">
      <c r="A1916" t="s">
        <v>3853</v>
      </c>
      <c r="B1916" s="8">
        <v>45560</v>
      </c>
      <c r="C1916" t="s">
        <v>43</v>
      </c>
      <c r="D1916" t="s">
        <v>1852</v>
      </c>
      <c r="E1916" t="s">
        <v>1868</v>
      </c>
      <c r="F1916">
        <v>1</v>
      </c>
      <c r="G1916" s="10">
        <v>716.29</v>
      </c>
      <c r="H1916" s="13">
        <v>0.01</v>
      </c>
      <c r="I1916" t="s">
        <v>1933</v>
      </c>
      <c r="J1916" s="16">
        <v>709.12709999999993</v>
      </c>
      <c r="K1916" s="19">
        <f t="shared" si="145"/>
        <v>86152.410499999969</v>
      </c>
      <c r="L1916" s="22">
        <f t="shared" si="146"/>
        <v>1001.7722151162787</v>
      </c>
      <c r="M1916" s="22">
        <f t="shared" si="147"/>
        <v>29</v>
      </c>
      <c r="N1916" s="22" t="str">
        <f t="shared" si="148"/>
        <v>Low Value</v>
      </c>
      <c r="O1916" s="22" t="str">
        <f t="shared" si="149"/>
        <v>Sep-2024</v>
      </c>
      <c r="P1916" s="22" t="s">
        <v>1853</v>
      </c>
      <c r="Q1916" s="22" t="s">
        <v>1560</v>
      </c>
      <c r="R1916" s="22" t="s">
        <v>44</v>
      </c>
      <c r="S1916" s="22"/>
      <c r="T1916" s="22"/>
    </row>
    <row r="1917" spans="1:20">
      <c r="A1917" t="s">
        <v>3854</v>
      </c>
      <c r="B1917" s="8">
        <v>45408</v>
      </c>
      <c r="C1917" t="s">
        <v>1014</v>
      </c>
      <c r="D1917" t="s">
        <v>1567</v>
      </c>
      <c r="E1917" t="s">
        <v>1911</v>
      </c>
      <c r="F1917">
        <v>2</v>
      </c>
      <c r="G1917" s="10">
        <v>409.14</v>
      </c>
      <c r="H1917" s="13">
        <v>0.01</v>
      </c>
      <c r="I1917" t="s">
        <v>1933</v>
      </c>
      <c r="J1917" s="16">
        <v>810.09719999999993</v>
      </c>
      <c r="K1917" s="19">
        <f t="shared" si="145"/>
        <v>85443.283399999971</v>
      </c>
      <c r="L1917" s="22">
        <f t="shared" si="146"/>
        <v>1005.215098823529</v>
      </c>
      <c r="M1917" s="22">
        <f t="shared" si="147"/>
        <v>28</v>
      </c>
      <c r="N1917" s="22" t="str">
        <f t="shared" si="148"/>
        <v>Low Value</v>
      </c>
      <c r="O1917" s="22" t="str">
        <f t="shared" si="149"/>
        <v>Apr-2024</v>
      </c>
      <c r="P1917" s="22" t="s">
        <v>1568</v>
      </c>
      <c r="Q1917" s="22" t="s">
        <v>1569</v>
      </c>
      <c r="R1917" s="22" t="s">
        <v>1015</v>
      </c>
      <c r="S1917" s="22"/>
      <c r="T1917" s="22"/>
    </row>
    <row r="1918" spans="1:20">
      <c r="A1918" t="s">
        <v>3855</v>
      </c>
      <c r="B1918" s="8">
        <v>45714</v>
      </c>
      <c r="C1918" t="s">
        <v>301</v>
      </c>
      <c r="D1918" t="s">
        <v>1852</v>
      </c>
      <c r="E1918" t="s">
        <v>1893</v>
      </c>
      <c r="F1918">
        <v>4</v>
      </c>
      <c r="G1918" s="10">
        <v>261.73</v>
      </c>
      <c r="H1918" s="13">
        <v>0.1</v>
      </c>
      <c r="I1918" t="s">
        <v>1933</v>
      </c>
      <c r="J1918" s="16">
        <v>942.22800000000007</v>
      </c>
      <c r="K1918" s="19">
        <f t="shared" si="145"/>
        <v>84633.186199999967</v>
      </c>
      <c r="L1918" s="22">
        <f t="shared" si="146"/>
        <v>1007.5379309523805</v>
      </c>
      <c r="M1918" s="22">
        <f t="shared" si="147"/>
        <v>27</v>
      </c>
      <c r="N1918" s="22" t="str">
        <f t="shared" si="148"/>
        <v>Low Value</v>
      </c>
      <c r="O1918" s="22" t="str">
        <f t="shared" si="149"/>
        <v>Feb-2025</v>
      </c>
      <c r="P1918" s="22" t="s">
        <v>1853</v>
      </c>
      <c r="Q1918" s="22" t="s">
        <v>1560</v>
      </c>
      <c r="R1918" s="22" t="s">
        <v>302</v>
      </c>
      <c r="S1918" s="22"/>
      <c r="T1918" s="22"/>
    </row>
    <row r="1919" spans="1:20">
      <c r="A1919" t="s">
        <v>3856</v>
      </c>
      <c r="B1919" s="8">
        <v>45661</v>
      </c>
      <c r="C1919" t="s">
        <v>1427</v>
      </c>
      <c r="D1919" t="s">
        <v>1579</v>
      </c>
      <c r="E1919" t="s">
        <v>1859</v>
      </c>
      <c r="F1919">
        <v>2</v>
      </c>
      <c r="G1919" s="10">
        <v>687.35</v>
      </c>
      <c r="H1919" s="13">
        <v>0.2</v>
      </c>
      <c r="I1919" t="s">
        <v>1936</v>
      </c>
      <c r="J1919" s="16">
        <v>1099.76</v>
      </c>
      <c r="K1919" s="19">
        <f t="shared" si="145"/>
        <v>83690.958199999965</v>
      </c>
      <c r="L1919" s="22">
        <f t="shared" si="146"/>
        <v>1008.3247975903611</v>
      </c>
      <c r="M1919" s="22">
        <f t="shared" si="147"/>
        <v>26</v>
      </c>
      <c r="N1919" s="22" t="str">
        <f t="shared" si="148"/>
        <v>High Value</v>
      </c>
      <c r="O1919" s="22" t="str">
        <f t="shared" si="149"/>
        <v>Jan-2025</v>
      </c>
      <c r="P1919" s="22" t="s">
        <v>1580</v>
      </c>
      <c r="Q1919" s="22" t="s">
        <v>1555</v>
      </c>
      <c r="R1919" s="22" t="s">
        <v>1428</v>
      </c>
      <c r="S1919" s="22"/>
      <c r="T1919" s="22"/>
    </row>
    <row r="1920" spans="1:20">
      <c r="A1920" t="s">
        <v>3857</v>
      </c>
      <c r="B1920" s="8">
        <v>45921</v>
      </c>
      <c r="C1920" t="s">
        <v>673</v>
      </c>
      <c r="D1920" t="s">
        <v>1807</v>
      </c>
      <c r="E1920" t="s">
        <v>1889</v>
      </c>
      <c r="F1920">
        <v>2</v>
      </c>
      <c r="G1920" s="10">
        <v>30.14</v>
      </c>
      <c r="H1920" s="13">
        <v>0.21</v>
      </c>
      <c r="I1920" t="s">
        <v>1931</v>
      </c>
      <c r="J1920" s="16">
        <v>47.621200000000002</v>
      </c>
      <c r="K1920" s="19">
        <f t="shared" si="145"/>
        <v>82591.198199999955</v>
      </c>
      <c r="L1920" s="22">
        <f t="shared" si="146"/>
        <v>1007.2097341463409</v>
      </c>
      <c r="M1920" s="22">
        <f t="shared" si="147"/>
        <v>26</v>
      </c>
      <c r="N1920" s="22" t="str">
        <f t="shared" si="148"/>
        <v>Low Value</v>
      </c>
      <c r="O1920" s="22" t="str">
        <f t="shared" si="149"/>
        <v>Sep-2025</v>
      </c>
      <c r="P1920" s="22" t="s">
        <v>1808</v>
      </c>
      <c r="Q1920" s="22" t="s">
        <v>1560</v>
      </c>
      <c r="R1920" s="22" t="s">
        <v>674</v>
      </c>
      <c r="S1920" s="22"/>
      <c r="T1920" s="22"/>
    </row>
    <row r="1921" spans="1:20">
      <c r="A1921" t="s">
        <v>3858</v>
      </c>
      <c r="B1921" s="8">
        <v>45651</v>
      </c>
      <c r="C1921" t="s">
        <v>348</v>
      </c>
      <c r="D1921" t="s">
        <v>1652</v>
      </c>
      <c r="E1921" t="s">
        <v>1889</v>
      </c>
      <c r="F1921">
        <v>3</v>
      </c>
      <c r="G1921" s="10">
        <v>570.12</v>
      </c>
      <c r="H1921" s="13">
        <v>0.12</v>
      </c>
      <c r="I1921" t="s">
        <v>1933</v>
      </c>
      <c r="J1921" s="16">
        <v>1505.1168</v>
      </c>
      <c r="K1921" s="19">
        <f t="shared" si="145"/>
        <v>82543.576999999961</v>
      </c>
      <c r="L1921" s="22">
        <f t="shared" si="146"/>
        <v>1019.056506172839</v>
      </c>
      <c r="M1921" s="22">
        <f t="shared" si="147"/>
        <v>26</v>
      </c>
      <c r="N1921" s="22" t="str">
        <f t="shared" si="148"/>
        <v>High Value</v>
      </c>
      <c r="O1921" s="22" t="str">
        <f t="shared" si="149"/>
        <v>Dec-2024</v>
      </c>
      <c r="P1921" s="22" t="s">
        <v>1653</v>
      </c>
      <c r="Q1921" s="22" t="s">
        <v>1531</v>
      </c>
      <c r="R1921" s="22" t="s">
        <v>349</v>
      </c>
      <c r="S1921" s="22"/>
      <c r="T1921" s="22"/>
    </row>
    <row r="1922" spans="1:20">
      <c r="A1922" t="s">
        <v>3859</v>
      </c>
      <c r="B1922" s="8">
        <v>45883</v>
      </c>
      <c r="C1922" t="s">
        <v>892</v>
      </c>
      <c r="D1922" t="s">
        <v>1786</v>
      </c>
      <c r="E1922" t="s">
        <v>1920</v>
      </c>
      <c r="F1922">
        <v>3</v>
      </c>
      <c r="G1922" s="10">
        <v>401.87</v>
      </c>
      <c r="H1922" s="13">
        <v>0.28999999999999998</v>
      </c>
      <c r="I1922" t="s">
        <v>1936</v>
      </c>
      <c r="J1922" s="16">
        <v>855.98310000000004</v>
      </c>
      <c r="K1922" s="19">
        <f t="shared" ref="K1922:K1985" si="150">SUM(J1922:J3921)</f>
        <v>81038.460199999972</v>
      </c>
      <c r="L1922" s="22">
        <f t="shared" ref="L1922:L1985" si="151">AVERAGE(J1922:J3921)</f>
        <v>1012.9807524999997</v>
      </c>
      <c r="M1922" s="22">
        <f t="shared" ref="M1922:M1985" si="152">COUNTIF(I1922:I3921,"PayPal")</f>
        <v>25</v>
      </c>
      <c r="N1922" s="22" t="str">
        <f t="shared" ref="N1922:N1985" si="153">IF(J1922&gt;=1000,"High Value","Low Value")</f>
        <v>Low Value</v>
      </c>
      <c r="O1922" s="22" t="str">
        <f t="shared" ref="O1922:O1985" si="154">TEXT(B1922,"mmm-yyyy")</f>
        <v>Aug-2025</v>
      </c>
      <c r="P1922" s="22" t="s">
        <v>1787</v>
      </c>
      <c r="Q1922" s="22" t="s">
        <v>1531</v>
      </c>
      <c r="R1922" s="22" t="s">
        <v>893</v>
      </c>
      <c r="S1922" s="22"/>
      <c r="T1922" s="22"/>
    </row>
    <row r="1923" spans="1:20">
      <c r="A1923" t="s">
        <v>3860</v>
      </c>
      <c r="B1923" s="8">
        <v>45624</v>
      </c>
      <c r="C1923" t="s">
        <v>1511</v>
      </c>
      <c r="D1923" t="s">
        <v>1792</v>
      </c>
      <c r="E1923" t="s">
        <v>1901</v>
      </c>
      <c r="F1923">
        <v>4</v>
      </c>
      <c r="G1923" s="10">
        <v>619.35</v>
      </c>
      <c r="H1923" s="13">
        <v>0.3</v>
      </c>
      <c r="I1923" t="s">
        <v>1931</v>
      </c>
      <c r="J1923" s="16">
        <v>1734.18</v>
      </c>
      <c r="K1923" s="19">
        <f t="shared" si="150"/>
        <v>80182.477099999989</v>
      </c>
      <c r="L1923" s="22">
        <f t="shared" si="151"/>
        <v>1014.9680645569618</v>
      </c>
      <c r="M1923" s="22">
        <f t="shared" si="152"/>
        <v>25</v>
      </c>
      <c r="N1923" s="22" t="str">
        <f t="shared" si="153"/>
        <v>High Value</v>
      </c>
      <c r="O1923" s="22" t="str">
        <f t="shared" si="154"/>
        <v>Nov-2024</v>
      </c>
      <c r="P1923" s="22" t="s">
        <v>1793</v>
      </c>
      <c r="Q1923" s="22" t="s">
        <v>1560</v>
      </c>
      <c r="R1923" s="22" t="s">
        <v>1512</v>
      </c>
      <c r="S1923" s="22"/>
      <c r="T1923" s="22"/>
    </row>
    <row r="1924" spans="1:20">
      <c r="A1924" t="s">
        <v>3861</v>
      </c>
      <c r="B1924" s="8">
        <v>45276</v>
      </c>
      <c r="C1924" t="s">
        <v>792</v>
      </c>
      <c r="D1924" t="s">
        <v>1690</v>
      </c>
      <c r="E1924" t="s">
        <v>1914</v>
      </c>
      <c r="F1924">
        <v>4</v>
      </c>
      <c r="G1924" s="10">
        <v>569.36</v>
      </c>
      <c r="H1924" s="13">
        <v>0.27</v>
      </c>
      <c r="I1924" t="s">
        <v>1933</v>
      </c>
      <c r="J1924" s="16">
        <v>1662.5311999999999</v>
      </c>
      <c r="K1924" s="19">
        <f t="shared" si="150"/>
        <v>78448.297099999996</v>
      </c>
      <c r="L1924" s="22">
        <f t="shared" si="151"/>
        <v>1005.7473987179486</v>
      </c>
      <c r="M1924" s="22">
        <f t="shared" si="152"/>
        <v>25</v>
      </c>
      <c r="N1924" s="22" t="str">
        <f t="shared" si="153"/>
        <v>High Value</v>
      </c>
      <c r="O1924" s="22" t="str">
        <f t="shared" si="154"/>
        <v>Dec-2023</v>
      </c>
      <c r="P1924" s="22" t="s">
        <v>1691</v>
      </c>
      <c r="Q1924" s="22" t="s">
        <v>1536</v>
      </c>
      <c r="R1924" s="22" t="s">
        <v>793</v>
      </c>
      <c r="S1924" s="22"/>
      <c r="T1924" s="22"/>
    </row>
    <row r="1925" spans="1:20">
      <c r="A1925" t="s">
        <v>3862</v>
      </c>
      <c r="B1925" s="8">
        <v>45344</v>
      </c>
      <c r="C1925" t="s">
        <v>1456</v>
      </c>
      <c r="D1925" t="s">
        <v>1630</v>
      </c>
      <c r="E1925" t="s">
        <v>1876</v>
      </c>
      <c r="F1925">
        <v>2</v>
      </c>
      <c r="G1925" s="10">
        <v>846.35</v>
      </c>
      <c r="H1925" s="13">
        <v>0.3</v>
      </c>
      <c r="I1925" t="s">
        <v>1936</v>
      </c>
      <c r="J1925" s="16">
        <v>1184.8900000000001</v>
      </c>
      <c r="K1925" s="19">
        <f t="shared" si="150"/>
        <v>76785.765899999999</v>
      </c>
      <c r="L1925" s="22">
        <f t="shared" si="151"/>
        <v>997.21773896103889</v>
      </c>
      <c r="M1925" s="22">
        <f t="shared" si="152"/>
        <v>24</v>
      </c>
      <c r="N1925" s="22" t="str">
        <f t="shared" si="153"/>
        <v>High Value</v>
      </c>
      <c r="O1925" s="22" t="str">
        <f t="shared" si="154"/>
        <v>Feb-2024</v>
      </c>
      <c r="P1925" s="22" t="s">
        <v>1631</v>
      </c>
      <c r="Q1925" s="22" t="s">
        <v>1560</v>
      </c>
      <c r="R1925" s="22" t="s">
        <v>1457</v>
      </c>
      <c r="S1925" s="22"/>
      <c r="T1925" s="22"/>
    </row>
    <row r="1926" spans="1:20">
      <c r="A1926" t="s">
        <v>3863</v>
      </c>
      <c r="B1926" s="8">
        <v>45849</v>
      </c>
      <c r="C1926" t="s">
        <v>1337</v>
      </c>
      <c r="D1926" t="s">
        <v>1639</v>
      </c>
      <c r="E1926" t="s">
        <v>1868</v>
      </c>
      <c r="F1926">
        <v>1</v>
      </c>
      <c r="G1926" s="10">
        <v>788.45</v>
      </c>
      <c r="H1926" s="13">
        <v>0.28999999999999998</v>
      </c>
      <c r="I1926" t="s">
        <v>1933</v>
      </c>
      <c r="J1926" s="16">
        <v>559.79949999999997</v>
      </c>
      <c r="K1926" s="19">
        <f t="shared" si="150"/>
        <v>75600.875899999999</v>
      </c>
      <c r="L1926" s="22">
        <f t="shared" si="151"/>
        <v>994.74836710526313</v>
      </c>
      <c r="M1926" s="22">
        <f t="shared" si="152"/>
        <v>24</v>
      </c>
      <c r="N1926" s="22" t="str">
        <f t="shared" si="153"/>
        <v>Low Value</v>
      </c>
      <c r="O1926" s="22" t="str">
        <f t="shared" si="154"/>
        <v>Jul-2025</v>
      </c>
      <c r="P1926" s="22" t="s">
        <v>1640</v>
      </c>
      <c r="Q1926" s="22" t="s">
        <v>1560</v>
      </c>
      <c r="R1926" s="22" t="s">
        <v>1338</v>
      </c>
      <c r="S1926" s="22"/>
      <c r="T1926" s="22"/>
    </row>
    <row r="1927" spans="1:20">
      <c r="A1927" t="s">
        <v>3864</v>
      </c>
      <c r="B1927" s="8">
        <v>45880</v>
      </c>
      <c r="C1927" t="s">
        <v>1122</v>
      </c>
      <c r="D1927" t="s">
        <v>1655</v>
      </c>
      <c r="E1927" t="s">
        <v>1901</v>
      </c>
      <c r="F1927">
        <v>2</v>
      </c>
      <c r="G1927" s="10">
        <v>338.81</v>
      </c>
      <c r="H1927" s="13">
        <v>7.0000000000000007E-2</v>
      </c>
      <c r="I1927" t="s">
        <v>1936</v>
      </c>
      <c r="J1927" s="16">
        <v>630.1866</v>
      </c>
      <c r="K1927" s="19">
        <f t="shared" si="150"/>
        <v>75041.076400000005</v>
      </c>
      <c r="L1927" s="22">
        <f t="shared" si="151"/>
        <v>1000.5476853333334</v>
      </c>
      <c r="M1927" s="22">
        <f t="shared" si="152"/>
        <v>23</v>
      </c>
      <c r="N1927" s="22" t="str">
        <f t="shared" si="153"/>
        <v>Low Value</v>
      </c>
      <c r="O1927" s="22" t="str">
        <f t="shared" si="154"/>
        <v>Aug-2025</v>
      </c>
      <c r="P1927" s="22" t="s">
        <v>1656</v>
      </c>
      <c r="Q1927" s="22" t="s">
        <v>1560</v>
      </c>
      <c r="R1927" s="22" t="s">
        <v>1123</v>
      </c>
      <c r="S1927" s="22"/>
      <c r="T1927" s="22"/>
    </row>
    <row r="1928" spans="1:20">
      <c r="A1928" t="s">
        <v>3865</v>
      </c>
      <c r="B1928" s="8">
        <v>45907</v>
      </c>
      <c r="C1928" t="s">
        <v>110</v>
      </c>
      <c r="D1928" t="s">
        <v>1586</v>
      </c>
      <c r="E1928" t="s">
        <v>1880</v>
      </c>
      <c r="F1928">
        <v>4</v>
      </c>
      <c r="G1928" s="10">
        <v>94.48</v>
      </c>
      <c r="H1928" s="13">
        <v>0.06</v>
      </c>
      <c r="I1928" t="s">
        <v>1936</v>
      </c>
      <c r="J1928" s="16">
        <v>355.2448</v>
      </c>
      <c r="K1928" s="19">
        <f t="shared" si="150"/>
        <v>74410.889800000004</v>
      </c>
      <c r="L1928" s="22">
        <f t="shared" si="151"/>
        <v>1005.552564864865</v>
      </c>
      <c r="M1928" s="22">
        <f t="shared" si="152"/>
        <v>23</v>
      </c>
      <c r="N1928" s="22" t="str">
        <f t="shared" si="153"/>
        <v>Low Value</v>
      </c>
      <c r="O1928" s="22" t="str">
        <f t="shared" si="154"/>
        <v>Sep-2025</v>
      </c>
      <c r="P1928" s="22" t="s">
        <v>1587</v>
      </c>
      <c r="Q1928" s="22" t="s">
        <v>1560</v>
      </c>
      <c r="R1928" s="22" t="s">
        <v>111</v>
      </c>
      <c r="S1928" s="22"/>
      <c r="T1928" s="22"/>
    </row>
    <row r="1929" spans="1:20">
      <c r="A1929" t="s">
        <v>3866</v>
      </c>
      <c r="B1929" s="8">
        <v>45545</v>
      </c>
      <c r="C1929" t="s">
        <v>1459</v>
      </c>
      <c r="D1929" t="s">
        <v>1603</v>
      </c>
      <c r="E1929" t="s">
        <v>1904</v>
      </c>
      <c r="F1929">
        <v>3</v>
      </c>
      <c r="G1929" s="10">
        <v>941.85</v>
      </c>
      <c r="H1929" s="13">
        <v>0.16</v>
      </c>
      <c r="I1929" t="s">
        <v>1933</v>
      </c>
      <c r="J1929" s="16">
        <v>2373.462</v>
      </c>
      <c r="K1929" s="19">
        <f t="shared" si="150"/>
        <v>74055.645000000004</v>
      </c>
      <c r="L1929" s="22">
        <f t="shared" si="151"/>
        <v>1014.460890410959</v>
      </c>
      <c r="M1929" s="22">
        <f t="shared" si="152"/>
        <v>23</v>
      </c>
      <c r="N1929" s="22" t="str">
        <f t="shared" si="153"/>
        <v>High Value</v>
      </c>
      <c r="O1929" s="22" t="str">
        <f t="shared" si="154"/>
        <v>Sep-2024</v>
      </c>
      <c r="P1929" s="22" t="s">
        <v>1604</v>
      </c>
      <c r="Q1929" s="22" t="s">
        <v>1569</v>
      </c>
      <c r="R1929" s="22" t="s">
        <v>1460</v>
      </c>
      <c r="S1929" s="22"/>
      <c r="T1929" s="22"/>
    </row>
    <row r="1930" spans="1:20">
      <c r="A1930" t="s">
        <v>3867</v>
      </c>
      <c r="B1930" s="8">
        <v>45257</v>
      </c>
      <c r="C1930" t="s">
        <v>536</v>
      </c>
      <c r="D1930" t="s">
        <v>1687</v>
      </c>
      <c r="E1930" t="s">
        <v>1880</v>
      </c>
      <c r="F1930">
        <v>2</v>
      </c>
      <c r="G1930" s="10">
        <v>336.97</v>
      </c>
      <c r="H1930" s="13">
        <v>0.14000000000000001</v>
      </c>
      <c r="I1930" t="s">
        <v>1933</v>
      </c>
      <c r="J1930" s="16">
        <v>579.58840000000009</v>
      </c>
      <c r="K1930" s="19">
        <f t="shared" si="150"/>
        <v>71682.183000000019</v>
      </c>
      <c r="L1930" s="22">
        <f t="shared" si="151"/>
        <v>995.58587500000021</v>
      </c>
      <c r="M1930" s="22">
        <f t="shared" si="152"/>
        <v>22</v>
      </c>
      <c r="N1930" s="22" t="str">
        <f t="shared" si="153"/>
        <v>Low Value</v>
      </c>
      <c r="O1930" s="22" t="str">
        <f t="shared" si="154"/>
        <v>Nov-2023</v>
      </c>
      <c r="P1930" s="22" t="s">
        <v>1688</v>
      </c>
      <c r="Q1930" s="22" t="s">
        <v>1569</v>
      </c>
      <c r="R1930" s="22" t="s">
        <v>537</v>
      </c>
      <c r="S1930" s="22"/>
      <c r="T1930" s="22"/>
    </row>
    <row r="1931" spans="1:20">
      <c r="A1931" t="s">
        <v>3868</v>
      </c>
      <c r="B1931" s="8">
        <v>45466</v>
      </c>
      <c r="C1931" t="s">
        <v>975</v>
      </c>
      <c r="D1931" t="s">
        <v>1549</v>
      </c>
      <c r="E1931" t="s">
        <v>1880</v>
      </c>
      <c r="F1931">
        <v>2</v>
      </c>
      <c r="G1931" s="10">
        <v>344.16</v>
      </c>
      <c r="H1931" s="13">
        <v>0.09</v>
      </c>
      <c r="I1931" t="s">
        <v>1933</v>
      </c>
      <c r="J1931" s="16">
        <v>626.37120000000004</v>
      </c>
      <c r="K1931" s="19">
        <f t="shared" si="150"/>
        <v>71102.594600000011</v>
      </c>
      <c r="L1931" s="22">
        <f t="shared" si="151"/>
        <v>1001.4449943661973</v>
      </c>
      <c r="M1931" s="22">
        <f t="shared" si="152"/>
        <v>21</v>
      </c>
      <c r="N1931" s="22" t="str">
        <f t="shared" si="153"/>
        <v>Low Value</v>
      </c>
      <c r="O1931" s="22" t="str">
        <f t="shared" si="154"/>
        <v>Jun-2024</v>
      </c>
      <c r="P1931" s="22" t="s">
        <v>1550</v>
      </c>
      <c r="Q1931" s="22" t="s">
        <v>1536</v>
      </c>
      <c r="R1931" s="22" t="s">
        <v>976</v>
      </c>
      <c r="S1931" s="22"/>
      <c r="T1931" s="22"/>
    </row>
    <row r="1932" spans="1:20">
      <c r="A1932" t="s">
        <v>3869</v>
      </c>
      <c r="B1932" s="8">
        <v>45847</v>
      </c>
      <c r="C1932" t="s">
        <v>946</v>
      </c>
      <c r="D1932" t="s">
        <v>1697</v>
      </c>
      <c r="E1932" t="s">
        <v>1893</v>
      </c>
      <c r="F1932">
        <v>1</v>
      </c>
      <c r="G1932" s="10">
        <v>841.53</v>
      </c>
      <c r="H1932" s="13">
        <v>0.15</v>
      </c>
      <c r="I1932" t="s">
        <v>1931</v>
      </c>
      <c r="J1932" s="16">
        <v>715.30049999999994</v>
      </c>
      <c r="K1932" s="19">
        <f t="shared" si="150"/>
        <v>70476.223400000003</v>
      </c>
      <c r="L1932" s="22">
        <f t="shared" si="151"/>
        <v>1006.8031914285715</v>
      </c>
      <c r="M1932" s="22">
        <f t="shared" si="152"/>
        <v>20</v>
      </c>
      <c r="N1932" s="22" t="str">
        <f t="shared" si="153"/>
        <v>Low Value</v>
      </c>
      <c r="O1932" s="22" t="str">
        <f t="shared" si="154"/>
        <v>Jul-2025</v>
      </c>
      <c r="P1932" s="22" t="s">
        <v>1698</v>
      </c>
      <c r="Q1932" s="22" t="s">
        <v>1531</v>
      </c>
      <c r="R1932" s="22" t="s">
        <v>947</v>
      </c>
      <c r="S1932" s="22"/>
      <c r="T1932" s="22"/>
    </row>
    <row r="1933" spans="1:20">
      <c r="A1933" t="s">
        <v>3870</v>
      </c>
      <c r="B1933" s="8">
        <v>45825</v>
      </c>
      <c r="C1933" t="s">
        <v>1307</v>
      </c>
      <c r="D1933" t="s">
        <v>1804</v>
      </c>
      <c r="E1933" t="s">
        <v>1914</v>
      </c>
      <c r="F1933">
        <v>3</v>
      </c>
      <c r="G1933" s="10">
        <v>63.36</v>
      </c>
      <c r="H1933" s="13">
        <v>0.28999999999999998</v>
      </c>
      <c r="I1933" t="s">
        <v>1936</v>
      </c>
      <c r="J1933" s="16">
        <v>134.95679999999999</v>
      </c>
      <c r="K1933" s="19">
        <f t="shared" si="150"/>
        <v>69760.922900000005</v>
      </c>
      <c r="L1933" s="22">
        <f t="shared" si="151"/>
        <v>1011.0278681159421</v>
      </c>
      <c r="M1933" s="22">
        <f t="shared" si="152"/>
        <v>20</v>
      </c>
      <c r="N1933" s="22" t="str">
        <f t="shared" si="153"/>
        <v>Low Value</v>
      </c>
      <c r="O1933" s="22" t="str">
        <f t="shared" si="154"/>
        <v>Jun-2025</v>
      </c>
      <c r="P1933" s="22" t="s">
        <v>1805</v>
      </c>
      <c r="Q1933" s="22" t="s">
        <v>1555</v>
      </c>
      <c r="R1933" s="22" t="s">
        <v>1308</v>
      </c>
      <c r="S1933" s="22"/>
      <c r="T1933" s="22"/>
    </row>
    <row r="1934" spans="1:20">
      <c r="A1934" t="s">
        <v>3871</v>
      </c>
      <c r="B1934" s="8">
        <v>45839</v>
      </c>
      <c r="C1934" t="s">
        <v>1511</v>
      </c>
      <c r="D1934" t="s">
        <v>1789</v>
      </c>
      <c r="E1934" t="s">
        <v>1889</v>
      </c>
      <c r="F1934">
        <v>2</v>
      </c>
      <c r="G1934" s="10">
        <v>552.49</v>
      </c>
      <c r="H1934" s="13">
        <v>0.1</v>
      </c>
      <c r="I1934" t="s">
        <v>1931</v>
      </c>
      <c r="J1934" s="16">
        <v>994.48200000000008</v>
      </c>
      <c r="K1934" s="19">
        <f t="shared" si="150"/>
        <v>69625.96610000002</v>
      </c>
      <c r="L1934" s="22">
        <f t="shared" si="151"/>
        <v>1023.9112661764709</v>
      </c>
      <c r="M1934" s="22">
        <f t="shared" si="152"/>
        <v>20</v>
      </c>
      <c r="N1934" s="22" t="str">
        <f t="shared" si="153"/>
        <v>Low Value</v>
      </c>
      <c r="O1934" s="22" t="str">
        <f t="shared" si="154"/>
        <v>Jul-2025</v>
      </c>
      <c r="P1934" s="22" t="s">
        <v>1790</v>
      </c>
      <c r="Q1934" s="22" t="s">
        <v>1560</v>
      </c>
      <c r="R1934" s="22" t="s">
        <v>1512</v>
      </c>
      <c r="S1934" s="22"/>
      <c r="T1934" s="22"/>
    </row>
    <row r="1935" spans="1:20">
      <c r="A1935" t="s">
        <v>3872</v>
      </c>
      <c r="B1935" s="8">
        <v>45720</v>
      </c>
      <c r="C1935" t="s">
        <v>759</v>
      </c>
      <c r="D1935" t="s">
        <v>1620</v>
      </c>
      <c r="E1935" t="s">
        <v>1883</v>
      </c>
      <c r="F1935">
        <v>3</v>
      </c>
      <c r="G1935" s="10">
        <v>447.38</v>
      </c>
      <c r="H1935" s="13">
        <v>0.03</v>
      </c>
      <c r="I1935" t="s">
        <v>1931</v>
      </c>
      <c r="J1935" s="16">
        <v>1301.8758</v>
      </c>
      <c r="K1935" s="19">
        <f t="shared" si="150"/>
        <v>68631.484100000031</v>
      </c>
      <c r="L1935" s="22">
        <f t="shared" si="151"/>
        <v>1024.3505089552243</v>
      </c>
      <c r="M1935" s="22">
        <f t="shared" si="152"/>
        <v>20</v>
      </c>
      <c r="N1935" s="22" t="str">
        <f t="shared" si="153"/>
        <v>High Value</v>
      </c>
      <c r="O1935" s="22" t="str">
        <f t="shared" si="154"/>
        <v>Mar-2025</v>
      </c>
      <c r="P1935" s="22" t="s">
        <v>1621</v>
      </c>
      <c r="Q1935" s="22" t="s">
        <v>1569</v>
      </c>
      <c r="R1935" s="22" t="s">
        <v>760</v>
      </c>
      <c r="S1935" s="22"/>
      <c r="T1935" s="22"/>
    </row>
    <row r="1936" spans="1:20">
      <c r="A1936" t="s">
        <v>3873</v>
      </c>
      <c r="B1936" s="8">
        <v>45250</v>
      </c>
      <c r="C1936" t="s">
        <v>1383</v>
      </c>
      <c r="D1936" t="s">
        <v>1774</v>
      </c>
      <c r="E1936" t="s">
        <v>1920</v>
      </c>
      <c r="F1936">
        <v>1</v>
      </c>
      <c r="G1936" s="10">
        <v>727.7</v>
      </c>
      <c r="H1936" s="13">
        <v>0.21</v>
      </c>
      <c r="I1936" t="s">
        <v>1936</v>
      </c>
      <c r="J1936" s="16">
        <v>574.88300000000004</v>
      </c>
      <c r="K1936" s="19">
        <f t="shared" si="150"/>
        <v>67329.608300000022</v>
      </c>
      <c r="L1936" s="22">
        <f t="shared" si="151"/>
        <v>1020.1455803030307</v>
      </c>
      <c r="M1936" s="22">
        <f t="shared" si="152"/>
        <v>20</v>
      </c>
      <c r="N1936" s="22" t="str">
        <f t="shared" si="153"/>
        <v>Low Value</v>
      </c>
      <c r="O1936" s="22" t="str">
        <f t="shared" si="154"/>
        <v>Nov-2023</v>
      </c>
      <c r="P1936" s="22" t="s">
        <v>1775</v>
      </c>
      <c r="Q1936" s="22" t="s">
        <v>1569</v>
      </c>
      <c r="R1936" s="22" t="s">
        <v>1384</v>
      </c>
      <c r="S1936" s="22"/>
      <c r="T1936" s="22"/>
    </row>
    <row r="1937" spans="1:20">
      <c r="A1937" t="s">
        <v>3874</v>
      </c>
      <c r="B1937" s="8">
        <v>45258</v>
      </c>
      <c r="C1937" t="s">
        <v>1343</v>
      </c>
      <c r="D1937" t="s">
        <v>1707</v>
      </c>
      <c r="E1937" t="s">
        <v>1886</v>
      </c>
      <c r="F1937">
        <v>4</v>
      </c>
      <c r="G1937" s="10">
        <v>581.34</v>
      </c>
      <c r="H1937" s="13">
        <v>0.08</v>
      </c>
      <c r="I1937" t="s">
        <v>1931</v>
      </c>
      <c r="J1937" s="16">
        <v>2139.3312000000001</v>
      </c>
      <c r="K1937" s="19">
        <f t="shared" si="150"/>
        <v>66754.72530000002</v>
      </c>
      <c r="L1937" s="22">
        <f t="shared" si="151"/>
        <v>1026.9957738461542</v>
      </c>
      <c r="M1937" s="22">
        <f t="shared" si="152"/>
        <v>20</v>
      </c>
      <c r="N1937" s="22" t="str">
        <f t="shared" si="153"/>
        <v>High Value</v>
      </c>
      <c r="O1937" s="22" t="str">
        <f t="shared" si="154"/>
        <v>Nov-2023</v>
      </c>
      <c r="P1937" s="22" t="s">
        <v>1708</v>
      </c>
      <c r="Q1937" s="22" t="s">
        <v>1531</v>
      </c>
      <c r="R1937" s="22" t="s">
        <v>1344</v>
      </c>
      <c r="S1937" s="22"/>
      <c r="T1937" s="22"/>
    </row>
    <row r="1938" spans="1:20">
      <c r="A1938" t="s">
        <v>3875</v>
      </c>
      <c r="B1938" s="8">
        <v>45793</v>
      </c>
      <c r="C1938" t="s">
        <v>339</v>
      </c>
      <c r="D1938" t="s">
        <v>1752</v>
      </c>
      <c r="E1938" t="s">
        <v>1864</v>
      </c>
      <c r="F1938">
        <v>1</v>
      </c>
      <c r="G1938" s="10">
        <v>338.83</v>
      </c>
      <c r="H1938" s="13">
        <v>0.19</v>
      </c>
      <c r="I1938" t="s">
        <v>1933</v>
      </c>
      <c r="J1938" s="16">
        <v>274.45229999999998</v>
      </c>
      <c r="K1938" s="19">
        <f t="shared" si="150"/>
        <v>64615.39410000002</v>
      </c>
      <c r="L1938" s="22">
        <f t="shared" si="151"/>
        <v>1009.6155328125003</v>
      </c>
      <c r="M1938" s="22">
        <f t="shared" si="152"/>
        <v>20</v>
      </c>
      <c r="N1938" s="22" t="str">
        <f t="shared" si="153"/>
        <v>Low Value</v>
      </c>
      <c r="O1938" s="22" t="str">
        <f t="shared" si="154"/>
        <v>May-2025</v>
      </c>
      <c r="P1938" s="22" t="s">
        <v>1753</v>
      </c>
      <c r="Q1938" s="22" t="s">
        <v>1555</v>
      </c>
      <c r="R1938" s="22" t="s">
        <v>340</v>
      </c>
      <c r="S1938" s="22"/>
      <c r="T1938" s="22"/>
    </row>
    <row r="1939" spans="1:20">
      <c r="A1939" t="s">
        <v>3876</v>
      </c>
      <c r="B1939" s="8">
        <v>45265</v>
      </c>
      <c r="C1939" t="s">
        <v>904</v>
      </c>
      <c r="D1939" t="s">
        <v>1700</v>
      </c>
      <c r="E1939" t="s">
        <v>1904</v>
      </c>
      <c r="F1939">
        <v>4</v>
      </c>
      <c r="G1939" s="10">
        <v>568.80999999999995</v>
      </c>
      <c r="H1939" s="13">
        <v>0.25</v>
      </c>
      <c r="I1939" t="s">
        <v>1931</v>
      </c>
      <c r="J1939" s="16">
        <v>1706.43</v>
      </c>
      <c r="K1939" s="19">
        <f t="shared" si="150"/>
        <v>64340.941800000015</v>
      </c>
      <c r="L1939" s="22">
        <f t="shared" si="151"/>
        <v>1021.2847904761907</v>
      </c>
      <c r="M1939" s="22">
        <f t="shared" si="152"/>
        <v>19</v>
      </c>
      <c r="N1939" s="22" t="str">
        <f t="shared" si="153"/>
        <v>High Value</v>
      </c>
      <c r="O1939" s="22" t="str">
        <f t="shared" si="154"/>
        <v>Dec-2023</v>
      </c>
      <c r="P1939" s="22" t="s">
        <v>1701</v>
      </c>
      <c r="Q1939" s="22" t="s">
        <v>1555</v>
      </c>
      <c r="R1939" s="22" t="s">
        <v>905</v>
      </c>
      <c r="S1939" s="22"/>
      <c r="T1939" s="22"/>
    </row>
    <row r="1940" spans="1:20">
      <c r="A1940" t="s">
        <v>3877</v>
      </c>
      <c r="B1940" s="8">
        <v>45607</v>
      </c>
      <c r="C1940" t="s">
        <v>1166</v>
      </c>
      <c r="D1940" t="s">
        <v>1737</v>
      </c>
      <c r="E1940" t="s">
        <v>1914</v>
      </c>
      <c r="F1940">
        <v>2</v>
      </c>
      <c r="G1940" s="10">
        <v>352.63</v>
      </c>
      <c r="H1940" s="13">
        <v>0.15</v>
      </c>
      <c r="I1940" t="s">
        <v>1933</v>
      </c>
      <c r="J1940" s="16">
        <v>599.471</v>
      </c>
      <c r="K1940" s="19">
        <f t="shared" si="150"/>
        <v>62634.511800000022</v>
      </c>
      <c r="L1940" s="22">
        <f t="shared" si="151"/>
        <v>1010.234061290323</v>
      </c>
      <c r="M1940" s="22">
        <f t="shared" si="152"/>
        <v>19</v>
      </c>
      <c r="N1940" s="22" t="str">
        <f t="shared" si="153"/>
        <v>Low Value</v>
      </c>
      <c r="O1940" s="22" t="str">
        <f t="shared" si="154"/>
        <v>Nov-2024</v>
      </c>
      <c r="P1940" s="22" t="s">
        <v>1738</v>
      </c>
      <c r="Q1940" s="22" t="s">
        <v>1569</v>
      </c>
      <c r="R1940" s="22" t="s">
        <v>1167</v>
      </c>
      <c r="S1940" s="22"/>
      <c r="T1940" s="22"/>
    </row>
    <row r="1941" spans="1:20">
      <c r="A1941" t="s">
        <v>3878</v>
      </c>
      <c r="B1941" s="8">
        <v>45382</v>
      </c>
      <c r="C1941" t="s">
        <v>521</v>
      </c>
      <c r="D1941" t="s">
        <v>1843</v>
      </c>
      <c r="E1941" t="s">
        <v>1904</v>
      </c>
      <c r="F1941">
        <v>2</v>
      </c>
      <c r="G1941" s="10">
        <v>629.86</v>
      </c>
      <c r="H1941" s="13">
        <v>0.15</v>
      </c>
      <c r="I1941" t="s">
        <v>1933</v>
      </c>
      <c r="J1941" s="16">
        <v>1070.7619999999999</v>
      </c>
      <c r="K1941" s="19">
        <f t="shared" si="150"/>
        <v>62035.040800000017</v>
      </c>
      <c r="L1941" s="22">
        <f t="shared" si="151"/>
        <v>1016.9678819672134</v>
      </c>
      <c r="M1941" s="22">
        <f t="shared" si="152"/>
        <v>18</v>
      </c>
      <c r="N1941" s="22" t="str">
        <f t="shared" si="153"/>
        <v>High Value</v>
      </c>
      <c r="O1941" s="22" t="str">
        <f t="shared" si="154"/>
        <v>Mar-2024</v>
      </c>
      <c r="P1941" s="22" t="s">
        <v>1844</v>
      </c>
      <c r="Q1941" s="22" t="s">
        <v>1536</v>
      </c>
      <c r="R1941" s="22" t="s">
        <v>522</v>
      </c>
      <c r="S1941" s="22"/>
      <c r="T1941" s="22"/>
    </row>
    <row r="1942" spans="1:20">
      <c r="A1942" t="s">
        <v>3879</v>
      </c>
      <c r="B1942" s="8">
        <v>45793</v>
      </c>
      <c r="C1942" t="s">
        <v>1503</v>
      </c>
      <c r="D1942" t="s">
        <v>1849</v>
      </c>
      <c r="E1942" t="s">
        <v>1873</v>
      </c>
      <c r="F1942">
        <v>3</v>
      </c>
      <c r="G1942" s="10">
        <v>212.08</v>
      </c>
      <c r="H1942" s="13">
        <v>7.0000000000000007E-2</v>
      </c>
      <c r="I1942" t="s">
        <v>1931</v>
      </c>
      <c r="J1942" s="16">
        <v>591.70319999999992</v>
      </c>
      <c r="K1942" s="19">
        <f t="shared" si="150"/>
        <v>60964.278800000015</v>
      </c>
      <c r="L1942" s="22">
        <f t="shared" si="151"/>
        <v>1016.0713133333336</v>
      </c>
      <c r="M1942" s="22">
        <f t="shared" si="152"/>
        <v>17</v>
      </c>
      <c r="N1942" s="22" t="str">
        <f t="shared" si="153"/>
        <v>Low Value</v>
      </c>
      <c r="O1942" s="22" t="str">
        <f t="shared" si="154"/>
        <v>May-2025</v>
      </c>
      <c r="P1942" s="22" t="s">
        <v>1850</v>
      </c>
      <c r="Q1942" s="22" t="s">
        <v>1531</v>
      </c>
      <c r="R1942" s="22" t="s">
        <v>1504</v>
      </c>
      <c r="S1942" s="22"/>
      <c r="T1942" s="22"/>
    </row>
    <row r="1943" spans="1:20">
      <c r="A1943" t="s">
        <v>3880</v>
      </c>
      <c r="B1943" s="8">
        <v>45590</v>
      </c>
      <c r="C1943" t="s">
        <v>536</v>
      </c>
      <c r="D1943" t="s">
        <v>1725</v>
      </c>
      <c r="E1943" t="s">
        <v>1868</v>
      </c>
      <c r="F1943">
        <v>3</v>
      </c>
      <c r="G1943" s="10">
        <v>878.62</v>
      </c>
      <c r="H1943" s="13">
        <v>0.05</v>
      </c>
      <c r="I1943" t="s">
        <v>1933</v>
      </c>
      <c r="J1943" s="16">
        <v>2504.067</v>
      </c>
      <c r="K1943" s="19">
        <f t="shared" si="150"/>
        <v>60372.575600000011</v>
      </c>
      <c r="L1943" s="22">
        <f t="shared" si="151"/>
        <v>1023.2639932203392</v>
      </c>
      <c r="M1943" s="22">
        <f t="shared" si="152"/>
        <v>17</v>
      </c>
      <c r="N1943" s="22" t="str">
        <f t="shared" si="153"/>
        <v>High Value</v>
      </c>
      <c r="O1943" s="22" t="str">
        <f t="shared" si="154"/>
        <v>Oct-2024</v>
      </c>
      <c r="P1943" s="22" t="s">
        <v>1726</v>
      </c>
      <c r="Q1943" s="22" t="s">
        <v>1569</v>
      </c>
      <c r="R1943" s="22" t="s">
        <v>537</v>
      </c>
      <c r="S1943" s="22"/>
      <c r="T1943" s="22"/>
    </row>
    <row r="1944" spans="1:20">
      <c r="A1944" t="s">
        <v>3881</v>
      </c>
      <c r="B1944" s="8">
        <v>45679</v>
      </c>
      <c r="C1944" t="s">
        <v>833</v>
      </c>
      <c r="D1944" t="s">
        <v>1795</v>
      </c>
      <c r="E1944" t="s">
        <v>1896</v>
      </c>
      <c r="F1944">
        <v>4</v>
      </c>
      <c r="G1944" s="10">
        <v>87.83</v>
      </c>
      <c r="H1944" s="13">
        <v>0.23</v>
      </c>
      <c r="I1944" t="s">
        <v>1933</v>
      </c>
      <c r="J1944" s="16">
        <v>270.51639999999998</v>
      </c>
      <c r="K1944" s="19">
        <f t="shared" si="150"/>
        <v>57868.50860000003</v>
      </c>
      <c r="L1944" s="22">
        <f t="shared" si="151"/>
        <v>997.73290689655221</v>
      </c>
      <c r="M1944" s="22">
        <f t="shared" si="152"/>
        <v>16</v>
      </c>
      <c r="N1944" s="22" t="str">
        <f t="shared" si="153"/>
        <v>Low Value</v>
      </c>
      <c r="O1944" s="22" t="str">
        <f t="shared" si="154"/>
        <v>Jan-2025</v>
      </c>
      <c r="P1944" s="22" t="s">
        <v>1796</v>
      </c>
      <c r="Q1944" s="22" t="s">
        <v>1560</v>
      </c>
      <c r="R1944" s="22" t="s">
        <v>834</v>
      </c>
      <c r="S1944" s="22"/>
      <c r="T1944" s="22"/>
    </row>
    <row r="1945" spans="1:20">
      <c r="A1945" t="s">
        <v>3882</v>
      </c>
      <c r="B1945" s="8">
        <v>45814</v>
      </c>
      <c r="C1945" t="s">
        <v>874</v>
      </c>
      <c r="D1945" t="s">
        <v>1722</v>
      </c>
      <c r="E1945" t="s">
        <v>1893</v>
      </c>
      <c r="F1945">
        <v>3</v>
      </c>
      <c r="G1945" s="10">
        <v>442.64</v>
      </c>
      <c r="H1945" s="13">
        <v>0.15</v>
      </c>
      <c r="I1945" t="s">
        <v>1936</v>
      </c>
      <c r="J1945" s="16">
        <v>1128.732</v>
      </c>
      <c r="K1945" s="19">
        <f t="shared" si="150"/>
        <v>57597.992200000022</v>
      </c>
      <c r="L1945" s="22">
        <f t="shared" si="151"/>
        <v>1010.4910912280706</v>
      </c>
      <c r="M1945" s="22">
        <f t="shared" si="152"/>
        <v>15</v>
      </c>
      <c r="N1945" s="22" t="str">
        <f t="shared" si="153"/>
        <v>High Value</v>
      </c>
      <c r="O1945" s="22" t="str">
        <f t="shared" si="154"/>
        <v>Jun-2025</v>
      </c>
      <c r="P1945" s="22" t="s">
        <v>1723</v>
      </c>
      <c r="Q1945" s="22" t="s">
        <v>1560</v>
      </c>
      <c r="R1945" s="22" t="s">
        <v>875</v>
      </c>
      <c r="S1945" s="22"/>
      <c r="T1945" s="22"/>
    </row>
    <row r="1946" spans="1:20">
      <c r="A1946" t="s">
        <v>3883</v>
      </c>
      <c r="B1946" s="8">
        <v>45795</v>
      </c>
      <c r="C1946" t="s">
        <v>330</v>
      </c>
      <c r="D1946" t="s">
        <v>1665</v>
      </c>
      <c r="E1946" t="s">
        <v>1868</v>
      </c>
      <c r="F1946">
        <v>3</v>
      </c>
      <c r="G1946" s="10">
        <v>410.04</v>
      </c>
      <c r="H1946" s="13">
        <v>0.09</v>
      </c>
      <c r="I1946" t="s">
        <v>1936</v>
      </c>
      <c r="J1946" s="16">
        <v>1119.4092000000001</v>
      </c>
      <c r="K1946" s="19">
        <f t="shared" si="150"/>
        <v>56469.260200000019</v>
      </c>
      <c r="L1946" s="22">
        <f t="shared" si="151"/>
        <v>1008.3796464285717</v>
      </c>
      <c r="M1946" s="22">
        <f t="shared" si="152"/>
        <v>15</v>
      </c>
      <c r="N1946" s="22" t="str">
        <f t="shared" si="153"/>
        <v>High Value</v>
      </c>
      <c r="O1946" s="22" t="str">
        <f t="shared" si="154"/>
        <v>May-2025</v>
      </c>
      <c r="P1946" s="22" t="s">
        <v>1666</v>
      </c>
      <c r="Q1946" s="22" t="s">
        <v>1569</v>
      </c>
      <c r="R1946" s="22" t="s">
        <v>331</v>
      </c>
      <c r="S1946" s="22"/>
      <c r="T1946" s="22"/>
    </row>
    <row r="1947" spans="1:20">
      <c r="A1947" t="s">
        <v>3884</v>
      </c>
      <c r="B1947" s="8">
        <v>45797</v>
      </c>
      <c r="C1947" t="s">
        <v>453</v>
      </c>
      <c r="D1947" t="s">
        <v>1837</v>
      </c>
      <c r="E1947" t="s">
        <v>1914</v>
      </c>
      <c r="F1947">
        <v>1</v>
      </c>
      <c r="G1947" s="10">
        <v>355.31</v>
      </c>
      <c r="H1947" s="13">
        <v>0.27</v>
      </c>
      <c r="I1947" t="s">
        <v>1931</v>
      </c>
      <c r="J1947" s="16">
        <v>259.37630000000001</v>
      </c>
      <c r="K1947" s="19">
        <f t="shared" si="150"/>
        <v>55349.851000000024</v>
      </c>
      <c r="L1947" s="22">
        <f t="shared" si="151"/>
        <v>1006.3609272727277</v>
      </c>
      <c r="M1947" s="22">
        <f t="shared" si="152"/>
        <v>15</v>
      </c>
      <c r="N1947" s="22" t="str">
        <f t="shared" si="153"/>
        <v>Low Value</v>
      </c>
      <c r="O1947" s="22" t="str">
        <f t="shared" si="154"/>
        <v>May-2025</v>
      </c>
      <c r="P1947" s="22" t="s">
        <v>1838</v>
      </c>
      <c r="Q1947" s="22" t="s">
        <v>1555</v>
      </c>
      <c r="R1947" s="22" t="s">
        <v>454</v>
      </c>
      <c r="S1947" s="22"/>
      <c r="T1947" s="22"/>
    </row>
    <row r="1948" spans="1:20">
      <c r="A1948" t="s">
        <v>3885</v>
      </c>
      <c r="B1948" s="8">
        <v>45607</v>
      </c>
      <c r="C1948" t="s">
        <v>1169</v>
      </c>
      <c r="D1948" t="s">
        <v>1567</v>
      </c>
      <c r="E1948" t="s">
        <v>1904</v>
      </c>
      <c r="F1948">
        <v>4</v>
      </c>
      <c r="G1948" s="10">
        <v>243.13</v>
      </c>
      <c r="H1948" s="13">
        <v>0.25</v>
      </c>
      <c r="I1948" t="s">
        <v>1936</v>
      </c>
      <c r="J1948" s="16">
        <v>729.39</v>
      </c>
      <c r="K1948" s="19">
        <f t="shared" si="150"/>
        <v>55090.474700000021</v>
      </c>
      <c r="L1948" s="22">
        <f t="shared" si="151"/>
        <v>1020.1939759259263</v>
      </c>
      <c r="M1948" s="22">
        <f t="shared" si="152"/>
        <v>15</v>
      </c>
      <c r="N1948" s="22" t="str">
        <f t="shared" si="153"/>
        <v>Low Value</v>
      </c>
      <c r="O1948" s="22" t="str">
        <f t="shared" si="154"/>
        <v>Nov-2024</v>
      </c>
      <c r="P1948" s="22" t="s">
        <v>1568</v>
      </c>
      <c r="Q1948" s="22" t="s">
        <v>1569</v>
      </c>
      <c r="R1948" s="22" t="s">
        <v>1170</v>
      </c>
      <c r="S1948" s="22"/>
      <c r="T1948" s="22"/>
    </row>
    <row r="1949" spans="1:20">
      <c r="A1949" t="s">
        <v>3886</v>
      </c>
      <c r="B1949" s="8">
        <v>45614</v>
      </c>
      <c r="C1949" t="s">
        <v>738</v>
      </c>
      <c r="D1949" t="s">
        <v>1731</v>
      </c>
      <c r="E1949" t="s">
        <v>1899</v>
      </c>
      <c r="F1949">
        <v>2</v>
      </c>
      <c r="G1949" s="10">
        <v>410.63</v>
      </c>
      <c r="H1949" s="13">
        <v>0.28000000000000003</v>
      </c>
      <c r="I1949" t="s">
        <v>1936</v>
      </c>
      <c r="J1949" s="16">
        <v>591.30719999999997</v>
      </c>
      <c r="K1949" s="19">
        <f t="shared" si="150"/>
        <v>54361.084700000021</v>
      </c>
      <c r="L1949" s="22">
        <f t="shared" si="151"/>
        <v>1025.6808433962269</v>
      </c>
      <c r="M1949" s="22">
        <f t="shared" si="152"/>
        <v>15</v>
      </c>
      <c r="N1949" s="22" t="str">
        <f t="shared" si="153"/>
        <v>Low Value</v>
      </c>
      <c r="O1949" s="22" t="str">
        <f t="shared" si="154"/>
        <v>Nov-2024</v>
      </c>
      <c r="P1949" s="22" t="s">
        <v>1732</v>
      </c>
      <c r="Q1949" s="22" t="s">
        <v>1555</v>
      </c>
      <c r="R1949" s="22" t="s">
        <v>739</v>
      </c>
      <c r="S1949" s="22"/>
      <c r="T1949" s="22"/>
    </row>
    <row r="1950" spans="1:20">
      <c r="A1950" t="s">
        <v>3887</v>
      </c>
      <c r="B1950" s="8">
        <v>45293</v>
      </c>
      <c r="C1950" t="s">
        <v>1310</v>
      </c>
      <c r="D1950" t="s">
        <v>1837</v>
      </c>
      <c r="E1950" t="s">
        <v>1896</v>
      </c>
      <c r="F1950">
        <v>4</v>
      </c>
      <c r="G1950" s="10">
        <v>101.25</v>
      </c>
      <c r="H1950" s="13">
        <v>0.16</v>
      </c>
      <c r="I1950" t="s">
        <v>1933</v>
      </c>
      <c r="J1950" s="16">
        <v>340.2</v>
      </c>
      <c r="K1950" s="19">
        <f t="shared" si="150"/>
        <v>53769.777500000026</v>
      </c>
      <c r="L1950" s="22">
        <f t="shared" si="151"/>
        <v>1034.0341826923081</v>
      </c>
      <c r="M1950" s="22">
        <f t="shared" si="152"/>
        <v>15</v>
      </c>
      <c r="N1950" s="22" t="str">
        <f t="shared" si="153"/>
        <v>Low Value</v>
      </c>
      <c r="O1950" s="22" t="str">
        <f t="shared" si="154"/>
        <v>Jan-2024</v>
      </c>
      <c r="P1950" s="22" t="s">
        <v>1838</v>
      </c>
      <c r="Q1950" s="22" t="s">
        <v>1555</v>
      </c>
      <c r="R1950" s="22" t="s">
        <v>1311</v>
      </c>
      <c r="S1950" s="22"/>
      <c r="T1950" s="22"/>
    </row>
    <row r="1951" spans="1:20">
      <c r="A1951" t="s">
        <v>3888</v>
      </c>
      <c r="B1951" s="8">
        <v>45301</v>
      </c>
      <c r="C1951" t="s">
        <v>731</v>
      </c>
      <c r="D1951" t="s">
        <v>1558</v>
      </c>
      <c r="E1951" t="s">
        <v>1914</v>
      </c>
      <c r="F1951">
        <v>4</v>
      </c>
      <c r="G1951" s="10">
        <v>716.39</v>
      </c>
      <c r="H1951" s="13">
        <v>0.03</v>
      </c>
      <c r="I1951" t="s">
        <v>1933</v>
      </c>
      <c r="J1951" s="16">
        <v>2779.5931999999998</v>
      </c>
      <c r="K1951" s="19">
        <f t="shared" si="150"/>
        <v>53429.577500000029</v>
      </c>
      <c r="L1951" s="22">
        <f t="shared" si="151"/>
        <v>1047.6387745098045</v>
      </c>
      <c r="M1951" s="22">
        <f t="shared" si="152"/>
        <v>14</v>
      </c>
      <c r="N1951" s="22" t="str">
        <f t="shared" si="153"/>
        <v>High Value</v>
      </c>
      <c r="O1951" s="22" t="str">
        <f t="shared" si="154"/>
        <v>Jan-2024</v>
      </c>
      <c r="P1951" s="22" t="s">
        <v>1559</v>
      </c>
      <c r="Q1951" s="22" t="s">
        <v>1560</v>
      </c>
      <c r="R1951" s="22" t="s">
        <v>732</v>
      </c>
      <c r="S1951" s="22"/>
      <c r="T1951" s="22"/>
    </row>
    <row r="1952" spans="1:20">
      <c r="A1952" t="s">
        <v>3889</v>
      </c>
      <c r="B1952" s="8">
        <v>45311</v>
      </c>
      <c r="C1952" t="s">
        <v>333</v>
      </c>
      <c r="D1952" t="s">
        <v>1774</v>
      </c>
      <c r="E1952" t="s">
        <v>1864</v>
      </c>
      <c r="F1952">
        <v>1</v>
      </c>
      <c r="G1952" s="10">
        <v>721.74</v>
      </c>
      <c r="H1952" s="13">
        <v>0.24</v>
      </c>
      <c r="I1952" t="s">
        <v>1933</v>
      </c>
      <c r="J1952" s="16">
        <v>548.52240000000006</v>
      </c>
      <c r="K1952" s="19">
        <f t="shared" si="150"/>
        <v>50649.984300000026</v>
      </c>
      <c r="L1952" s="22">
        <f t="shared" si="151"/>
        <v>1012.9996860000006</v>
      </c>
      <c r="M1952" s="22">
        <f t="shared" si="152"/>
        <v>13</v>
      </c>
      <c r="N1952" s="22" t="str">
        <f t="shared" si="153"/>
        <v>Low Value</v>
      </c>
      <c r="O1952" s="22" t="str">
        <f t="shared" si="154"/>
        <v>Jan-2024</v>
      </c>
      <c r="P1952" s="22" t="s">
        <v>1775</v>
      </c>
      <c r="Q1952" s="22" t="s">
        <v>1569</v>
      </c>
      <c r="R1952" s="22" t="s">
        <v>334</v>
      </c>
      <c r="S1952" s="22"/>
      <c r="T1952" s="22"/>
    </row>
    <row r="1953" spans="1:20">
      <c r="A1953" t="s">
        <v>3890</v>
      </c>
      <c r="B1953" s="8">
        <v>45702</v>
      </c>
      <c r="C1953" t="s">
        <v>202</v>
      </c>
      <c r="D1953" t="s">
        <v>1740</v>
      </c>
      <c r="E1953" t="s">
        <v>1899</v>
      </c>
      <c r="F1953">
        <v>2</v>
      </c>
      <c r="G1953" s="10">
        <v>527.91</v>
      </c>
      <c r="H1953" s="13">
        <v>0.02</v>
      </c>
      <c r="I1953" t="s">
        <v>1931</v>
      </c>
      <c r="J1953" s="16">
        <v>1034.7036000000001</v>
      </c>
      <c r="K1953" s="19">
        <f t="shared" si="150"/>
        <v>50101.461900000024</v>
      </c>
      <c r="L1953" s="22">
        <f t="shared" si="151"/>
        <v>1022.4788142857147</v>
      </c>
      <c r="M1953" s="22">
        <f t="shared" si="152"/>
        <v>12</v>
      </c>
      <c r="N1953" s="22" t="str">
        <f t="shared" si="153"/>
        <v>High Value</v>
      </c>
      <c r="O1953" s="22" t="str">
        <f t="shared" si="154"/>
        <v>Feb-2025</v>
      </c>
      <c r="P1953" s="22" t="s">
        <v>1741</v>
      </c>
      <c r="Q1953" s="22" t="s">
        <v>1531</v>
      </c>
      <c r="R1953" s="22" t="s">
        <v>203</v>
      </c>
      <c r="S1953" s="22"/>
      <c r="T1953" s="22"/>
    </row>
    <row r="1954" spans="1:20">
      <c r="A1954" t="s">
        <v>3891</v>
      </c>
      <c r="B1954" s="8">
        <v>45525</v>
      </c>
      <c r="C1954" t="s">
        <v>1002</v>
      </c>
      <c r="D1954" t="s">
        <v>1710</v>
      </c>
      <c r="E1954" t="s">
        <v>1904</v>
      </c>
      <c r="F1954">
        <v>2</v>
      </c>
      <c r="G1954" s="10">
        <v>945.92</v>
      </c>
      <c r="H1954" s="13">
        <v>0.19</v>
      </c>
      <c r="I1954" t="s">
        <v>1936</v>
      </c>
      <c r="J1954" s="16">
        <v>1532.3904</v>
      </c>
      <c r="K1954" s="19">
        <f t="shared" si="150"/>
        <v>49066.758300000016</v>
      </c>
      <c r="L1954" s="22">
        <f t="shared" si="151"/>
        <v>1022.2241312500004</v>
      </c>
      <c r="M1954" s="22">
        <f t="shared" si="152"/>
        <v>12</v>
      </c>
      <c r="N1954" s="22" t="str">
        <f t="shared" si="153"/>
        <v>High Value</v>
      </c>
      <c r="O1954" s="22" t="str">
        <f t="shared" si="154"/>
        <v>Aug-2024</v>
      </c>
      <c r="P1954" s="22" t="s">
        <v>1711</v>
      </c>
      <c r="Q1954" s="22" t="s">
        <v>1569</v>
      </c>
      <c r="R1954" s="22" t="s">
        <v>1003</v>
      </c>
      <c r="S1954" s="22"/>
      <c r="T1954" s="22"/>
    </row>
    <row r="1955" spans="1:20">
      <c r="A1955" t="s">
        <v>3892</v>
      </c>
      <c r="B1955" s="8">
        <v>45780</v>
      </c>
      <c r="C1955" t="s">
        <v>292</v>
      </c>
      <c r="D1955" t="s">
        <v>1722</v>
      </c>
      <c r="E1955" t="s">
        <v>1914</v>
      </c>
      <c r="F1955">
        <v>2</v>
      </c>
      <c r="G1955" s="10">
        <v>981.35</v>
      </c>
      <c r="H1955" s="13">
        <v>0.16</v>
      </c>
      <c r="I1955" t="s">
        <v>1933</v>
      </c>
      <c r="J1955" s="16">
        <v>1648.6679999999999</v>
      </c>
      <c r="K1955" s="19">
        <f t="shared" si="150"/>
        <v>47534.367900000012</v>
      </c>
      <c r="L1955" s="22">
        <f t="shared" si="151"/>
        <v>1011.3695297872343</v>
      </c>
      <c r="M1955" s="22">
        <f t="shared" si="152"/>
        <v>12</v>
      </c>
      <c r="N1955" s="22" t="str">
        <f t="shared" si="153"/>
        <v>High Value</v>
      </c>
      <c r="O1955" s="22" t="str">
        <f t="shared" si="154"/>
        <v>May-2025</v>
      </c>
      <c r="P1955" s="22" t="s">
        <v>1723</v>
      </c>
      <c r="Q1955" s="22" t="s">
        <v>1560</v>
      </c>
      <c r="R1955" s="22" t="s">
        <v>293</v>
      </c>
      <c r="S1955" s="22"/>
      <c r="T1955" s="22"/>
    </row>
    <row r="1956" spans="1:20">
      <c r="A1956" t="s">
        <v>3893</v>
      </c>
      <c r="B1956" s="8">
        <v>45819</v>
      </c>
      <c r="C1956" t="s">
        <v>722</v>
      </c>
      <c r="D1956" t="s">
        <v>1731</v>
      </c>
      <c r="E1956" t="s">
        <v>1873</v>
      </c>
      <c r="F1956">
        <v>1</v>
      </c>
      <c r="G1956" s="10">
        <v>913.99</v>
      </c>
      <c r="H1956" s="13">
        <v>0.14000000000000001</v>
      </c>
      <c r="I1956" t="s">
        <v>1931</v>
      </c>
      <c r="J1956" s="16">
        <v>786.03139999999996</v>
      </c>
      <c r="K1956" s="19">
        <f t="shared" si="150"/>
        <v>45885.699900000007</v>
      </c>
      <c r="L1956" s="22">
        <f t="shared" si="151"/>
        <v>997.51521521739141</v>
      </c>
      <c r="M1956" s="22">
        <f t="shared" si="152"/>
        <v>11</v>
      </c>
      <c r="N1956" s="22" t="str">
        <f t="shared" si="153"/>
        <v>Low Value</v>
      </c>
      <c r="O1956" s="22" t="str">
        <f t="shared" si="154"/>
        <v>Jun-2025</v>
      </c>
      <c r="P1956" s="22" t="s">
        <v>1732</v>
      </c>
      <c r="Q1956" s="22" t="s">
        <v>1555</v>
      </c>
      <c r="R1956" s="22" t="s">
        <v>723</v>
      </c>
      <c r="S1956" s="22"/>
      <c r="T1956" s="22"/>
    </row>
    <row r="1957" spans="1:20">
      <c r="A1957" t="s">
        <v>3894</v>
      </c>
      <c r="B1957" s="8">
        <v>45863</v>
      </c>
      <c r="C1957" t="s">
        <v>55</v>
      </c>
      <c r="D1957" t="s">
        <v>1752</v>
      </c>
      <c r="E1957" t="s">
        <v>1889</v>
      </c>
      <c r="F1957">
        <v>4</v>
      </c>
      <c r="G1957" s="10">
        <v>270.69</v>
      </c>
      <c r="H1957" s="13">
        <v>0.18</v>
      </c>
      <c r="I1957" t="s">
        <v>1933</v>
      </c>
      <c r="J1957" s="16">
        <v>887.86320000000001</v>
      </c>
      <c r="K1957" s="19">
        <f t="shared" si="150"/>
        <v>45099.668500000007</v>
      </c>
      <c r="L1957" s="22">
        <f t="shared" si="151"/>
        <v>1002.2148555555557</v>
      </c>
      <c r="M1957" s="22">
        <f t="shared" si="152"/>
        <v>11</v>
      </c>
      <c r="N1957" s="22" t="str">
        <f t="shared" si="153"/>
        <v>Low Value</v>
      </c>
      <c r="O1957" s="22" t="str">
        <f t="shared" si="154"/>
        <v>Jul-2025</v>
      </c>
      <c r="P1957" s="22" t="s">
        <v>1753</v>
      </c>
      <c r="Q1957" s="22" t="s">
        <v>1555</v>
      </c>
      <c r="R1957" s="22" t="s">
        <v>56</v>
      </c>
      <c r="S1957" s="22"/>
      <c r="T1957" s="22"/>
    </row>
    <row r="1958" spans="1:20">
      <c r="A1958" t="s">
        <v>3895</v>
      </c>
      <c r="B1958" s="8">
        <v>45687</v>
      </c>
      <c r="C1958" t="s">
        <v>536</v>
      </c>
      <c r="D1958" t="s">
        <v>1786</v>
      </c>
      <c r="E1958" t="s">
        <v>1883</v>
      </c>
      <c r="F1958">
        <v>3</v>
      </c>
      <c r="G1958" s="10">
        <v>998.58</v>
      </c>
      <c r="H1958" s="13">
        <v>0.02</v>
      </c>
      <c r="I1958" t="s">
        <v>1931</v>
      </c>
      <c r="J1958" s="16">
        <v>2935.8252000000002</v>
      </c>
      <c r="K1958" s="19">
        <f t="shared" si="150"/>
        <v>44211.805300000007</v>
      </c>
      <c r="L1958" s="22">
        <f t="shared" si="151"/>
        <v>1004.813756818182</v>
      </c>
      <c r="M1958" s="22">
        <f t="shared" si="152"/>
        <v>10</v>
      </c>
      <c r="N1958" s="22" t="str">
        <f t="shared" si="153"/>
        <v>High Value</v>
      </c>
      <c r="O1958" s="22" t="str">
        <f t="shared" si="154"/>
        <v>Jan-2025</v>
      </c>
      <c r="P1958" s="22" t="s">
        <v>1787</v>
      </c>
      <c r="Q1958" s="22" t="s">
        <v>1531</v>
      </c>
      <c r="R1958" s="22" t="s">
        <v>537</v>
      </c>
      <c r="S1958" s="22"/>
      <c r="T1958" s="22"/>
    </row>
    <row r="1959" spans="1:20">
      <c r="A1959" t="s">
        <v>3896</v>
      </c>
      <c r="B1959" s="8">
        <v>45806</v>
      </c>
      <c r="C1959" t="s">
        <v>1399</v>
      </c>
      <c r="D1959" t="s">
        <v>1661</v>
      </c>
      <c r="E1959" t="s">
        <v>1893</v>
      </c>
      <c r="F1959">
        <v>3</v>
      </c>
      <c r="G1959" s="10">
        <v>765.12</v>
      </c>
      <c r="H1959" s="13">
        <v>0.18</v>
      </c>
      <c r="I1959" t="s">
        <v>1931</v>
      </c>
      <c r="J1959" s="16">
        <v>1882.1952000000001</v>
      </c>
      <c r="K1959" s="19">
        <f t="shared" si="150"/>
        <v>41275.980100000008</v>
      </c>
      <c r="L1959" s="22">
        <f t="shared" si="151"/>
        <v>959.90651395348857</v>
      </c>
      <c r="M1959" s="22">
        <f t="shared" si="152"/>
        <v>10</v>
      </c>
      <c r="N1959" s="22" t="str">
        <f t="shared" si="153"/>
        <v>High Value</v>
      </c>
      <c r="O1959" s="22" t="str">
        <f t="shared" si="154"/>
        <v>May-2025</v>
      </c>
      <c r="P1959" s="22" t="s">
        <v>1662</v>
      </c>
      <c r="Q1959" s="22" t="s">
        <v>1536</v>
      </c>
      <c r="R1959" s="22" t="s">
        <v>1400</v>
      </c>
      <c r="S1959" s="22"/>
      <c r="T1959" s="22"/>
    </row>
    <row r="1960" spans="1:20">
      <c r="A1960" t="s">
        <v>3897</v>
      </c>
      <c r="B1960" s="8">
        <v>45216</v>
      </c>
      <c r="C1960" t="s">
        <v>261</v>
      </c>
      <c r="D1960" t="s">
        <v>1746</v>
      </c>
      <c r="E1960" t="s">
        <v>1920</v>
      </c>
      <c r="F1960">
        <v>3</v>
      </c>
      <c r="G1960" s="10">
        <v>449.99</v>
      </c>
      <c r="H1960" s="13">
        <v>0.17</v>
      </c>
      <c r="I1960" t="s">
        <v>1936</v>
      </c>
      <c r="J1960" s="16">
        <v>1120.4751000000001</v>
      </c>
      <c r="K1960" s="19">
        <f t="shared" si="150"/>
        <v>39393.784899999999</v>
      </c>
      <c r="L1960" s="22">
        <f t="shared" si="151"/>
        <v>937.94725952380952</v>
      </c>
      <c r="M1960" s="22">
        <f t="shared" si="152"/>
        <v>10</v>
      </c>
      <c r="N1960" s="22" t="str">
        <f t="shared" si="153"/>
        <v>High Value</v>
      </c>
      <c r="O1960" s="22" t="str">
        <f t="shared" si="154"/>
        <v>Oct-2023</v>
      </c>
      <c r="P1960" s="22" t="s">
        <v>1747</v>
      </c>
      <c r="Q1960" s="22" t="s">
        <v>1555</v>
      </c>
      <c r="R1960" s="22" t="s">
        <v>262</v>
      </c>
      <c r="S1960" s="22"/>
      <c r="T1960" s="22"/>
    </row>
    <row r="1961" spans="1:20">
      <c r="A1961" t="s">
        <v>3898</v>
      </c>
      <c r="B1961" s="8">
        <v>45639</v>
      </c>
      <c r="C1961" t="s">
        <v>807</v>
      </c>
      <c r="D1961" t="s">
        <v>1681</v>
      </c>
      <c r="E1961" t="s">
        <v>1899</v>
      </c>
      <c r="F1961">
        <v>2</v>
      </c>
      <c r="G1961" s="10">
        <v>249.02</v>
      </c>
      <c r="H1961" s="13">
        <v>0.01</v>
      </c>
      <c r="I1961" t="s">
        <v>1936</v>
      </c>
      <c r="J1961" s="16">
        <v>493.05959999999999</v>
      </c>
      <c r="K1961" s="19">
        <f t="shared" si="150"/>
        <v>38273.309800000003</v>
      </c>
      <c r="L1961" s="22">
        <f t="shared" si="151"/>
        <v>933.49536097560986</v>
      </c>
      <c r="M1961" s="22">
        <f t="shared" si="152"/>
        <v>10</v>
      </c>
      <c r="N1961" s="22" t="str">
        <f t="shared" si="153"/>
        <v>Low Value</v>
      </c>
      <c r="O1961" s="22" t="str">
        <f t="shared" si="154"/>
        <v>Dec-2024</v>
      </c>
      <c r="P1961" s="22" t="s">
        <v>1682</v>
      </c>
      <c r="Q1961" s="22" t="s">
        <v>1531</v>
      </c>
      <c r="R1961" s="22" t="s">
        <v>808</v>
      </c>
      <c r="S1961" s="22"/>
      <c r="T1961" s="22"/>
    </row>
    <row r="1962" spans="1:20">
      <c r="A1962" t="s">
        <v>3899</v>
      </c>
      <c r="B1962" s="8">
        <v>45454</v>
      </c>
      <c r="C1962" t="s">
        <v>465</v>
      </c>
      <c r="D1962" t="s">
        <v>1725</v>
      </c>
      <c r="E1962" t="s">
        <v>1920</v>
      </c>
      <c r="F1962">
        <v>3</v>
      </c>
      <c r="G1962" s="10">
        <v>223.64</v>
      </c>
      <c r="H1962" s="13">
        <v>0.05</v>
      </c>
      <c r="I1962" t="s">
        <v>1931</v>
      </c>
      <c r="J1962" s="16">
        <v>637.37399999999991</v>
      </c>
      <c r="K1962" s="19">
        <f t="shared" si="150"/>
        <v>37780.250200000002</v>
      </c>
      <c r="L1962" s="22">
        <f t="shared" si="151"/>
        <v>944.50625500000001</v>
      </c>
      <c r="M1962" s="22">
        <f t="shared" si="152"/>
        <v>10</v>
      </c>
      <c r="N1962" s="22" t="str">
        <f t="shared" si="153"/>
        <v>Low Value</v>
      </c>
      <c r="O1962" s="22" t="str">
        <f t="shared" si="154"/>
        <v>Jun-2024</v>
      </c>
      <c r="P1962" s="22" t="s">
        <v>1726</v>
      </c>
      <c r="Q1962" s="22" t="s">
        <v>1569</v>
      </c>
      <c r="R1962" s="22" t="s">
        <v>466</v>
      </c>
      <c r="S1962" s="22"/>
      <c r="T1962" s="22"/>
    </row>
    <row r="1963" spans="1:20">
      <c r="A1963" t="s">
        <v>3900</v>
      </c>
      <c r="B1963" s="8">
        <v>45934</v>
      </c>
      <c r="C1963" t="s">
        <v>370</v>
      </c>
      <c r="D1963" t="s">
        <v>1620</v>
      </c>
      <c r="E1963" t="s">
        <v>1876</v>
      </c>
      <c r="F1963">
        <v>2</v>
      </c>
      <c r="G1963" s="10">
        <v>92.94</v>
      </c>
      <c r="H1963" s="13">
        <v>0.12</v>
      </c>
      <c r="I1963" t="s">
        <v>1931</v>
      </c>
      <c r="J1963" s="16">
        <v>163.5744</v>
      </c>
      <c r="K1963" s="19">
        <f t="shared" si="150"/>
        <v>37142.876199999999</v>
      </c>
      <c r="L1963" s="22">
        <f t="shared" si="151"/>
        <v>952.38144102564104</v>
      </c>
      <c r="M1963" s="22">
        <f t="shared" si="152"/>
        <v>10</v>
      </c>
      <c r="N1963" s="22" t="str">
        <f t="shared" si="153"/>
        <v>Low Value</v>
      </c>
      <c r="O1963" s="22" t="str">
        <f t="shared" si="154"/>
        <v>Oct-2025</v>
      </c>
      <c r="P1963" s="22" t="s">
        <v>1621</v>
      </c>
      <c r="Q1963" s="22" t="s">
        <v>1569</v>
      </c>
      <c r="R1963" s="22" t="s">
        <v>371</v>
      </c>
      <c r="S1963" s="22"/>
      <c r="T1963" s="22"/>
    </row>
    <row r="1964" spans="1:20">
      <c r="A1964" t="s">
        <v>3901</v>
      </c>
      <c r="B1964" s="8">
        <v>45401</v>
      </c>
      <c r="C1964" t="s">
        <v>1125</v>
      </c>
      <c r="D1964" t="s">
        <v>1970</v>
      </c>
      <c r="E1964" t="s">
        <v>1868</v>
      </c>
      <c r="F1964">
        <v>4</v>
      </c>
      <c r="G1964" s="10">
        <v>268.3</v>
      </c>
      <c r="H1964" s="13">
        <v>0.02</v>
      </c>
      <c r="I1964" t="s">
        <v>1936</v>
      </c>
      <c r="J1964" s="16">
        <v>1051.7360000000001</v>
      </c>
      <c r="K1964" s="19">
        <f t="shared" si="150"/>
        <v>36979.301800000001</v>
      </c>
      <c r="L1964" s="22">
        <f t="shared" si="151"/>
        <v>973.13952105263161</v>
      </c>
      <c r="M1964" s="22">
        <f t="shared" si="152"/>
        <v>10</v>
      </c>
      <c r="N1964" s="22" t="str">
        <f t="shared" si="153"/>
        <v>High Value</v>
      </c>
      <c r="O1964" s="22" t="str">
        <f t="shared" si="154"/>
        <v>Apr-2024</v>
      </c>
      <c r="P1964" s="22" t="s">
        <v>1594</v>
      </c>
      <c r="Q1964" s="22" t="s">
        <v>1555</v>
      </c>
      <c r="R1964" s="22" t="s">
        <v>1126</v>
      </c>
      <c r="S1964" s="22"/>
      <c r="T1964" s="22"/>
    </row>
    <row r="1965" spans="1:20">
      <c r="A1965" t="s">
        <v>3902</v>
      </c>
      <c r="B1965" s="8">
        <v>45770</v>
      </c>
      <c r="C1965" t="s">
        <v>1359</v>
      </c>
      <c r="D1965" t="s">
        <v>1731</v>
      </c>
      <c r="E1965" t="s">
        <v>1920</v>
      </c>
      <c r="F1965">
        <v>4</v>
      </c>
      <c r="G1965" s="10">
        <v>835.61</v>
      </c>
      <c r="H1965" s="13">
        <v>0.03</v>
      </c>
      <c r="I1965" t="s">
        <v>1931</v>
      </c>
      <c r="J1965" s="16">
        <v>3242.1668</v>
      </c>
      <c r="K1965" s="19">
        <f t="shared" si="150"/>
        <v>35927.565799999997</v>
      </c>
      <c r="L1965" s="22">
        <f t="shared" si="151"/>
        <v>971.01529189189182</v>
      </c>
      <c r="M1965" s="22">
        <f t="shared" si="152"/>
        <v>10</v>
      </c>
      <c r="N1965" s="22" t="str">
        <f t="shared" si="153"/>
        <v>High Value</v>
      </c>
      <c r="O1965" s="22" t="str">
        <f t="shared" si="154"/>
        <v>Apr-2025</v>
      </c>
      <c r="P1965" s="22" t="s">
        <v>1732</v>
      </c>
      <c r="Q1965" s="22" t="s">
        <v>1555</v>
      </c>
      <c r="R1965" s="22" t="s">
        <v>1360</v>
      </c>
      <c r="S1965" s="22"/>
      <c r="T1965" s="22"/>
    </row>
    <row r="1966" spans="1:20">
      <c r="A1966" t="s">
        <v>3903</v>
      </c>
      <c r="B1966" s="8">
        <v>45405</v>
      </c>
      <c r="C1966" t="s">
        <v>1187</v>
      </c>
      <c r="D1966" t="s">
        <v>1758</v>
      </c>
      <c r="E1966" t="s">
        <v>1880</v>
      </c>
      <c r="F1966">
        <v>3</v>
      </c>
      <c r="G1966" s="10">
        <v>120.97</v>
      </c>
      <c r="H1966" s="13">
        <v>0.11</v>
      </c>
      <c r="I1966" t="s">
        <v>1931</v>
      </c>
      <c r="J1966" s="16">
        <v>322.98989999999998</v>
      </c>
      <c r="K1966" s="19">
        <f t="shared" si="150"/>
        <v>32685.399000000001</v>
      </c>
      <c r="L1966" s="22">
        <f t="shared" si="151"/>
        <v>907.92775000000006</v>
      </c>
      <c r="M1966" s="22">
        <f t="shared" si="152"/>
        <v>10</v>
      </c>
      <c r="N1966" s="22" t="str">
        <f t="shared" si="153"/>
        <v>Low Value</v>
      </c>
      <c r="O1966" s="22" t="str">
        <f t="shared" si="154"/>
        <v>Apr-2024</v>
      </c>
      <c r="P1966" s="22" t="s">
        <v>1759</v>
      </c>
      <c r="Q1966" s="22" t="s">
        <v>1560</v>
      </c>
      <c r="R1966" s="22" t="s">
        <v>1188</v>
      </c>
      <c r="S1966" s="22"/>
      <c r="T1966" s="22"/>
    </row>
    <row r="1967" spans="1:20">
      <c r="A1967" t="s">
        <v>3904</v>
      </c>
      <c r="B1967" s="8">
        <v>45424</v>
      </c>
      <c r="C1967" t="s">
        <v>124</v>
      </c>
      <c r="D1967" t="s">
        <v>1672</v>
      </c>
      <c r="E1967" t="s">
        <v>1893</v>
      </c>
      <c r="F1967">
        <v>2</v>
      </c>
      <c r="G1967" s="10">
        <v>26.36</v>
      </c>
      <c r="H1967" s="13">
        <v>0.03</v>
      </c>
      <c r="I1967" t="s">
        <v>1936</v>
      </c>
      <c r="J1967" s="16">
        <v>51.138399999999997</v>
      </c>
      <c r="K1967" s="19">
        <f t="shared" si="150"/>
        <v>32362.409100000001</v>
      </c>
      <c r="L1967" s="22">
        <f t="shared" si="151"/>
        <v>924.64026000000001</v>
      </c>
      <c r="M1967" s="22">
        <f t="shared" si="152"/>
        <v>10</v>
      </c>
      <c r="N1967" s="22" t="str">
        <f t="shared" si="153"/>
        <v>Low Value</v>
      </c>
      <c r="O1967" s="22" t="str">
        <f t="shared" si="154"/>
        <v>May-2024</v>
      </c>
      <c r="P1967" s="22" t="s">
        <v>1673</v>
      </c>
      <c r="Q1967" s="22" t="s">
        <v>1531</v>
      </c>
      <c r="R1967" s="22" t="s">
        <v>125</v>
      </c>
      <c r="S1967" s="22"/>
      <c r="T1967" s="22"/>
    </row>
    <row r="1968" spans="1:20">
      <c r="A1968" t="s">
        <v>3905</v>
      </c>
      <c r="B1968" s="8">
        <v>45881</v>
      </c>
      <c r="C1968" t="s">
        <v>134</v>
      </c>
      <c r="D1968" t="s">
        <v>1786</v>
      </c>
      <c r="E1968" t="s">
        <v>1883</v>
      </c>
      <c r="F1968">
        <v>1</v>
      </c>
      <c r="G1968" s="10">
        <v>918.87</v>
      </c>
      <c r="H1968" s="13">
        <v>0.11</v>
      </c>
      <c r="I1968" t="s">
        <v>1933</v>
      </c>
      <c r="J1968" s="16">
        <v>817.79430000000002</v>
      </c>
      <c r="K1968" s="19">
        <f t="shared" si="150"/>
        <v>32311.270700000005</v>
      </c>
      <c r="L1968" s="22">
        <f t="shared" si="151"/>
        <v>950.33149117647076</v>
      </c>
      <c r="M1968" s="22">
        <f t="shared" si="152"/>
        <v>10</v>
      </c>
      <c r="N1968" s="22" t="str">
        <f t="shared" si="153"/>
        <v>Low Value</v>
      </c>
      <c r="O1968" s="22" t="str">
        <f t="shared" si="154"/>
        <v>Aug-2025</v>
      </c>
      <c r="P1968" s="22" t="s">
        <v>1787</v>
      </c>
      <c r="Q1968" s="22" t="s">
        <v>1531</v>
      </c>
      <c r="R1968" s="22" t="s">
        <v>3943</v>
      </c>
      <c r="S1968" s="22"/>
      <c r="T1968" s="22"/>
    </row>
    <row r="1969" spans="1:20">
      <c r="A1969" t="s">
        <v>3906</v>
      </c>
      <c r="B1969" s="8">
        <v>45794</v>
      </c>
      <c r="C1969" t="s">
        <v>127</v>
      </c>
      <c r="D1969" t="s">
        <v>1755</v>
      </c>
      <c r="E1969" t="s">
        <v>1899</v>
      </c>
      <c r="F1969">
        <v>2</v>
      </c>
      <c r="G1969" s="10">
        <v>924.73</v>
      </c>
      <c r="H1969" s="13">
        <v>0.28999999999999998</v>
      </c>
      <c r="I1969" t="s">
        <v>1933</v>
      </c>
      <c r="J1969" s="16">
        <v>1313.1166000000001</v>
      </c>
      <c r="K1969" s="19">
        <f t="shared" si="150"/>
        <v>31493.476400000003</v>
      </c>
      <c r="L1969" s="22">
        <f t="shared" si="151"/>
        <v>954.34776969696975</v>
      </c>
      <c r="M1969" s="22">
        <f t="shared" si="152"/>
        <v>9</v>
      </c>
      <c r="N1969" s="22" t="str">
        <f t="shared" si="153"/>
        <v>High Value</v>
      </c>
      <c r="O1969" s="22" t="str">
        <f t="shared" si="154"/>
        <v>May-2025</v>
      </c>
      <c r="P1969" s="22" t="s">
        <v>1756</v>
      </c>
      <c r="Q1969" s="22" t="s">
        <v>1531</v>
      </c>
      <c r="R1969" s="22" t="s">
        <v>128</v>
      </c>
      <c r="S1969" s="22"/>
      <c r="T1969" s="22"/>
    </row>
    <row r="1970" spans="1:20">
      <c r="A1970" t="s">
        <v>3907</v>
      </c>
      <c r="B1970" s="8">
        <v>45665</v>
      </c>
      <c r="C1970" t="s">
        <v>93</v>
      </c>
      <c r="D1970" t="s">
        <v>1579</v>
      </c>
      <c r="E1970" t="s">
        <v>1896</v>
      </c>
      <c r="F1970">
        <v>3</v>
      </c>
      <c r="G1970" s="10">
        <v>195.31</v>
      </c>
      <c r="H1970" s="13">
        <v>0.13</v>
      </c>
      <c r="I1970" t="s">
        <v>1936</v>
      </c>
      <c r="J1970" s="16">
        <v>509.75909999999999</v>
      </c>
      <c r="K1970" s="19">
        <f t="shared" si="150"/>
        <v>30180.359800000002</v>
      </c>
      <c r="L1970" s="22">
        <f t="shared" si="151"/>
        <v>943.13624375000006</v>
      </c>
      <c r="M1970" s="22">
        <f t="shared" si="152"/>
        <v>8</v>
      </c>
      <c r="N1970" s="22" t="str">
        <f t="shared" si="153"/>
        <v>Low Value</v>
      </c>
      <c r="O1970" s="22" t="str">
        <f t="shared" si="154"/>
        <v>Jan-2025</v>
      </c>
      <c r="P1970" s="22" t="s">
        <v>1580</v>
      </c>
      <c r="Q1970" s="22" t="s">
        <v>1555</v>
      </c>
      <c r="R1970" s="22" t="s">
        <v>94</v>
      </c>
      <c r="S1970" s="22"/>
      <c r="T1970" s="22"/>
    </row>
    <row r="1971" spans="1:20">
      <c r="A1971" t="s">
        <v>3908</v>
      </c>
      <c r="B1971" s="8">
        <v>45793</v>
      </c>
      <c r="C1971" t="s">
        <v>479</v>
      </c>
      <c r="D1971" t="s">
        <v>1665</v>
      </c>
      <c r="E1971" t="s">
        <v>1889</v>
      </c>
      <c r="F1971">
        <v>1</v>
      </c>
      <c r="G1971" s="10">
        <v>91.38</v>
      </c>
      <c r="H1971" s="13">
        <v>0.14000000000000001</v>
      </c>
      <c r="I1971" t="s">
        <v>1931</v>
      </c>
      <c r="J1971" s="16">
        <v>78.586799999999997</v>
      </c>
      <c r="K1971" s="19">
        <f t="shared" si="150"/>
        <v>29670.600699999999</v>
      </c>
      <c r="L1971" s="22">
        <f t="shared" si="151"/>
        <v>957.1161516129032</v>
      </c>
      <c r="M1971" s="22">
        <f t="shared" si="152"/>
        <v>8</v>
      </c>
      <c r="N1971" s="22" t="str">
        <f t="shared" si="153"/>
        <v>Low Value</v>
      </c>
      <c r="O1971" s="22" t="str">
        <f t="shared" si="154"/>
        <v>May-2025</v>
      </c>
      <c r="P1971" s="22" t="s">
        <v>1666</v>
      </c>
      <c r="Q1971" s="22" t="s">
        <v>1569</v>
      </c>
      <c r="R1971" s="22" t="s">
        <v>480</v>
      </c>
      <c r="S1971" s="22"/>
      <c r="T1971" s="22"/>
    </row>
    <row r="1972" spans="1:20">
      <c r="A1972" t="s">
        <v>3909</v>
      </c>
      <c r="B1972" s="8">
        <v>45563</v>
      </c>
      <c r="C1972" t="s">
        <v>1476</v>
      </c>
      <c r="D1972" t="s">
        <v>1813</v>
      </c>
      <c r="E1972" t="s">
        <v>1899</v>
      </c>
      <c r="F1972">
        <v>2</v>
      </c>
      <c r="G1972" s="10">
        <v>494.35</v>
      </c>
      <c r="H1972" s="13">
        <v>0.1</v>
      </c>
      <c r="I1972" t="s">
        <v>1931</v>
      </c>
      <c r="J1972" s="16">
        <v>889.83</v>
      </c>
      <c r="K1972" s="19">
        <f t="shared" si="150"/>
        <v>29592.013900000002</v>
      </c>
      <c r="L1972" s="22">
        <f t="shared" si="151"/>
        <v>986.40046333333339</v>
      </c>
      <c r="M1972" s="22">
        <f t="shared" si="152"/>
        <v>8</v>
      </c>
      <c r="N1972" s="22" t="str">
        <f t="shared" si="153"/>
        <v>Low Value</v>
      </c>
      <c r="O1972" s="22" t="str">
        <f t="shared" si="154"/>
        <v>Sep-2024</v>
      </c>
      <c r="P1972" s="22" t="s">
        <v>1814</v>
      </c>
      <c r="Q1972" s="22" t="s">
        <v>1560</v>
      </c>
      <c r="R1972" s="22" t="s">
        <v>1266</v>
      </c>
      <c r="S1972" s="22"/>
      <c r="T1972" s="22"/>
    </row>
    <row r="1973" spans="1:20">
      <c r="A1973" t="s">
        <v>3910</v>
      </c>
      <c r="B1973" s="8">
        <v>45577</v>
      </c>
      <c r="C1973" t="s">
        <v>815</v>
      </c>
      <c r="D1973" t="s">
        <v>1620</v>
      </c>
      <c r="E1973" t="s">
        <v>1896</v>
      </c>
      <c r="F1973">
        <v>1</v>
      </c>
      <c r="G1973" s="10">
        <v>412.2</v>
      </c>
      <c r="H1973" s="13">
        <v>0.11</v>
      </c>
      <c r="I1973" t="s">
        <v>1931</v>
      </c>
      <c r="J1973" s="16">
        <v>366.858</v>
      </c>
      <c r="K1973" s="19">
        <f t="shared" si="150"/>
        <v>28702.1839</v>
      </c>
      <c r="L1973" s="22">
        <f t="shared" si="151"/>
        <v>989.73047931034478</v>
      </c>
      <c r="M1973" s="22">
        <f t="shared" si="152"/>
        <v>8</v>
      </c>
      <c r="N1973" s="22" t="str">
        <f t="shared" si="153"/>
        <v>Low Value</v>
      </c>
      <c r="O1973" s="22" t="str">
        <f t="shared" si="154"/>
        <v>Oct-2024</v>
      </c>
      <c r="P1973" s="22" t="s">
        <v>1621</v>
      </c>
      <c r="Q1973" s="22" t="s">
        <v>1569</v>
      </c>
      <c r="R1973" s="22" t="s">
        <v>816</v>
      </c>
      <c r="S1973" s="22"/>
      <c r="T1973" s="22"/>
    </row>
    <row r="1974" spans="1:20">
      <c r="A1974" t="s">
        <v>3911</v>
      </c>
      <c r="B1974" s="8">
        <v>45466</v>
      </c>
      <c r="C1974" t="s">
        <v>1223</v>
      </c>
      <c r="D1974" t="s">
        <v>1792</v>
      </c>
      <c r="E1974" t="s">
        <v>1911</v>
      </c>
      <c r="F1974">
        <v>1</v>
      </c>
      <c r="G1974" s="10">
        <v>650.47</v>
      </c>
      <c r="H1974" s="13">
        <v>0.13</v>
      </c>
      <c r="I1974" t="s">
        <v>1933</v>
      </c>
      <c r="J1974" s="16">
        <v>565.90890000000002</v>
      </c>
      <c r="K1974" s="19">
        <f t="shared" si="150"/>
        <v>28335.325900000007</v>
      </c>
      <c r="L1974" s="22">
        <f t="shared" si="151"/>
        <v>1011.9759250000003</v>
      </c>
      <c r="M1974" s="22">
        <f t="shared" si="152"/>
        <v>8</v>
      </c>
      <c r="N1974" s="22" t="str">
        <f t="shared" si="153"/>
        <v>Low Value</v>
      </c>
      <c r="O1974" s="22" t="str">
        <f t="shared" si="154"/>
        <v>Jun-2024</v>
      </c>
      <c r="P1974" s="22" t="s">
        <v>1793</v>
      </c>
      <c r="Q1974" s="22" t="s">
        <v>1560</v>
      </c>
      <c r="R1974" s="22" t="s">
        <v>1224</v>
      </c>
      <c r="S1974" s="22"/>
      <c r="T1974" s="22"/>
    </row>
    <row r="1975" spans="1:20">
      <c r="A1975" t="s">
        <v>3912</v>
      </c>
      <c r="B1975" s="8">
        <v>45256</v>
      </c>
      <c r="C1975" t="s">
        <v>518</v>
      </c>
      <c r="D1975" t="s">
        <v>1586</v>
      </c>
      <c r="E1975" t="s">
        <v>1901</v>
      </c>
      <c r="F1975">
        <v>1</v>
      </c>
      <c r="G1975" s="10">
        <v>68.209999999999994</v>
      </c>
      <c r="H1975" s="13">
        <v>0.05</v>
      </c>
      <c r="I1975" t="s">
        <v>1933</v>
      </c>
      <c r="J1975" s="16">
        <v>64.799499999999995</v>
      </c>
      <c r="K1975" s="19">
        <f t="shared" si="150"/>
        <v>27769.417000000005</v>
      </c>
      <c r="L1975" s="22">
        <f t="shared" si="151"/>
        <v>1028.496925925926</v>
      </c>
      <c r="M1975" s="22">
        <f t="shared" si="152"/>
        <v>7</v>
      </c>
      <c r="N1975" s="22" t="str">
        <f t="shared" si="153"/>
        <v>Low Value</v>
      </c>
      <c r="O1975" s="22" t="str">
        <f t="shared" si="154"/>
        <v>Nov-2023</v>
      </c>
      <c r="P1975" s="22" t="s">
        <v>1587</v>
      </c>
      <c r="Q1975" s="22" t="s">
        <v>1560</v>
      </c>
      <c r="R1975" s="22" t="s">
        <v>519</v>
      </c>
      <c r="S1975" s="22"/>
      <c r="T1975" s="22"/>
    </row>
    <row r="1976" spans="1:20">
      <c r="A1976" t="s">
        <v>3913</v>
      </c>
      <c r="B1976" s="8">
        <v>45886</v>
      </c>
      <c r="C1976" t="s">
        <v>459</v>
      </c>
      <c r="D1976" t="s">
        <v>1713</v>
      </c>
      <c r="E1976" t="s">
        <v>1886</v>
      </c>
      <c r="F1976">
        <v>2</v>
      </c>
      <c r="G1976" s="10">
        <v>842.89</v>
      </c>
      <c r="H1976" s="13">
        <v>0.25</v>
      </c>
      <c r="I1976" t="s">
        <v>1936</v>
      </c>
      <c r="J1976" s="16">
        <v>1264.335</v>
      </c>
      <c r="K1976" s="19">
        <f t="shared" si="150"/>
        <v>27704.617500000004</v>
      </c>
      <c r="L1976" s="22">
        <f t="shared" si="151"/>
        <v>1065.5622115384617</v>
      </c>
      <c r="M1976" s="22">
        <f t="shared" si="152"/>
        <v>6</v>
      </c>
      <c r="N1976" s="22" t="str">
        <f t="shared" si="153"/>
        <v>High Value</v>
      </c>
      <c r="O1976" s="22" t="str">
        <f t="shared" si="154"/>
        <v>Aug-2025</v>
      </c>
      <c r="P1976" s="22" t="s">
        <v>1714</v>
      </c>
      <c r="Q1976" s="22" t="s">
        <v>1536</v>
      </c>
      <c r="R1976" s="22" t="s">
        <v>460</v>
      </c>
      <c r="S1976" s="22"/>
      <c r="T1976" s="22"/>
    </row>
    <row r="1977" spans="1:20">
      <c r="A1977" t="s">
        <v>3914</v>
      </c>
      <c r="B1977" s="8">
        <v>45390</v>
      </c>
      <c r="C1977" t="s">
        <v>946</v>
      </c>
      <c r="D1977" t="s">
        <v>1549</v>
      </c>
      <c r="E1977" t="s">
        <v>1876</v>
      </c>
      <c r="F1977">
        <v>2</v>
      </c>
      <c r="G1977" s="10">
        <v>227.95</v>
      </c>
      <c r="H1977" s="13">
        <v>0.24</v>
      </c>
      <c r="I1977" t="s">
        <v>1936</v>
      </c>
      <c r="J1977" s="16">
        <v>346.48399999999998</v>
      </c>
      <c r="K1977" s="19">
        <f t="shared" si="150"/>
        <v>26440.282500000005</v>
      </c>
      <c r="L1977" s="22">
        <f t="shared" si="151"/>
        <v>1057.6113000000003</v>
      </c>
      <c r="M1977" s="22">
        <f t="shared" si="152"/>
        <v>6</v>
      </c>
      <c r="N1977" s="22" t="str">
        <f t="shared" si="153"/>
        <v>Low Value</v>
      </c>
      <c r="O1977" s="22" t="str">
        <f t="shared" si="154"/>
        <v>Apr-2024</v>
      </c>
      <c r="P1977" s="22" t="s">
        <v>1550</v>
      </c>
      <c r="Q1977" s="22" t="s">
        <v>1536</v>
      </c>
      <c r="R1977" s="22" t="s">
        <v>947</v>
      </c>
      <c r="S1977" s="22"/>
      <c r="T1977" s="22"/>
    </row>
    <row r="1978" spans="1:20">
      <c r="A1978" t="s">
        <v>3915</v>
      </c>
      <c r="B1978" s="8">
        <v>45388</v>
      </c>
      <c r="C1978" t="s">
        <v>629</v>
      </c>
      <c r="D1978" t="s">
        <v>1752</v>
      </c>
      <c r="E1978" t="s">
        <v>1901</v>
      </c>
      <c r="F1978">
        <v>3</v>
      </c>
      <c r="G1978" s="10">
        <v>685.97</v>
      </c>
      <c r="H1978" s="13">
        <v>0.24</v>
      </c>
      <c r="I1978" t="s">
        <v>1933</v>
      </c>
      <c r="J1978" s="16">
        <v>1564.0116</v>
      </c>
      <c r="K1978" s="19">
        <f t="shared" si="150"/>
        <v>26093.798500000001</v>
      </c>
      <c r="L1978" s="22">
        <f t="shared" si="151"/>
        <v>1087.2416041666668</v>
      </c>
      <c r="M1978" s="22">
        <f t="shared" si="152"/>
        <v>6</v>
      </c>
      <c r="N1978" s="22" t="str">
        <f t="shared" si="153"/>
        <v>High Value</v>
      </c>
      <c r="O1978" s="22" t="str">
        <f t="shared" si="154"/>
        <v>Apr-2024</v>
      </c>
      <c r="P1978" s="22" t="s">
        <v>1753</v>
      </c>
      <c r="Q1978" s="22" t="s">
        <v>1555</v>
      </c>
      <c r="R1978" s="22" t="s">
        <v>630</v>
      </c>
      <c r="S1978" s="22"/>
      <c r="T1978" s="22"/>
    </row>
    <row r="1979" spans="1:20">
      <c r="A1979" t="s">
        <v>3916</v>
      </c>
      <c r="B1979" s="8">
        <v>45793</v>
      </c>
      <c r="C1979" t="s">
        <v>1136</v>
      </c>
      <c r="D1979" t="s">
        <v>1636</v>
      </c>
      <c r="E1979" t="s">
        <v>1868</v>
      </c>
      <c r="F1979">
        <v>1</v>
      </c>
      <c r="G1979" s="10">
        <v>722.57</v>
      </c>
      <c r="H1979" s="13">
        <v>0.18</v>
      </c>
      <c r="I1979" t="s">
        <v>1931</v>
      </c>
      <c r="J1979" s="16">
        <v>592.50740000000008</v>
      </c>
      <c r="K1979" s="19">
        <f t="shared" si="150"/>
        <v>24529.786900000003</v>
      </c>
      <c r="L1979" s="22">
        <f t="shared" si="151"/>
        <v>1066.5124739130436</v>
      </c>
      <c r="M1979" s="22">
        <f t="shared" si="152"/>
        <v>5</v>
      </c>
      <c r="N1979" s="22" t="str">
        <f t="shared" si="153"/>
        <v>Low Value</v>
      </c>
      <c r="O1979" s="22" t="str">
        <f t="shared" si="154"/>
        <v>May-2025</v>
      </c>
      <c r="P1979" s="22" t="s">
        <v>1637</v>
      </c>
      <c r="Q1979" s="22" t="s">
        <v>1560</v>
      </c>
      <c r="R1979" s="22" t="s">
        <v>1137</v>
      </c>
      <c r="S1979" s="22"/>
      <c r="T1979" s="22"/>
    </row>
    <row r="1980" spans="1:20">
      <c r="A1980" t="s">
        <v>3917</v>
      </c>
      <c r="B1980" s="8">
        <v>45615</v>
      </c>
      <c r="C1980" t="s">
        <v>473</v>
      </c>
      <c r="D1980" t="s">
        <v>1655</v>
      </c>
      <c r="E1980" t="s">
        <v>1880</v>
      </c>
      <c r="F1980">
        <v>3</v>
      </c>
      <c r="G1980" s="10">
        <v>585.54999999999995</v>
      </c>
      <c r="H1980" s="13">
        <v>0.14000000000000001</v>
      </c>
      <c r="I1980" t="s">
        <v>1936</v>
      </c>
      <c r="J1980" s="16">
        <v>1510.7190000000001</v>
      </c>
      <c r="K1980" s="19">
        <f t="shared" si="150"/>
        <v>23937.279500000001</v>
      </c>
      <c r="L1980" s="22">
        <f t="shared" si="151"/>
        <v>1088.0581590909092</v>
      </c>
      <c r="M1980" s="22">
        <f t="shared" si="152"/>
        <v>5</v>
      </c>
      <c r="N1980" s="22" t="str">
        <f t="shared" si="153"/>
        <v>High Value</v>
      </c>
      <c r="O1980" s="22" t="str">
        <f t="shared" si="154"/>
        <v>Nov-2024</v>
      </c>
      <c r="P1980" s="22" t="s">
        <v>1656</v>
      </c>
      <c r="Q1980" s="22" t="s">
        <v>1560</v>
      </c>
      <c r="R1980" s="22" t="s">
        <v>474</v>
      </c>
      <c r="S1980" s="22"/>
      <c r="T1980" s="22"/>
    </row>
    <row r="1981" spans="1:20">
      <c r="A1981" t="s">
        <v>3918</v>
      </c>
      <c r="B1981" s="8">
        <v>45666</v>
      </c>
      <c r="C1981" t="s">
        <v>972</v>
      </c>
      <c r="D1981" t="s">
        <v>1690</v>
      </c>
      <c r="E1981" t="s">
        <v>1904</v>
      </c>
      <c r="F1981">
        <v>2</v>
      </c>
      <c r="G1981" s="10">
        <v>635.80999999999995</v>
      </c>
      <c r="H1981" s="13">
        <v>0.13</v>
      </c>
      <c r="I1981" t="s">
        <v>1933</v>
      </c>
      <c r="J1981" s="16">
        <v>1106.3094000000001</v>
      </c>
      <c r="K1981" s="19">
        <f t="shared" si="150"/>
        <v>22426.560499999996</v>
      </c>
      <c r="L1981" s="22">
        <f t="shared" si="151"/>
        <v>1067.9314523809521</v>
      </c>
      <c r="M1981" s="22">
        <f t="shared" si="152"/>
        <v>5</v>
      </c>
      <c r="N1981" s="22" t="str">
        <f t="shared" si="153"/>
        <v>High Value</v>
      </c>
      <c r="O1981" s="22" t="str">
        <f t="shared" si="154"/>
        <v>Jan-2025</v>
      </c>
      <c r="P1981" s="22" t="s">
        <v>1691</v>
      </c>
      <c r="Q1981" s="22" t="s">
        <v>1536</v>
      </c>
      <c r="R1981" s="22" t="s">
        <v>973</v>
      </c>
      <c r="S1981" s="22"/>
      <c r="T1981" s="22"/>
    </row>
    <row r="1982" spans="1:20">
      <c r="A1982" t="s">
        <v>3919</v>
      </c>
      <c r="B1982" s="8">
        <v>45644</v>
      </c>
      <c r="C1982" t="s">
        <v>880</v>
      </c>
      <c r="D1982" t="s">
        <v>1586</v>
      </c>
      <c r="E1982" t="s">
        <v>1876</v>
      </c>
      <c r="F1982">
        <v>2</v>
      </c>
      <c r="G1982" s="10">
        <v>353.74</v>
      </c>
      <c r="H1982" s="13">
        <v>0.01</v>
      </c>
      <c r="I1982" t="s">
        <v>1931</v>
      </c>
      <c r="J1982" s="16">
        <v>700.40520000000004</v>
      </c>
      <c r="K1982" s="19">
        <f t="shared" si="150"/>
        <v>21320.251099999998</v>
      </c>
      <c r="L1982" s="22">
        <f t="shared" si="151"/>
        <v>1066.0125549999998</v>
      </c>
      <c r="M1982" s="22">
        <f t="shared" si="152"/>
        <v>4</v>
      </c>
      <c r="N1982" s="22" t="str">
        <f t="shared" si="153"/>
        <v>Low Value</v>
      </c>
      <c r="O1982" s="22" t="str">
        <f t="shared" si="154"/>
        <v>Dec-2024</v>
      </c>
      <c r="P1982" s="22" t="s">
        <v>1587</v>
      </c>
      <c r="Q1982" s="22" t="s">
        <v>1560</v>
      </c>
      <c r="R1982" s="22" t="s">
        <v>881</v>
      </c>
      <c r="S1982" s="22"/>
      <c r="T1982" s="22"/>
    </row>
    <row r="1983" spans="1:20">
      <c r="A1983" t="s">
        <v>3920</v>
      </c>
      <c r="B1983" s="8">
        <v>45648</v>
      </c>
      <c r="C1983" t="s">
        <v>842</v>
      </c>
      <c r="D1983" t="s">
        <v>1658</v>
      </c>
      <c r="E1983" t="s">
        <v>1886</v>
      </c>
      <c r="F1983">
        <v>1</v>
      </c>
      <c r="G1983" s="10">
        <v>377.52</v>
      </c>
      <c r="H1983" s="13">
        <v>0.15</v>
      </c>
      <c r="I1983" t="s">
        <v>1931</v>
      </c>
      <c r="J1983" s="16">
        <v>320.892</v>
      </c>
      <c r="K1983" s="19">
        <f t="shared" si="150"/>
        <v>20619.845899999997</v>
      </c>
      <c r="L1983" s="22">
        <f t="shared" si="151"/>
        <v>1085.2550473684209</v>
      </c>
      <c r="M1983" s="22">
        <f t="shared" si="152"/>
        <v>4</v>
      </c>
      <c r="N1983" s="22" t="str">
        <f t="shared" si="153"/>
        <v>Low Value</v>
      </c>
      <c r="O1983" s="22" t="str">
        <f t="shared" si="154"/>
        <v>Dec-2024</v>
      </c>
      <c r="P1983" s="22" t="s">
        <v>1659</v>
      </c>
      <c r="Q1983" s="22" t="s">
        <v>1536</v>
      </c>
      <c r="R1983" s="22" t="s">
        <v>843</v>
      </c>
      <c r="S1983" s="22"/>
      <c r="T1983" s="22"/>
    </row>
    <row r="1984" spans="1:20">
      <c r="A1984" t="s">
        <v>3921</v>
      </c>
      <c r="B1984" s="8">
        <v>45500</v>
      </c>
      <c r="C1984" t="s">
        <v>667</v>
      </c>
      <c r="D1984" t="s">
        <v>1758</v>
      </c>
      <c r="E1984" t="s">
        <v>1868</v>
      </c>
      <c r="F1984">
        <v>3</v>
      </c>
      <c r="G1984" s="10">
        <v>901.49</v>
      </c>
      <c r="H1984" s="13">
        <v>0</v>
      </c>
      <c r="I1984" t="s">
        <v>1931</v>
      </c>
      <c r="J1984" s="16">
        <v>2704.47</v>
      </c>
      <c r="K1984" s="19">
        <f t="shared" si="150"/>
        <v>20298.953899999997</v>
      </c>
      <c r="L1984" s="22">
        <f t="shared" si="151"/>
        <v>1127.719661111111</v>
      </c>
      <c r="M1984" s="22">
        <f t="shared" si="152"/>
        <v>4</v>
      </c>
      <c r="N1984" s="22" t="str">
        <f t="shared" si="153"/>
        <v>High Value</v>
      </c>
      <c r="O1984" s="22" t="str">
        <f t="shared" si="154"/>
        <v>Jul-2024</v>
      </c>
      <c r="P1984" s="22" t="s">
        <v>1759</v>
      </c>
      <c r="Q1984" s="22" t="s">
        <v>1560</v>
      </c>
      <c r="R1984" s="22" t="s">
        <v>668</v>
      </c>
      <c r="S1984" s="22"/>
      <c r="T1984" s="22"/>
    </row>
    <row r="1985" spans="1:20">
      <c r="A1985" t="s">
        <v>3922</v>
      </c>
      <c r="B1985" s="8">
        <v>45806</v>
      </c>
      <c r="C1985" t="s">
        <v>652</v>
      </c>
      <c r="D1985" t="s">
        <v>1639</v>
      </c>
      <c r="E1985" t="s">
        <v>1880</v>
      </c>
      <c r="F1985">
        <v>1</v>
      </c>
      <c r="G1985" s="10">
        <v>563.01</v>
      </c>
      <c r="H1985" s="13">
        <v>0.1</v>
      </c>
      <c r="I1985" t="s">
        <v>1931</v>
      </c>
      <c r="J1985" s="16">
        <v>506.709</v>
      </c>
      <c r="K1985" s="19">
        <f t="shared" si="150"/>
        <v>17594.483899999999</v>
      </c>
      <c r="L1985" s="22">
        <f t="shared" si="151"/>
        <v>1034.9696411764705</v>
      </c>
      <c r="M1985" s="22">
        <f t="shared" si="152"/>
        <v>4</v>
      </c>
      <c r="N1985" s="22" t="str">
        <f t="shared" si="153"/>
        <v>Low Value</v>
      </c>
      <c r="O1985" s="22" t="str">
        <f t="shared" si="154"/>
        <v>May-2025</v>
      </c>
      <c r="P1985" s="22" t="s">
        <v>1640</v>
      </c>
      <c r="Q1985" s="22" t="s">
        <v>1560</v>
      </c>
      <c r="R1985" s="22" t="s">
        <v>653</v>
      </c>
      <c r="S1985" s="22"/>
      <c r="T1985" s="22"/>
    </row>
    <row r="1986" spans="1:20">
      <c r="A1986" t="s">
        <v>3923</v>
      </c>
      <c r="B1986" s="8">
        <v>45365</v>
      </c>
      <c r="C1986" t="s">
        <v>195</v>
      </c>
      <c r="D1986" t="s">
        <v>1765</v>
      </c>
      <c r="E1986" t="s">
        <v>1883</v>
      </c>
      <c r="F1986">
        <v>4</v>
      </c>
      <c r="G1986" s="10">
        <v>167.25</v>
      </c>
      <c r="H1986" s="13">
        <v>0.11</v>
      </c>
      <c r="I1986" t="s">
        <v>1931</v>
      </c>
      <c r="J1986" s="16">
        <v>595.41</v>
      </c>
      <c r="K1986" s="19">
        <f t="shared" ref="K1986:K2049" si="155">SUM(J1986:J3985)</f>
        <v>17087.7749</v>
      </c>
      <c r="L1986" s="22">
        <f t="shared" ref="L1986:L2049" si="156">AVERAGE(J1986:J3985)</f>
        <v>1067.98593125</v>
      </c>
      <c r="M1986" s="22">
        <f t="shared" ref="M1986:M2049" si="157">COUNTIF(I1986:I3985,"PayPal")</f>
        <v>4</v>
      </c>
      <c r="N1986" s="22" t="str">
        <f t="shared" ref="N1986:N2001" si="158">IF(J1986&gt;=1000,"High Value","Low Value")</f>
        <v>Low Value</v>
      </c>
      <c r="O1986" s="22" t="str">
        <f t="shared" ref="O1986:O2001" si="159">TEXT(B1986,"mmm-yyyy")</f>
        <v>Mar-2024</v>
      </c>
      <c r="P1986" s="22" t="s">
        <v>1766</v>
      </c>
      <c r="Q1986" s="22" t="s">
        <v>1560</v>
      </c>
      <c r="R1986" s="22" t="s">
        <v>196</v>
      </c>
      <c r="S1986" s="22"/>
      <c r="T1986" s="22"/>
    </row>
    <row r="1987" spans="1:20">
      <c r="A1987" t="s">
        <v>3924</v>
      </c>
      <c r="B1987" s="8">
        <v>45229</v>
      </c>
      <c r="C1987" t="s">
        <v>1394</v>
      </c>
      <c r="D1987" t="s">
        <v>1734</v>
      </c>
      <c r="E1987" t="s">
        <v>1917</v>
      </c>
      <c r="F1987">
        <v>3</v>
      </c>
      <c r="G1987" s="10">
        <v>345.43</v>
      </c>
      <c r="H1987" s="13">
        <v>0.08</v>
      </c>
      <c r="I1987" t="s">
        <v>1936</v>
      </c>
      <c r="J1987" s="16">
        <v>953.38679999999999</v>
      </c>
      <c r="K1987" s="19">
        <f t="shared" si="155"/>
        <v>16492.3649</v>
      </c>
      <c r="L1987" s="22">
        <f t="shared" si="156"/>
        <v>1099.4909933333333</v>
      </c>
      <c r="M1987" s="22">
        <f t="shared" si="157"/>
        <v>4</v>
      </c>
      <c r="N1987" s="22" t="str">
        <f t="shared" si="158"/>
        <v>Low Value</v>
      </c>
      <c r="O1987" s="22" t="str">
        <f t="shared" si="159"/>
        <v>Oct-2023</v>
      </c>
      <c r="P1987" s="22" t="s">
        <v>1735</v>
      </c>
      <c r="Q1987" s="22" t="s">
        <v>1555</v>
      </c>
      <c r="R1987" s="22" t="s">
        <v>1395</v>
      </c>
      <c r="S1987" s="22"/>
      <c r="T1987" s="22"/>
    </row>
    <row r="1988" spans="1:20">
      <c r="A1988" t="s">
        <v>3925</v>
      </c>
      <c r="B1988" s="8">
        <v>45349</v>
      </c>
      <c r="C1988" t="s">
        <v>969</v>
      </c>
      <c r="D1988" t="s">
        <v>1801</v>
      </c>
      <c r="E1988" t="s">
        <v>1893</v>
      </c>
      <c r="F1988">
        <v>4</v>
      </c>
      <c r="G1988" s="10">
        <v>752.48</v>
      </c>
      <c r="H1988" s="13">
        <v>0.23</v>
      </c>
      <c r="I1988" t="s">
        <v>1931</v>
      </c>
      <c r="J1988" s="16">
        <v>2317.6383999999998</v>
      </c>
      <c r="K1988" s="19">
        <f t="shared" si="155"/>
        <v>15538.978099999998</v>
      </c>
      <c r="L1988" s="22">
        <f t="shared" si="156"/>
        <v>1109.9270071428571</v>
      </c>
      <c r="M1988" s="22">
        <f t="shared" si="157"/>
        <v>4</v>
      </c>
      <c r="N1988" s="22" t="str">
        <f t="shared" si="158"/>
        <v>High Value</v>
      </c>
      <c r="O1988" s="22" t="str">
        <f t="shared" si="159"/>
        <v>Feb-2024</v>
      </c>
      <c r="P1988" s="22" t="s">
        <v>1802</v>
      </c>
      <c r="Q1988" s="22" t="s">
        <v>1569</v>
      </c>
      <c r="R1988" s="22" t="s">
        <v>970</v>
      </c>
      <c r="S1988" s="22"/>
      <c r="T1988" s="22"/>
    </row>
    <row r="1989" spans="1:20">
      <c r="A1989" t="s">
        <v>3926</v>
      </c>
      <c r="B1989" s="8">
        <v>45886</v>
      </c>
      <c r="C1989" t="s">
        <v>1380</v>
      </c>
      <c r="D1989" t="s">
        <v>1725</v>
      </c>
      <c r="E1989" t="s">
        <v>1920</v>
      </c>
      <c r="F1989">
        <v>1</v>
      </c>
      <c r="G1989" s="10">
        <v>120.02</v>
      </c>
      <c r="H1989" s="13">
        <v>0.26</v>
      </c>
      <c r="I1989" t="s">
        <v>1931</v>
      </c>
      <c r="J1989" s="16">
        <v>88.814799999999991</v>
      </c>
      <c r="K1989" s="19">
        <f t="shared" si="155"/>
        <v>13221.3397</v>
      </c>
      <c r="L1989" s="22">
        <f t="shared" si="156"/>
        <v>1017.0261307692308</v>
      </c>
      <c r="M1989" s="22">
        <f t="shared" si="157"/>
        <v>4</v>
      </c>
      <c r="N1989" s="22" t="str">
        <f t="shared" si="158"/>
        <v>Low Value</v>
      </c>
      <c r="O1989" s="22" t="str">
        <f t="shared" si="159"/>
        <v>Aug-2025</v>
      </c>
      <c r="P1989" s="22" t="s">
        <v>1726</v>
      </c>
      <c r="Q1989" s="22" t="s">
        <v>1569</v>
      </c>
      <c r="R1989" s="22" t="s">
        <v>1381</v>
      </c>
      <c r="S1989" s="22"/>
      <c r="T1989" s="22"/>
    </row>
    <row r="1990" spans="1:20">
      <c r="A1990" t="s">
        <v>3927</v>
      </c>
      <c r="B1990" s="8">
        <v>45359</v>
      </c>
      <c r="C1990" t="s">
        <v>1014</v>
      </c>
      <c r="D1990" t="s">
        <v>1675</v>
      </c>
      <c r="E1990" t="s">
        <v>1889</v>
      </c>
      <c r="F1990">
        <v>3</v>
      </c>
      <c r="G1990" s="10">
        <v>146.71</v>
      </c>
      <c r="H1990" s="13">
        <v>0.28000000000000003</v>
      </c>
      <c r="I1990" t="s">
        <v>1931</v>
      </c>
      <c r="J1990" s="16">
        <v>316.89359999999999</v>
      </c>
      <c r="K1990" s="19">
        <f t="shared" si="155"/>
        <v>13132.5249</v>
      </c>
      <c r="L1990" s="22">
        <f t="shared" si="156"/>
        <v>1094.3770750000001</v>
      </c>
      <c r="M1990" s="22">
        <f t="shared" si="157"/>
        <v>4</v>
      </c>
      <c r="N1990" s="22" t="str">
        <f t="shared" si="158"/>
        <v>Low Value</v>
      </c>
      <c r="O1990" s="22" t="str">
        <f t="shared" si="159"/>
        <v>Mar-2024</v>
      </c>
      <c r="P1990" s="22" t="s">
        <v>1676</v>
      </c>
      <c r="Q1990" s="22" t="s">
        <v>1569</v>
      </c>
      <c r="R1990" s="22" t="s">
        <v>1015</v>
      </c>
      <c r="S1990" s="22"/>
      <c r="T1990" s="22"/>
    </row>
    <row r="1991" spans="1:20">
      <c r="A1991" t="s">
        <v>3928</v>
      </c>
      <c r="B1991" s="8">
        <v>45730</v>
      </c>
      <c r="C1991" t="s">
        <v>295</v>
      </c>
      <c r="D1991" t="s">
        <v>1746</v>
      </c>
      <c r="E1991" t="s">
        <v>1859</v>
      </c>
      <c r="F1991">
        <v>2</v>
      </c>
      <c r="G1991" s="10">
        <v>358.87</v>
      </c>
      <c r="H1991" s="13">
        <v>0.24</v>
      </c>
      <c r="I1991" t="s">
        <v>1931</v>
      </c>
      <c r="J1991" s="16">
        <v>545.48239999999998</v>
      </c>
      <c r="K1991" s="19">
        <f t="shared" si="155"/>
        <v>12815.631299999999</v>
      </c>
      <c r="L1991" s="22">
        <f t="shared" si="156"/>
        <v>1165.0573909090908</v>
      </c>
      <c r="M1991" s="22">
        <f t="shared" si="157"/>
        <v>4</v>
      </c>
      <c r="N1991" s="22" t="str">
        <f t="shared" si="158"/>
        <v>Low Value</v>
      </c>
      <c r="O1991" s="22" t="str">
        <f t="shared" si="159"/>
        <v>Mar-2025</v>
      </c>
      <c r="P1991" s="22" t="s">
        <v>1747</v>
      </c>
      <c r="Q1991" s="22" t="s">
        <v>1555</v>
      </c>
      <c r="R1991" s="22" t="s">
        <v>296</v>
      </c>
      <c r="S1991" s="22"/>
      <c r="T1991" s="22"/>
    </row>
    <row r="1992" spans="1:20">
      <c r="A1992" t="s">
        <v>3929</v>
      </c>
      <c r="B1992" s="8">
        <v>45456</v>
      </c>
      <c r="C1992" t="s">
        <v>774</v>
      </c>
      <c r="D1992" t="s">
        <v>1710</v>
      </c>
      <c r="E1992" t="s">
        <v>1873</v>
      </c>
      <c r="F1992">
        <v>4</v>
      </c>
      <c r="G1992" s="10">
        <v>212.75</v>
      </c>
      <c r="H1992" s="13">
        <v>0.11</v>
      </c>
      <c r="I1992" t="s">
        <v>1936</v>
      </c>
      <c r="J1992" s="16">
        <v>757.39</v>
      </c>
      <c r="K1992" s="19">
        <f t="shared" si="155"/>
        <v>12270.1489</v>
      </c>
      <c r="L1992" s="22">
        <f t="shared" si="156"/>
        <v>1227.0148899999999</v>
      </c>
      <c r="M1992" s="22">
        <f t="shared" si="157"/>
        <v>4</v>
      </c>
      <c r="N1992" s="22" t="str">
        <f t="shared" si="158"/>
        <v>Low Value</v>
      </c>
      <c r="O1992" s="22" t="str">
        <f t="shared" si="159"/>
        <v>Jun-2024</v>
      </c>
      <c r="P1992" s="22" t="s">
        <v>1711</v>
      </c>
      <c r="Q1992" s="22" t="s">
        <v>1569</v>
      </c>
      <c r="R1992" s="22" t="s">
        <v>775</v>
      </c>
      <c r="S1992" s="22"/>
      <c r="T1992" s="22"/>
    </row>
    <row r="1993" spans="1:20">
      <c r="A1993" t="s">
        <v>3930</v>
      </c>
      <c r="B1993" s="8">
        <v>45450</v>
      </c>
      <c r="C1993" t="s">
        <v>1025</v>
      </c>
      <c r="D1993" t="s">
        <v>1687</v>
      </c>
      <c r="E1993" t="s">
        <v>1899</v>
      </c>
      <c r="F1993">
        <v>1</v>
      </c>
      <c r="G1993" s="10">
        <v>183.47</v>
      </c>
      <c r="H1993" s="13">
        <v>0.17</v>
      </c>
      <c r="I1993" t="s">
        <v>1933</v>
      </c>
      <c r="J1993" s="16">
        <v>152.2801</v>
      </c>
      <c r="K1993" s="19">
        <f t="shared" si="155"/>
        <v>11512.758900000001</v>
      </c>
      <c r="L1993" s="22">
        <f t="shared" si="156"/>
        <v>1279.1954333333333</v>
      </c>
      <c r="M1993" s="22">
        <f t="shared" si="157"/>
        <v>4</v>
      </c>
      <c r="N1993" s="22" t="str">
        <f t="shared" si="158"/>
        <v>Low Value</v>
      </c>
      <c r="O1993" s="22" t="str">
        <f t="shared" si="159"/>
        <v>Jun-2024</v>
      </c>
      <c r="P1993" s="22" t="s">
        <v>1688</v>
      </c>
      <c r="Q1993" s="22" t="s">
        <v>1569</v>
      </c>
      <c r="R1993" s="22" t="s">
        <v>1026</v>
      </c>
      <c r="S1993" s="22"/>
      <c r="T1993" s="22"/>
    </row>
    <row r="1994" spans="1:20">
      <c r="A1994" t="s">
        <v>3931</v>
      </c>
      <c r="B1994" s="8">
        <v>45493</v>
      </c>
      <c r="C1994" t="s">
        <v>248</v>
      </c>
      <c r="D1994" t="s">
        <v>1822</v>
      </c>
      <c r="E1994" t="s">
        <v>1908</v>
      </c>
      <c r="F1994">
        <v>4</v>
      </c>
      <c r="G1994" s="10">
        <v>569.98</v>
      </c>
      <c r="H1994" s="13">
        <v>0.23</v>
      </c>
      <c r="I1994" t="s">
        <v>1931</v>
      </c>
      <c r="J1994" s="16">
        <v>1755.5383999999999</v>
      </c>
      <c r="K1994" s="19">
        <f t="shared" si="155"/>
        <v>11360.478800000001</v>
      </c>
      <c r="L1994" s="22">
        <f t="shared" si="156"/>
        <v>1420.0598500000001</v>
      </c>
      <c r="M1994" s="22">
        <f t="shared" si="157"/>
        <v>3</v>
      </c>
      <c r="N1994" s="22" t="str">
        <f t="shared" si="158"/>
        <v>High Value</v>
      </c>
      <c r="O1994" s="22" t="str">
        <f t="shared" si="159"/>
        <v>Jul-2024</v>
      </c>
      <c r="P1994" s="22" t="s">
        <v>1823</v>
      </c>
      <c r="Q1994" s="22" t="s">
        <v>1555</v>
      </c>
      <c r="R1994" s="22" t="s">
        <v>249</v>
      </c>
      <c r="S1994" s="22"/>
      <c r="T1994" s="22"/>
    </row>
    <row r="1995" spans="1:20">
      <c r="A1995" t="s">
        <v>3932</v>
      </c>
      <c r="B1995" s="8">
        <v>45274</v>
      </c>
      <c r="C1995" t="s">
        <v>1445</v>
      </c>
      <c r="D1995" t="s">
        <v>1610</v>
      </c>
      <c r="E1995" t="s">
        <v>1901</v>
      </c>
      <c r="F1995">
        <v>3</v>
      </c>
      <c r="G1995" s="10">
        <v>984.12</v>
      </c>
      <c r="H1995" s="13">
        <v>0.27</v>
      </c>
      <c r="I1995" t="s">
        <v>1931</v>
      </c>
      <c r="J1995" s="16">
        <v>2155.2228</v>
      </c>
      <c r="K1995" s="19">
        <f t="shared" si="155"/>
        <v>9604.9403999999995</v>
      </c>
      <c r="L1995" s="22">
        <f t="shared" si="156"/>
        <v>1372.1343428571429</v>
      </c>
      <c r="M1995" s="22">
        <f t="shared" si="157"/>
        <v>3</v>
      </c>
      <c r="N1995" s="22" t="str">
        <f t="shared" si="158"/>
        <v>High Value</v>
      </c>
      <c r="O1995" s="22" t="str">
        <f t="shared" si="159"/>
        <v>Dec-2023</v>
      </c>
      <c r="P1995" s="22" t="s">
        <v>1611</v>
      </c>
      <c r="Q1995" s="22" t="s">
        <v>1560</v>
      </c>
      <c r="R1995" s="22" t="s">
        <v>1446</v>
      </c>
      <c r="S1995" s="22"/>
      <c r="T1995" s="22"/>
    </row>
    <row r="1996" spans="1:20">
      <c r="A1996" t="s">
        <v>3933</v>
      </c>
      <c r="B1996" s="8">
        <v>45844</v>
      </c>
      <c r="C1996" t="s">
        <v>1448</v>
      </c>
      <c r="D1996" t="s">
        <v>1807</v>
      </c>
      <c r="E1996" t="s">
        <v>1889</v>
      </c>
      <c r="F1996">
        <v>1</v>
      </c>
      <c r="G1996" s="10">
        <v>905.23</v>
      </c>
      <c r="H1996" s="13">
        <v>0</v>
      </c>
      <c r="I1996" t="s">
        <v>1931</v>
      </c>
      <c r="J1996" s="16">
        <v>905.23</v>
      </c>
      <c r="K1996" s="19">
        <f t="shared" si="155"/>
        <v>7449.717599999999</v>
      </c>
      <c r="L1996" s="22">
        <f t="shared" si="156"/>
        <v>1241.6195999999998</v>
      </c>
      <c r="M1996" s="22">
        <f t="shared" si="157"/>
        <v>3</v>
      </c>
      <c r="N1996" s="22" t="str">
        <f t="shared" si="158"/>
        <v>Low Value</v>
      </c>
      <c r="O1996" s="22" t="str">
        <f t="shared" si="159"/>
        <v>Jul-2025</v>
      </c>
      <c r="P1996" s="22" t="s">
        <v>1808</v>
      </c>
      <c r="Q1996" s="22" t="s">
        <v>1560</v>
      </c>
      <c r="R1996" s="22" t="s">
        <v>1449</v>
      </c>
      <c r="S1996" s="22"/>
      <c r="T1996" s="22"/>
    </row>
    <row r="1997" spans="1:20">
      <c r="A1997" t="s">
        <v>3934</v>
      </c>
      <c r="B1997" s="8">
        <v>45264</v>
      </c>
      <c r="C1997" t="s">
        <v>611</v>
      </c>
      <c r="D1997" t="s">
        <v>1852</v>
      </c>
      <c r="E1997" t="s">
        <v>1920</v>
      </c>
      <c r="F1997">
        <v>3</v>
      </c>
      <c r="G1997" s="10">
        <v>112.77</v>
      </c>
      <c r="H1997" s="13">
        <v>0.19</v>
      </c>
      <c r="I1997" t="s">
        <v>1931</v>
      </c>
      <c r="J1997" s="16">
        <v>274.03109999999998</v>
      </c>
      <c r="K1997" s="19">
        <f t="shared" si="155"/>
        <v>6544.4875999999995</v>
      </c>
      <c r="L1997" s="22">
        <f t="shared" si="156"/>
        <v>1308.89752</v>
      </c>
      <c r="M1997" s="22">
        <f t="shared" si="157"/>
        <v>3</v>
      </c>
      <c r="N1997" s="22" t="str">
        <f t="shared" si="158"/>
        <v>Low Value</v>
      </c>
      <c r="O1997" s="22" t="str">
        <f t="shared" si="159"/>
        <v>Dec-2023</v>
      </c>
      <c r="P1997" s="22" t="s">
        <v>1853</v>
      </c>
      <c r="Q1997" s="22" t="s">
        <v>1560</v>
      </c>
      <c r="R1997" s="22" t="s">
        <v>612</v>
      </c>
      <c r="S1997" s="22"/>
      <c r="T1997" s="22"/>
    </row>
    <row r="1998" spans="1:20">
      <c r="A1998" t="s">
        <v>3935</v>
      </c>
      <c r="B1998" s="8">
        <v>45773</v>
      </c>
      <c r="C1998" t="s">
        <v>536</v>
      </c>
      <c r="D1998" t="s">
        <v>1655</v>
      </c>
      <c r="E1998" t="s">
        <v>1889</v>
      </c>
      <c r="F1998">
        <v>3</v>
      </c>
      <c r="G1998" s="10">
        <v>875.99</v>
      </c>
      <c r="H1998" s="13">
        <v>0.09</v>
      </c>
      <c r="I1998" t="s">
        <v>1933</v>
      </c>
      <c r="J1998" s="16">
        <v>2391.4526999999998</v>
      </c>
      <c r="K1998" s="19">
        <f t="shared" si="155"/>
        <v>6270.4564999999993</v>
      </c>
      <c r="L1998" s="22">
        <f t="shared" si="156"/>
        <v>1567.6141249999998</v>
      </c>
      <c r="M1998" s="22">
        <f t="shared" si="157"/>
        <v>3</v>
      </c>
      <c r="N1998" s="22" t="str">
        <f t="shared" si="158"/>
        <v>High Value</v>
      </c>
      <c r="O1998" s="22" t="str">
        <f t="shared" si="159"/>
        <v>Apr-2025</v>
      </c>
      <c r="P1998" s="22" t="s">
        <v>1656</v>
      </c>
      <c r="Q1998" s="22" t="s">
        <v>1560</v>
      </c>
      <c r="R1998" s="22" t="s">
        <v>537</v>
      </c>
      <c r="S1998" s="22"/>
      <c r="T1998" s="22"/>
    </row>
    <row r="1999" spans="1:20">
      <c r="A1999" t="s">
        <v>3936</v>
      </c>
      <c r="B1999" s="8">
        <v>45460</v>
      </c>
      <c r="C1999" t="s">
        <v>437</v>
      </c>
      <c r="D1999" t="s">
        <v>1822</v>
      </c>
      <c r="E1999" t="s">
        <v>1896</v>
      </c>
      <c r="F1999">
        <v>2</v>
      </c>
      <c r="G1999" s="10">
        <v>685.31</v>
      </c>
      <c r="H1999" s="13">
        <v>0.26</v>
      </c>
      <c r="I1999" t="s">
        <v>1933</v>
      </c>
      <c r="J1999" s="16">
        <v>1014.2588</v>
      </c>
      <c r="K1999" s="19">
        <f t="shared" si="155"/>
        <v>3879.0038000000004</v>
      </c>
      <c r="L1999" s="22">
        <f t="shared" si="156"/>
        <v>1293.0012666666669</v>
      </c>
      <c r="M1999" s="22">
        <f t="shared" si="157"/>
        <v>2</v>
      </c>
      <c r="N1999" s="22" t="str">
        <f t="shared" si="158"/>
        <v>High Value</v>
      </c>
      <c r="O1999" s="22" t="str">
        <f t="shared" si="159"/>
        <v>Jun-2024</v>
      </c>
      <c r="P1999" s="22" t="s">
        <v>1823</v>
      </c>
      <c r="Q1999" s="22" t="s">
        <v>1555</v>
      </c>
      <c r="R1999" s="22" t="s">
        <v>438</v>
      </c>
      <c r="S1999" s="22"/>
      <c r="T1999" s="22"/>
    </row>
    <row r="2000" spans="1:20">
      <c r="A2000" t="s">
        <v>3937</v>
      </c>
      <c r="B2000" s="8">
        <v>45607</v>
      </c>
      <c r="C2000" t="s">
        <v>195</v>
      </c>
      <c r="D2000" t="s">
        <v>1737</v>
      </c>
      <c r="E2000" t="s">
        <v>1899</v>
      </c>
      <c r="F2000">
        <v>3</v>
      </c>
      <c r="G2000" s="10">
        <v>945.37</v>
      </c>
      <c r="H2000" s="13">
        <v>0.05</v>
      </c>
      <c r="I2000" t="s">
        <v>1931</v>
      </c>
      <c r="J2000" s="16">
        <v>2694.3045000000002</v>
      </c>
      <c r="K2000" s="19">
        <f t="shared" si="155"/>
        <v>2864.7450000000003</v>
      </c>
      <c r="L2000" s="22">
        <f t="shared" si="156"/>
        <v>1432.3725000000002</v>
      </c>
      <c r="M2000" s="22">
        <f t="shared" si="157"/>
        <v>1</v>
      </c>
      <c r="N2000" s="22" t="str">
        <f t="shared" si="158"/>
        <v>High Value</v>
      </c>
      <c r="O2000" s="22" t="str">
        <f t="shared" si="159"/>
        <v>Nov-2024</v>
      </c>
      <c r="P2000" s="22" t="s">
        <v>1738</v>
      </c>
      <c r="Q2000" s="22" t="s">
        <v>1569</v>
      </c>
      <c r="R2000" s="22" t="s">
        <v>196</v>
      </c>
      <c r="S2000" s="22"/>
      <c r="T2000" s="22"/>
    </row>
    <row r="2001" spans="1:20">
      <c r="A2001" t="s">
        <v>3938</v>
      </c>
      <c r="B2001" s="8">
        <v>45267</v>
      </c>
      <c r="C2001" t="s">
        <v>100</v>
      </c>
      <c r="D2001" t="s">
        <v>1783</v>
      </c>
      <c r="E2001" t="s">
        <v>1920</v>
      </c>
      <c r="F2001">
        <v>3</v>
      </c>
      <c r="G2001" s="10">
        <v>68.45</v>
      </c>
      <c r="H2001" s="13">
        <v>0.17</v>
      </c>
      <c r="I2001" t="s">
        <v>1933</v>
      </c>
      <c r="J2001" s="16">
        <v>170.44049999999999</v>
      </c>
      <c r="K2001" s="19">
        <f t="shared" si="155"/>
        <v>170.44049999999999</v>
      </c>
      <c r="L2001" s="22">
        <f t="shared" si="156"/>
        <v>170.44049999999999</v>
      </c>
      <c r="M2001" s="22">
        <f t="shared" si="157"/>
        <v>1</v>
      </c>
      <c r="N2001" s="22" t="str">
        <f t="shared" si="158"/>
        <v>Low Value</v>
      </c>
      <c r="O2001" s="22" t="str">
        <f t="shared" si="159"/>
        <v>Dec-2023</v>
      </c>
      <c r="P2001" s="22" t="s">
        <v>1784</v>
      </c>
      <c r="Q2001" s="22" t="s">
        <v>1531</v>
      </c>
      <c r="R2001" s="22" t="s">
        <v>101</v>
      </c>
      <c r="S2001" s="22"/>
      <c r="T2001" s="22"/>
    </row>
  </sheetData>
  <phoneticPr fontId="4" type="noConversion"/>
  <pageMargins left="0.75" right="0.75" top="1" bottom="1" header="0.5" footer="0.5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21AB-447C-462D-9F54-5E93D1BA1E82}">
  <dimension ref="A1:C8"/>
  <sheetViews>
    <sheetView workbookViewId="0">
      <selection activeCell="C11" sqref="C11"/>
    </sheetView>
  </sheetViews>
  <sheetFormatPr defaultRowHeight="14.4"/>
  <cols>
    <col min="1" max="1" width="8.88671875" style="1" customWidth="1"/>
    <col min="2" max="2" width="16.109375" style="1" bestFit="1" customWidth="1"/>
    <col min="3" max="3" width="50.44140625" style="1" bestFit="1" customWidth="1"/>
    <col min="4" max="4" width="7.109375" bestFit="1" customWidth="1"/>
    <col min="5" max="5" width="5.77734375" bestFit="1" customWidth="1"/>
    <col min="6" max="6" width="16.5546875" bestFit="1" customWidth="1"/>
  </cols>
  <sheetData>
    <row r="1" spans="1:3">
      <c r="A1" s="28" t="s">
        <v>3975</v>
      </c>
      <c r="B1" s="28" t="s">
        <v>3976</v>
      </c>
      <c r="C1" s="28" t="s">
        <v>3991</v>
      </c>
    </row>
    <row r="2" spans="1:3">
      <c r="A2" s="1" t="s">
        <v>3977</v>
      </c>
      <c r="B2" s="21">
        <f>AVERAGE(Sales_Fact!J2:J2001)</f>
        <v>1087.1973491500003</v>
      </c>
      <c r="C2" s="29" t="s">
        <v>3984</v>
      </c>
    </row>
    <row r="3" spans="1:3">
      <c r="A3" s="1" t="s">
        <v>3978</v>
      </c>
      <c r="B3" s="21">
        <f>MEDIAN(Sales_Fact!J2:J2001)</f>
        <v>868.71820000000002</v>
      </c>
      <c r="C3" s="29" t="s">
        <v>3985</v>
      </c>
    </row>
    <row r="4" spans="1:3">
      <c r="A4" s="1" t="s">
        <v>3979</v>
      </c>
      <c r="B4" s="1" t="str">
        <f>IFERROR(_xlfn.MODE.SNGL(Sales_Fact!J2),"No repeated value")</f>
        <v>No repeated value</v>
      </c>
      <c r="C4" s="30" t="s">
        <v>3986</v>
      </c>
    </row>
    <row r="5" spans="1:3">
      <c r="A5" s="1" t="s">
        <v>3980</v>
      </c>
      <c r="B5" s="4">
        <f>_xlfn.STDEV.S(Sales_Fact!J2:J2001)</f>
        <v>819.61896418073502</v>
      </c>
      <c r="C5" s="30" t="s">
        <v>3987</v>
      </c>
    </row>
    <row r="6" spans="1:3">
      <c r="A6" s="1" t="s">
        <v>3981</v>
      </c>
      <c r="B6" s="21">
        <f>MIN(Sales_Fact!J2:J2001)</f>
        <v>18.459</v>
      </c>
      <c r="C6" s="29" t="s">
        <v>3988</v>
      </c>
    </row>
    <row r="7" spans="1:3">
      <c r="A7" s="1" t="s">
        <v>3982</v>
      </c>
      <c r="B7" s="21">
        <f>MAX(Sales_Fact!J2:J2001)</f>
        <v>3908.2428</v>
      </c>
      <c r="C7" s="29" t="s">
        <v>3989</v>
      </c>
    </row>
    <row r="8" spans="1:3">
      <c r="A8" s="1" t="s">
        <v>3983</v>
      </c>
      <c r="B8" s="4">
        <f>COUNT(Sales_Fact!J2:J2001)</f>
        <v>2000</v>
      </c>
      <c r="C8" s="30" t="s">
        <v>3990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Table</vt:lpstr>
      <vt:lpstr>Product_Dim</vt:lpstr>
      <vt:lpstr>Store_Dim</vt:lpstr>
      <vt:lpstr>Sales_Fact</vt:lpstr>
      <vt:lpstr>Descriptive StatisticsStatistic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Monisha Maheswaran</cp:lastModifiedBy>
  <cp:revision/>
  <dcterms:created xsi:type="dcterms:W3CDTF">2025-10-14T06:00:18Z</dcterms:created>
  <dcterms:modified xsi:type="dcterms:W3CDTF">2026-10-28T21:22:30Z</dcterms:modified>
  <cp:category/>
  <cp:contentStatus/>
</cp:coreProperties>
</file>